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codeName="{6BE1CDB9-6C1C-A5B6-3FC1-E231EC3C600E}"/>
  <fileSharing readOnlyRecommended="1"/>
  <workbookPr codeName="ThisWorkbook" defaultThemeVersion="166925"/>
  <mc:AlternateContent xmlns:mc="http://schemas.openxmlformats.org/markup-compatibility/2006">
    <mc:Choice Requires="x15">
      <x15ac:absPath xmlns:x15ac="http://schemas.microsoft.com/office/spreadsheetml/2010/11/ac" url="/Users/jingyuanwie/Documents/FYP/Key Documents/A - Final Report/"/>
    </mc:Choice>
  </mc:AlternateContent>
  <xr:revisionPtr revIDLastSave="0" documentId="13_ncr:1_{A077BAE9-2F25-3248-AE32-8752C84DA8EC}" xr6:coauthVersionLast="46" xr6:coauthVersionMax="46" xr10:uidLastSave="{00000000-0000-0000-0000-000000000000}"/>
  <bookViews>
    <workbookView xWindow="540" yWindow="500" windowWidth="28020" windowHeight="16440" xr2:uid="{8EC318F1-47DE-A341-BC3C-66175F23D705}"/>
  </bookViews>
  <sheets>
    <sheet name="Introduction &amp; Instructions" sheetId="33" r:id="rId1"/>
    <sheet name="Privacy Policy" sheetId="35" r:id="rId2"/>
    <sheet name="Iteration II Simulation" sheetId="7" r:id="rId3"/>
    <sheet name="Feedback Form" sheetId="38" r:id="rId4"/>
    <sheet name="Overview of Changes" sheetId="36" r:id="rId5"/>
    <sheet name="Formula" sheetId="37" r:id="rId6"/>
    <sheet name="Adjustments" sheetId="32" state="hidden" r:id="rId7"/>
    <sheet name="Data Flow" sheetId="18" r:id="rId8"/>
    <sheet name="List of Ques" sheetId="30" r:id="rId9"/>
    <sheet name="Data Tables" sheetId="19" r:id="rId10"/>
    <sheet name="Outward" sheetId="27" r:id="rId11"/>
    <sheet name="T1" sheetId="1" r:id="rId12"/>
    <sheet name="T2" sheetId="22" r:id="rId13"/>
    <sheet name="T3" sheetId="23" r:id="rId14"/>
    <sheet name="T4" sheetId="24" r:id="rId15"/>
    <sheet name="T5 - T7 | T9 - T16" sheetId="28" r:id="rId16"/>
    <sheet name="T8" sheetId="6" r:id="rId17"/>
    <sheet name="Example Cases_UFE" sheetId="41" r:id="rId18"/>
  </sheets>
  <externalReferences>
    <externalReference r:id="rId19"/>
  </externalReferences>
  <definedNames>
    <definedName name="LAD_DEC_2019_UK_NC" localSheetId="15">#REF!</definedName>
    <definedName name="LAD_DEC_2019_UK_NC">#REF!</definedName>
    <definedName name="output" localSheetId="12">'T2'!$B$9:$B$2990</definedName>
    <definedName name="output" localSheetId="13">'T3'!$B$9:$B$2990</definedName>
    <definedName name="output" localSheetId="14">'T4'!$B$7:$B$2988</definedName>
    <definedName name="output_1" localSheetId="12">'T2'!$B$9:$B$2990</definedName>
    <definedName name="output_1" localSheetId="13">'T3'!$B$9:$B$2990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7" i="32" l="1"/>
  <c r="N66" i="32"/>
  <c r="O111" i="32"/>
  <c r="O110" i="32"/>
  <c r="N67" i="7"/>
  <c r="N66" i="7"/>
  <c r="O111" i="7"/>
  <c r="O110" i="7"/>
  <c r="T33" i="41"/>
  <c r="S33" i="41"/>
  <c r="T32" i="41"/>
  <c r="S32" i="41"/>
  <c r="T31" i="41"/>
  <c r="S31" i="41"/>
  <c r="T30" i="41"/>
  <c r="S30" i="41"/>
  <c r="T29" i="41"/>
  <c r="S29" i="41"/>
  <c r="T28" i="41"/>
  <c r="S28" i="41"/>
  <c r="T27" i="41"/>
  <c r="S27" i="41"/>
  <c r="T25" i="41"/>
  <c r="S25" i="41"/>
  <c r="T24" i="41"/>
  <c r="S24" i="41"/>
  <c r="T23" i="41"/>
  <c r="S23" i="41"/>
  <c r="T22" i="41"/>
  <c r="S22" i="41"/>
  <c r="T21" i="41"/>
  <c r="S21" i="41"/>
  <c r="T20" i="41"/>
  <c r="S20" i="41"/>
  <c r="T19" i="41"/>
  <c r="S19" i="41"/>
  <c r="T18" i="41"/>
  <c r="S18" i="41"/>
  <c r="T17" i="41"/>
  <c r="S17" i="41"/>
  <c r="T16" i="41"/>
  <c r="S16" i="41"/>
  <c r="T15" i="41"/>
  <c r="S15" i="41"/>
  <c r="T14" i="41"/>
  <c r="S14" i="41"/>
  <c r="T13" i="41"/>
  <c r="S13" i="41"/>
  <c r="T12" i="41"/>
  <c r="S12" i="41"/>
  <c r="T11" i="41"/>
  <c r="S11" i="41"/>
  <c r="T10" i="41"/>
  <c r="S10" i="41"/>
  <c r="T9" i="41"/>
  <c r="S9" i="41"/>
  <c r="T8" i="41"/>
  <c r="S8" i="41"/>
  <c r="T7" i="41"/>
  <c r="S7" i="41"/>
  <c r="T6" i="41"/>
  <c r="S6" i="41"/>
  <c r="T5" i="41"/>
  <c r="S5" i="41"/>
  <c r="T4" i="41"/>
  <c r="S4" i="41"/>
  <c r="U14" i="18" l="1"/>
  <c r="E54" i="28" l="1"/>
  <c r="D30" i="28"/>
  <c r="C30" i="28"/>
  <c r="C15" i="28" l="1"/>
  <c r="B19" i="28"/>
  <c r="C3" i="28" l="1"/>
  <c r="B7" i="28"/>
  <c r="B28" i="28"/>
  <c r="C24" i="28"/>
  <c r="M222" i="7" l="1"/>
  <c r="M228" i="7"/>
  <c r="M227" i="7"/>
  <c r="M225" i="7"/>
  <c r="M248" i="7"/>
  <c r="M246" i="7"/>
  <c r="M243" i="7"/>
  <c r="M239" i="7"/>
  <c r="M241" i="7"/>
  <c r="M240" i="7"/>
  <c r="M235" i="7"/>
  <c r="M233" i="7"/>
  <c r="M232" i="7"/>
  <c r="M231" i="7"/>
  <c r="M230" i="7"/>
  <c r="M226" i="7"/>
  <c r="M224" i="7"/>
  <c r="M223" i="7"/>
  <c r="M221" i="7"/>
  <c r="N178" i="7" l="1"/>
  <c r="F178" i="7"/>
  <c r="F148" i="32"/>
  <c r="F149" i="32"/>
  <c r="C69" i="36"/>
  <c r="B69" i="36"/>
  <c r="C68" i="36"/>
  <c r="B68" i="36"/>
  <c r="C67" i="36"/>
  <c r="B67" i="36"/>
  <c r="C66" i="36"/>
  <c r="B66" i="36"/>
  <c r="C42" i="36"/>
  <c r="B42" i="36"/>
  <c r="C41" i="36"/>
  <c r="B41" i="36"/>
  <c r="C40" i="36"/>
  <c r="B40" i="36"/>
  <c r="C39" i="36"/>
  <c r="B39" i="36"/>
  <c r="C38" i="36"/>
  <c r="B38" i="36"/>
  <c r="C37" i="36"/>
  <c r="B37" i="36"/>
  <c r="C36" i="36"/>
  <c r="B36" i="36"/>
  <c r="C35" i="36"/>
  <c r="B35" i="36"/>
  <c r="M168" i="32"/>
  <c r="M164" i="32"/>
  <c r="E168" i="32"/>
  <c r="E164" i="32"/>
  <c r="Z122" i="32"/>
  <c r="T126" i="32"/>
  <c r="T122" i="32"/>
  <c r="M133" i="32"/>
  <c r="M126" i="32"/>
  <c r="M122" i="32"/>
  <c r="E128" i="32"/>
  <c r="E122" i="32"/>
  <c r="N83" i="32"/>
  <c r="N79" i="32"/>
  <c r="E100" i="32"/>
  <c r="E96" i="32"/>
  <c r="E89" i="32"/>
  <c r="E83" i="32"/>
  <c r="E79" i="32"/>
  <c r="U52" i="32"/>
  <c r="U46" i="32"/>
  <c r="U37" i="32"/>
  <c r="M37" i="32"/>
  <c r="E53" i="32"/>
  <c r="E50" i="32"/>
  <c r="E43" i="32"/>
  <c r="E37" i="32"/>
  <c r="E14" i="32"/>
  <c r="E11" i="32"/>
  <c r="C13" i="36"/>
  <c r="H41" i="32" l="1"/>
  <c r="H48" i="32"/>
  <c r="AB202" i="32"/>
  <c r="AB203" i="32" s="1"/>
  <c r="AA202" i="32"/>
  <c r="AA203" i="32" s="1"/>
  <c r="AB201" i="32"/>
  <c r="AA201" i="32"/>
  <c r="V196" i="32"/>
  <c r="T196" i="32"/>
  <c r="U195" i="32"/>
  <c r="S195" i="32"/>
  <c r="V194" i="32"/>
  <c r="R202" i="32" s="1"/>
  <c r="T194" i="32"/>
  <c r="Q202" i="32" s="1"/>
  <c r="V193" i="32"/>
  <c r="T193" i="32"/>
  <c r="V192" i="32"/>
  <c r="T192" i="32"/>
  <c r="V191" i="32"/>
  <c r="T191" i="32"/>
  <c r="V190" i="32"/>
  <c r="V195" i="32" s="1"/>
  <c r="T190" i="32"/>
  <c r="V189" i="32"/>
  <c r="T189" i="32"/>
  <c r="T195" i="32" s="1"/>
  <c r="AI206" i="7"/>
  <c r="AH206" i="7"/>
  <c r="Z200" i="7"/>
  <c r="AB200" i="7"/>
  <c r="M262" i="7"/>
  <c r="K267" i="7"/>
  <c r="L267" i="7"/>
  <c r="K268" i="7"/>
  <c r="L268" i="7"/>
  <c r="K269" i="7"/>
  <c r="L269" i="7"/>
  <c r="M282" i="7"/>
  <c r="K287" i="7"/>
  <c r="L287" i="7"/>
  <c r="K288" i="7"/>
  <c r="L288" i="7"/>
  <c r="K289" i="7"/>
  <c r="L289" i="7"/>
  <c r="K295" i="7"/>
  <c r="L295" i="7"/>
  <c r="Q205" i="7" l="1"/>
  <c r="P205" i="7"/>
  <c r="M234" i="7"/>
  <c r="M229" i="7"/>
  <c r="O169" i="32"/>
  <c r="N178" i="32" s="1"/>
  <c r="G169" i="32"/>
  <c r="F178" i="32" s="1"/>
  <c r="V128" i="32"/>
  <c r="U139" i="32" s="1"/>
  <c r="U141" i="32" s="1"/>
  <c r="N135" i="32"/>
  <c r="N149" i="32" s="1"/>
  <c r="N134" i="32"/>
  <c r="N148" i="32" s="1"/>
  <c r="P131" i="32"/>
  <c r="N139" i="32" s="1"/>
  <c r="O145" i="32" s="1"/>
  <c r="P84" i="32"/>
  <c r="G101" i="32"/>
  <c r="G97" i="32"/>
  <c r="I94" i="32"/>
  <c r="F109" i="32" s="1"/>
  <c r="I87" i="32"/>
  <c r="F108" i="32" s="1"/>
  <c r="W53" i="32"/>
  <c r="X49" i="32"/>
  <c r="V65" i="32" s="1"/>
  <c r="X44" i="32"/>
  <c r="V64" i="32" s="1"/>
  <c r="O38" i="32"/>
  <c r="G54" i="32"/>
  <c r="G51" i="32"/>
  <c r="F65" i="32"/>
  <c r="F64" i="32"/>
  <c r="N180" i="32"/>
  <c r="F180" i="32"/>
  <c r="N179" i="32"/>
  <c r="F179" i="32"/>
  <c r="F175" i="32"/>
  <c r="F174" i="32"/>
  <c r="F141" i="32"/>
  <c r="AB157" i="32" s="1"/>
  <c r="F140" i="32"/>
  <c r="AA157" i="32" s="1"/>
  <c r="M247" i="7"/>
  <c r="M245" i="7"/>
  <c r="M244" i="7"/>
  <c r="M242" i="7"/>
  <c r="M238" i="7"/>
  <c r="M237" i="7"/>
  <c r="M236" i="7"/>
  <c r="M220" i="7"/>
  <c r="M219" i="7"/>
  <c r="C219" i="7"/>
  <c r="C248" i="7"/>
  <c r="B248" i="7"/>
  <c r="C247" i="7"/>
  <c r="B247" i="7"/>
  <c r="C246" i="7"/>
  <c r="B246" i="7"/>
  <c r="C245" i="7"/>
  <c r="B245" i="7"/>
  <c r="C244" i="7"/>
  <c r="B244" i="7"/>
  <c r="C243" i="7"/>
  <c r="B243" i="7"/>
  <c r="C242" i="7"/>
  <c r="B242" i="7"/>
  <c r="C240" i="7"/>
  <c r="B240" i="7"/>
  <c r="C239" i="7"/>
  <c r="B239" i="7"/>
  <c r="C238" i="7"/>
  <c r="B238" i="7"/>
  <c r="C237" i="7"/>
  <c r="B237" i="7"/>
  <c r="C236" i="7"/>
  <c r="B236" i="7"/>
  <c r="C235" i="7"/>
  <c r="B235" i="7"/>
  <c r="C234" i="7"/>
  <c r="B234" i="7"/>
  <c r="C233" i="7"/>
  <c r="B233" i="7"/>
  <c r="C232" i="7"/>
  <c r="B232" i="7"/>
  <c r="C231" i="7"/>
  <c r="B231" i="7"/>
  <c r="C230" i="7"/>
  <c r="B230" i="7"/>
  <c r="C229" i="7"/>
  <c r="B229" i="7"/>
  <c r="C228" i="7"/>
  <c r="B228" i="7"/>
  <c r="C227" i="7"/>
  <c r="B227" i="7"/>
  <c r="C226" i="7"/>
  <c r="B226" i="7"/>
  <c r="C225" i="7"/>
  <c r="B225" i="7"/>
  <c r="C224" i="7"/>
  <c r="B224" i="7"/>
  <c r="C223" i="7"/>
  <c r="B223" i="7"/>
  <c r="C222" i="7"/>
  <c r="B222" i="7"/>
  <c r="C221" i="7"/>
  <c r="B221" i="7"/>
  <c r="C220" i="7"/>
  <c r="B220" i="7"/>
  <c r="B219" i="7"/>
  <c r="AB68" i="18"/>
  <c r="AA68" i="18"/>
  <c r="AB67" i="18"/>
  <c r="AA67" i="18"/>
  <c r="B32" i="30"/>
  <c r="B31" i="30"/>
  <c r="B30" i="30"/>
  <c r="B29" i="30"/>
  <c r="B28" i="30"/>
  <c r="B27" i="30"/>
  <c r="B26" i="30"/>
  <c r="B25" i="30"/>
  <c r="B24" i="30"/>
  <c r="B23" i="30"/>
  <c r="B22" i="30"/>
  <c r="B21" i="30"/>
  <c r="B20" i="30"/>
  <c r="B19" i="30"/>
  <c r="B18" i="30"/>
  <c r="B17" i="30"/>
  <c r="B16" i="30"/>
  <c r="B15" i="30"/>
  <c r="B14" i="30"/>
  <c r="B13" i="30"/>
  <c r="B12" i="30"/>
  <c r="B11" i="30"/>
  <c r="C32" i="30"/>
  <c r="C31" i="30"/>
  <c r="C30" i="30"/>
  <c r="C29" i="30"/>
  <c r="C28" i="30"/>
  <c r="C27" i="30"/>
  <c r="C26" i="30"/>
  <c r="C25" i="30"/>
  <c r="C24" i="30"/>
  <c r="C23" i="30"/>
  <c r="C22" i="30"/>
  <c r="C21" i="30"/>
  <c r="C20" i="30"/>
  <c r="C19" i="30"/>
  <c r="C18" i="30"/>
  <c r="C17" i="30"/>
  <c r="C16" i="30"/>
  <c r="C15" i="30"/>
  <c r="C14" i="30"/>
  <c r="C13" i="30"/>
  <c r="C12" i="30"/>
  <c r="C11" i="30"/>
  <c r="C9" i="30"/>
  <c r="C8" i="30"/>
  <c r="C7" i="30"/>
  <c r="C6" i="30"/>
  <c r="C5" i="30"/>
  <c r="C10" i="30"/>
  <c r="B10" i="30"/>
  <c r="B9" i="30"/>
  <c r="B8" i="30"/>
  <c r="B7" i="30"/>
  <c r="B6" i="30"/>
  <c r="B5" i="30"/>
  <c r="B4" i="30"/>
  <c r="H52" i="28"/>
  <c r="H44" i="28"/>
  <c r="H36" i="28"/>
  <c r="H26" i="28"/>
  <c r="H18" i="28"/>
  <c r="H7" i="28"/>
  <c r="B51" i="28"/>
  <c r="B37" i="28"/>
  <c r="I48" i="28"/>
  <c r="I40" i="28"/>
  <c r="I32" i="28"/>
  <c r="I22" i="28"/>
  <c r="I13" i="28"/>
  <c r="I3" i="28"/>
  <c r="C45" i="28"/>
  <c r="C33" i="28"/>
  <c r="D1" i="22"/>
  <c r="D1" i="23"/>
  <c r="D1" i="24"/>
  <c r="D1" i="6"/>
  <c r="C1" i="1"/>
  <c r="AC25" i="6"/>
  <c r="AB25" i="6"/>
  <c r="AA25" i="6"/>
  <c r="AC15" i="6"/>
  <c r="AB15" i="6"/>
  <c r="AA15" i="6"/>
  <c r="CG57" i="18"/>
  <c r="CY35" i="18"/>
  <c r="R81" i="32" l="1"/>
  <c r="P166" i="32"/>
  <c r="H166" i="32"/>
  <c r="AC124" i="32"/>
  <c r="K201" i="32" s="1"/>
  <c r="N295" i="7" s="1"/>
  <c r="I81" i="32"/>
  <c r="G129" i="32"/>
  <c r="N183" i="32" s="1"/>
  <c r="I126" i="32"/>
  <c r="F147" i="32" s="1"/>
  <c r="H20" i="32"/>
  <c r="V124" i="32"/>
  <c r="P124" i="32"/>
  <c r="G12" i="32"/>
  <c r="N61" i="32" s="1"/>
  <c r="N62" i="32" s="1"/>
  <c r="N65" i="32" s="1"/>
  <c r="N144" i="32"/>
  <c r="N145" i="32" s="1"/>
  <c r="O183" i="32"/>
  <c r="F183" i="32"/>
  <c r="G183" i="32"/>
  <c r="G184" i="32" s="1"/>
  <c r="N152" i="32"/>
  <c r="N141" i="32"/>
  <c r="U140" i="32"/>
  <c r="U142" i="32"/>
  <c r="N140" i="32"/>
  <c r="CG37" i="18"/>
  <c r="DA33" i="18"/>
  <c r="DA32" i="18"/>
  <c r="DB37" i="18" s="1"/>
  <c r="CM42" i="18"/>
  <c r="CM41" i="18"/>
  <c r="DG8" i="18"/>
  <c r="DA9" i="18"/>
  <c r="DA8" i="18"/>
  <c r="DB13" i="18" s="1"/>
  <c r="CM18" i="18"/>
  <c r="CM17" i="18"/>
  <c r="CC75" i="18"/>
  <c r="BP84" i="18"/>
  <c r="BP85" i="18"/>
  <c r="CJ54" i="18"/>
  <c r="BV55" i="18"/>
  <c r="BV54" i="18"/>
  <c r="BW59" i="18" s="1"/>
  <c r="BP64" i="18"/>
  <c r="BP63" i="18"/>
  <c r="CJ32" i="18"/>
  <c r="CD33" i="18"/>
  <c r="CD32" i="18"/>
  <c r="CE39" i="18" s="1"/>
  <c r="BV33" i="18"/>
  <c r="BV32" i="18"/>
  <c r="BW43" i="18" s="1"/>
  <c r="BP42" i="18"/>
  <c r="BP41" i="18"/>
  <c r="CJ8" i="18"/>
  <c r="BX9" i="18"/>
  <c r="BX8" i="18"/>
  <c r="BP9" i="18"/>
  <c r="BP8" i="18"/>
  <c r="BQ13" i="18" s="1"/>
  <c r="BM32" i="18"/>
  <c r="BD33" i="18"/>
  <c r="BD32" i="18"/>
  <c r="BE37" i="18" s="1"/>
  <c r="AJ42" i="18"/>
  <c r="AJ41" i="18"/>
  <c r="AQ35" i="18" s="1"/>
  <c r="BM8" i="18"/>
  <c r="BH9" i="18"/>
  <c r="BH8" i="18"/>
  <c r="BE15" i="18" s="1"/>
  <c r="BD9" i="18"/>
  <c r="BD8" i="18"/>
  <c r="BE14" i="18" s="1"/>
  <c r="BA9" i="18"/>
  <c r="BA8" i="18"/>
  <c r="AZ15" i="18" s="1"/>
  <c r="AX9" i="18"/>
  <c r="AX8" i="18"/>
  <c r="AZ14" i="18" s="1"/>
  <c r="AJ18" i="18"/>
  <c r="AJ17" i="18"/>
  <c r="AQ11" i="18" s="1"/>
  <c r="Y45" i="18"/>
  <c r="Y44" i="18"/>
  <c r="Z49" i="18" s="1"/>
  <c r="V45" i="18"/>
  <c r="V44" i="18"/>
  <c r="U51" i="18" s="1"/>
  <c r="S45" i="18"/>
  <c r="S44" i="18"/>
  <c r="U50" i="18" s="1"/>
  <c r="Y28" i="18"/>
  <c r="Y27" i="18"/>
  <c r="Z32" i="18" s="1"/>
  <c r="AB9" i="18"/>
  <c r="AB8" i="18"/>
  <c r="Z15" i="18" s="1"/>
  <c r="Y9" i="18"/>
  <c r="Y8" i="18"/>
  <c r="Z14" i="18" s="1"/>
  <c r="V9" i="18"/>
  <c r="V8" i="18"/>
  <c r="U15" i="18" s="1"/>
  <c r="S9" i="18"/>
  <c r="S8" i="18"/>
  <c r="H5" i="18"/>
  <c r="H4" i="18"/>
  <c r="L30" i="18" s="1"/>
  <c r="D5" i="18"/>
  <c r="D4" i="18"/>
  <c r="C4" i="30"/>
  <c r="N173" i="7"/>
  <c r="F3" i="27"/>
  <c r="AC199" i="7"/>
  <c r="AC198" i="7"/>
  <c r="AA199" i="7"/>
  <c r="AA198" i="7"/>
  <c r="K203" i="32" l="1"/>
  <c r="N297" i="7" s="1"/>
  <c r="J203" i="32"/>
  <c r="M297" i="7" s="1"/>
  <c r="I202" i="32"/>
  <c r="N276" i="7" s="1"/>
  <c r="J202" i="32"/>
  <c r="M296" i="7" s="1"/>
  <c r="J201" i="32"/>
  <c r="M295" i="7" s="1"/>
  <c r="I201" i="32"/>
  <c r="N275" i="7" s="1"/>
  <c r="H201" i="32"/>
  <c r="M275" i="7" s="1"/>
  <c r="F152" i="32"/>
  <c r="F153" i="32" s="1"/>
  <c r="F156" i="32" s="1"/>
  <c r="U145" i="32"/>
  <c r="U146" i="32" s="1"/>
  <c r="V156" i="32" s="1"/>
  <c r="H193" i="32"/>
  <c r="M267" i="7" s="1"/>
  <c r="J194" i="32"/>
  <c r="M288" i="7" s="1"/>
  <c r="H195" i="32"/>
  <c r="M269" i="7" s="1"/>
  <c r="K195" i="32"/>
  <c r="N289" i="7" s="1"/>
  <c r="J193" i="32"/>
  <c r="M287" i="7" s="1"/>
  <c r="I194" i="32"/>
  <c r="N268" i="7" s="1"/>
  <c r="H194" i="32"/>
  <c r="M268" i="7" s="1"/>
  <c r="K193" i="32"/>
  <c r="N287" i="7" s="1"/>
  <c r="K194" i="32"/>
  <c r="N288" i="7" s="1"/>
  <c r="J195" i="32"/>
  <c r="M289" i="7" s="1"/>
  <c r="I195" i="32"/>
  <c r="N269" i="7" s="1"/>
  <c r="I193" i="32"/>
  <c r="N267" i="7" s="1"/>
  <c r="N70" i="32"/>
  <c r="J191" i="32" s="1"/>
  <c r="M285" i="7" s="1"/>
  <c r="O70" i="32"/>
  <c r="K191" i="32" s="1"/>
  <c r="N285" i="7" s="1"/>
  <c r="O156" i="32"/>
  <c r="O157" i="32" s="1"/>
  <c r="I199" i="32" s="1"/>
  <c r="N156" i="32"/>
  <c r="N157" i="32" s="1"/>
  <c r="H199" i="32" s="1"/>
  <c r="F58" i="32"/>
  <c r="F59" i="32" s="1"/>
  <c r="F62" i="32" s="1"/>
  <c r="F106" i="32" s="1"/>
  <c r="O106" i="32"/>
  <c r="O107" i="32" s="1"/>
  <c r="O114" i="32" s="1"/>
  <c r="J197" i="32" s="1"/>
  <c r="F27" i="32"/>
  <c r="N175" i="32" s="1"/>
  <c r="O184" i="32" s="1"/>
  <c r="I203" i="32" s="1"/>
  <c r="V58" i="32"/>
  <c r="V59" i="32" s="1"/>
  <c r="V62" i="32" s="1"/>
  <c r="N173" i="32"/>
  <c r="F184" i="32"/>
  <c r="H202" i="32" s="1"/>
  <c r="K202" i="32"/>
  <c r="P30" i="18"/>
  <c r="CX35" i="18"/>
  <c r="CA57" i="18"/>
  <c r="CE38" i="18"/>
  <c r="BY13" i="18"/>
  <c r="CE57" i="18"/>
  <c r="BQ19" i="18"/>
  <c r="P11" i="18"/>
  <c r="L47" i="18"/>
  <c r="AU35" i="18"/>
  <c r="BW37" i="18"/>
  <c r="L11" i="18"/>
  <c r="P47" i="18"/>
  <c r="AU11" i="18"/>
  <c r="CE37" i="18"/>
  <c r="E10" i="18"/>
  <c r="G156" i="32" l="1"/>
  <c r="G157" i="32" s="1"/>
  <c r="I198" i="32" s="1"/>
  <c r="N272" i="7" s="1"/>
  <c r="U156" i="32"/>
  <c r="J200" i="32" s="1"/>
  <c r="M294" i="7" s="1"/>
  <c r="F280" i="7"/>
  <c r="P114" i="32"/>
  <c r="K197" i="32" s="1"/>
  <c r="N296" i="7"/>
  <c r="F281" i="7" s="1"/>
  <c r="M276" i="7"/>
  <c r="M291" i="7"/>
  <c r="F157" i="32"/>
  <c r="H198" i="32" s="1"/>
  <c r="J198" i="32"/>
  <c r="M273" i="7"/>
  <c r="N273" i="7"/>
  <c r="N277" i="7"/>
  <c r="Q287" i="7" s="1"/>
  <c r="F28" i="32"/>
  <c r="O115" i="32" s="1"/>
  <c r="H197" i="32" s="1"/>
  <c r="F29" i="32"/>
  <c r="O71" i="32" s="1"/>
  <c r="I191" i="32" s="1"/>
  <c r="N174" i="32"/>
  <c r="N184" i="32" s="1"/>
  <c r="H203" i="32" s="1"/>
  <c r="K199" i="32"/>
  <c r="J199" i="32"/>
  <c r="V157" i="32"/>
  <c r="I200" i="32" s="1"/>
  <c r="K200" i="32"/>
  <c r="DD37" i="18"/>
  <c r="DD39" i="18" s="1"/>
  <c r="DD13" i="18"/>
  <c r="DD15" i="18" s="1"/>
  <c r="F174" i="7"/>
  <c r="CY11" i="18" s="1"/>
  <c r="DC19" i="18" s="1"/>
  <c r="BY80" i="18"/>
  <c r="BW60" i="18"/>
  <c r="C42" i="28"/>
  <c r="C41" i="28"/>
  <c r="C40" i="28"/>
  <c r="C39" i="28"/>
  <c r="BW44" i="18"/>
  <c r="BW38" i="18"/>
  <c r="CA13" i="18"/>
  <c r="BV13" i="18"/>
  <c r="BV11" i="18"/>
  <c r="K198" i="32" l="1"/>
  <c r="N292" i="7" s="1"/>
  <c r="U157" i="32"/>
  <c r="H200" i="32" s="1"/>
  <c r="M274" i="7" s="1"/>
  <c r="N71" i="32"/>
  <c r="H191" i="32" s="1"/>
  <c r="M265" i="7" s="1"/>
  <c r="N291" i="7"/>
  <c r="F268" i="7"/>
  <c r="N274" i="7"/>
  <c r="Q286" i="7" s="1"/>
  <c r="P115" i="32"/>
  <c r="I197" i="32" s="1"/>
  <c r="M293" i="7"/>
  <c r="M271" i="7"/>
  <c r="M272" i="7"/>
  <c r="N265" i="7"/>
  <c r="M292" i="7"/>
  <c r="N293" i="7"/>
  <c r="N294" i="7"/>
  <c r="M277" i="7"/>
  <c r="F267" i="7" s="1"/>
  <c r="CF46" i="18"/>
  <c r="CF12" i="18"/>
  <c r="CG46" i="18"/>
  <c r="CG12" i="18"/>
  <c r="CG61" i="18"/>
  <c r="CF61" i="18"/>
  <c r="F278" i="7" l="1"/>
  <c r="Q278" i="7"/>
  <c r="T272" i="7"/>
  <c r="T273" i="7"/>
  <c r="F265" i="7"/>
  <c r="F266" i="7"/>
  <c r="Q279" i="7"/>
  <c r="F279" i="7"/>
  <c r="N271" i="7"/>
  <c r="F141" i="7"/>
  <c r="F140" i="7"/>
  <c r="N180" i="7"/>
  <c r="CU37" i="18" s="1"/>
  <c r="DD44" i="18" s="1"/>
  <c r="N179" i="7"/>
  <c r="F180" i="7"/>
  <c r="CU13" i="18" s="1"/>
  <c r="DD20" i="18" s="1"/>
  <c r="F179" i="7"/>
  <c r="CU11" i="18" s="1"/>
  <c r="DC20" i="18" s="1"/>
  <c r="DC21" i="18" s="1"/>
  <c r="F175" i="7"/>
  <c r="CU35" i="18" l="1"/>
  <c r="DC44" i="18" s="1"/>
  <c r="CY13" i="18"/>
  <c r="DD19" i="18" s="1"/>
  <c r="DD21" i="18" s="1"/>
  <c r="N183" i="7"/>
  <c r="F149" i="7"/>
  <c r="F148" i="7"/>
  <c r="F152" i="7"/>
  <c r="F147" i="7"/>
  <c r="BQ14" i="18" s="1"/>
  <c r="BR15" i="18" l="1"/>
  <c r="BR16" i="18"/>
  <c r="O183" i="7"/>
  <c r="L297" i="7" s="1"/>
  <c r="G183" i="7"/>
  <c r="L296" i="7" s="1"/>
  <c r="F153" i="7"/>
  <c r="BR21" i="18" s="1"/>
  <c r="BQ20" i="18"/>
  <c r="F183" i="7"/>
  <c r="K296" i="7" s="1"/>
  <c r="U145" i="7"/>
  <c r="U139" i="7"/>
  <c r="U140" i="7" s="1"/>
  <c r="BX63" i="18" s="1"/>
  <c r="N149" i="7"/>
  <c r="CG39" i="18" s="1"/>
  <c r="N148" i="7"/>
  <c r="CG38" i="18" s="1"/>
  <c r="N144" i="7"/>
  <c r="N145" i="7" s="1"/>
  <c r="BY45" i="18" s="1"/>
  <c r="N139" i="7"/>
  <c r="AB157" i="7"/>
  <c r="L275" i="7" s="1"/>
  <c r="AA157" i="7"/>
  <c r="K275" i="7" s="1"/>
  <c r="BA36" i="18"/>
  <c r="BA35" i="18"/>
  <c r="Q207" i="7" l="1"/>
  <c r="CF13" i="18"/>
  <c r="CF14" i="18" s="1"/>
  <c r="G156" i="7"/>
  <c r="L292" i="7" s="1"/>
  <c r="F156" i="7"/>
  <c r="K292" i="7" s="1"/>
  <c r="E281" i="7"/>
  <c r="G281" i="7" s="1"/>
  <c r="K297" i="7"/>
  <c r="E280" i="7" s="1"/>
  <c r="G280" i="7" s="1"/>
  <c r="P207" i="7"/>
  <c r="G184" i="7"/>
  <c r="L276" i="7" s="1"/>
  <c r="Q206" i="7"/>
  <c r="N205" i="7"/>
  <c r="P206" i="7"/>
  <c r="O205" i="7"/>
  <c r="O145" i="7"/>
  <c r="CG13" i="18"/>
  <c r="CG14" i="18" s="1"/>
  <c r="U146" i="7"/>
  <c r="CB59" i="18" s="1"/>
  <c r="CA58" i="18"/>
  <c r="F184" i="7"/>
  <c r="K276" i="7" s="1"/>
  <c r="N141" i="7"/>
  <c r="N152" i="7"/>
  <c r="U142" i="7"/>
  <c r="U141" i="7"/>
  <c r="N140" i="7"/>
  <c r="V15" i="18"/>
  <c r="V14" i="18"/>
  <c r="N156" i="7" l="1"/>
  <c r="K293" i="7" s="1"/>
  <c r="O156" i="7"/>
  <c r="L293" i="7" s="1"/>
  <c r="BX62" i="18"/>
  <c r="CG62" i="18" s="1"/>
  <c r="CG63" i="18" s="1"/>
  <c r="V156" i="7"/>
  <c r="L294" i="7" s="1"/>
  <c r="BX61" i="18"/>
  <c r="CF62" i="18" s="1"/>
  <c r="CF63" i="18" s="1"/>
  <c r="U156" i="7"/>
  <c r="K294" i="7" s="1"/>
  <c r="O206" i="7"/>
  <c r="P202" i="7"/>
  <c r="Q202" i="7"/>
  <c r="N206" i="7"/>
  <c r="CG42" i="18"/>
  <c r="F157" i="7"/>
  <c r="K272" i="7" s="1"/>
  <c r="BY39" i="18"/>
  <c r="BY40" i="18"/>
  <c r="G157" i="7"/>
  <c r="L272" i="7" s="1"/>
  <c r="AI204" i="7"/>
  <c r="AI207" i="7" s="1"/>
  <c r="AH204" i="7"/>
  <c r="AH207" i="7" s="1"/>
  <c r="Q199" i="7"/>
  <c r="P199" i="7"/>
  <c r="Q198" i="7"/>
  <c r="P198" i="7"/>
  <c r="Q197" i="7"/>
  <c r="P197" i="7"/>
  <c r="O199" i="7"/>
  <c r="N199" i="7"/>
  <c r="O198" i="7"/>
  <c r="N198" i="7"/>
  <c r="O197" i="7"/>
  <c r="N197" i="7"/>
  <c r="U157" i="7" l="1"/>
  <c r="K274" i="7" s="1"/>
  <c r="P204" i="7"/>
  <c r="O202" i="7"/>
  <c r="N202" i="7"/>
  <c r="Q204" i="7"/>
  <c r="E278" i="7"/>
  <c r="G278" i="7" s="1"/>
  <c r="P203" i="7"/>
  <c r="E279" i="7"/>
  <c r="G279" i="7" s="1"/>
  <c r="Q203" i="7"/>
  <c r="CF47" i="18"/>
  <c r="CF48" i="18" s="1"/>
  <c r="CG47" i="18"/>
  <c r="CG48" i="18" s="1"/>
  <c r="N157" i="7"/>
  <c r="K273" i="7" s="1"/>
  <c r="O157" i="7"/>
  <c r="L273" i="7" s="1"/>
  <c r="V157" i="7"/>
  <c r="L274" i="7" s="1"/>
  <c r="Q272" i="7" l="1"/>
  <c r="Q266" i="7"/>
  <c r="O204" i="7"/>
  <c r="N204" i="7"/>
  <c r="O203" i="7"/>
  <c r="E265" i="7"/>
  <c r="G265" i="7" s="1"/>
  <c r="N203" i="7"/>
  <c r="AC201" i="7"/>
  <c r="AA201" i="7"/>
  <c r="AA195" i="7"/>
  <c r="AC195" i="7"/>
  <c r="AC196" i="7"/>
  <c r="AC197" i="7"/>
  <c r="AC194" i="7"/>
  <c r="AA196" i="7"/>
  <c r="AA197" i="7"/>
  <c r="AA194" i="7"/>
  <c r="T266" i="7" l="1"/>
  <c r="Y207" i="7"/>
  <c r="X207" i="7"/>
  <c r="E266" i="7"/>
  <c r="G266" i="7" s="1"/>
  <c r="AC200" i="7"/>
  <c r="AA200" i="7"/>
  <c r="AA49" i="18"/>
  <c r="V50" i="18"/>
  <c r="V51" i="18"/>
  <c r="AA32" i="18"/>
  <c r="AA15" i="18"/>
  <c r="AA14" i="18"/>
  <c r="F10" i="18"/>
  <c r="BF37" i="18"/>
  <c r="BA14" i="18"/>
  <c r="BF15" i="18"/>
  <c r="BF14" i="18"/>
  <c r="V31" i="18"/>
  <c r="AB38" i="18" s="1"/>
  <c r="V30" i="18"/>
  <c r="AA38" i="18" s="1"/>
  <c r="Q47" i="18" l="1"/>
  <c r="Q30" i="18"/>
  <c r="AV35" i="18" s="1"/>
  <c r="Q11" i="18"/>
  <c r="BF43" i="18"/>
  <c r="BG43" i="18"/>
  <c r="AB19" i="1"/>
  <c r="O106" i="7" l="1"/>
  <c r="O107" i="7" s="1"/>
  <c r="F108" i="7"/>
  <c r="V64" i="7"/>
  <c r="N61" i="7"/>
  <c r="N62" i="7" s="1"/>
  <c r="N65" i="7" s="1"/>
  <c r="F27" i="7"/>
  <c r="O114" i="7" l="1"/>
  <c r="K291" i="7" s="1"/>
  <c r="P114" i="7"/>
  <c r="L291" i="7" s="1"/>
  <c r="O70" i="7"/>
  <c r="N70" i="7"/>
  <c r="N174" i="7"/>
  <c r="N184" i="7" s="1"/>
  <c r="N175" i="7"/>
  <c r="O184" i="7" s="1"/>
  <c r="F29" i="7"/>
  <c r="CY38" i="18" s="1"/>
  <c r="DD43" i="18" s="1"/>
  <c r="DD45" i="18" s="1"/>
  <c r="F28" i="7"/>
  <c r="CY36" i="18" s="1"/>
  <c r="DC43" i="18" s="1"/>
  <c r="DC45" i="18" s="1"/>
  <c r="F58" i="7"/>
  <c r="F59" i="7" s="1"/>
  <c r="F62" i="7" s="1"/>
  <c r="W10" i="6"/>
  <c r="V65" i="7"/>
  <c r="W11" i="6" s="1"/>
  <c r="V58" i="7"/>
  <c r="V59" i="7" s="1"/>
  <c r="V62" i="7" s="1"/>
  <c r="F65" i="7"/>
  <c r="W12" i="1" s="1"/>
  <c r="F64" i="7"/>
  <c r="W11" i="1" s="1"/>
  <c r="K285" i="7" l="1"/>
  <c r="P195" i="7"/>
  <c r="L285" i="7"/>
  <c r="Q195" i="7"/>
  <c r="L277" i="7"/>
  <c r="O207" i="7"/>
  <c r="K277" i="7"/>
  <c r="N207" i="7"/>
  <c r="Q201" i="7"/>
  <c r="P201" i="7"/>
  <c r="P115" i="7"/>
  <c r="L271" i="7" s="1"/>
  <c r="O115" i="7"/>
  <c r="K271" i="7" s="1"/>
  <c r="N71" i="7"/>
  <c r="O71" i="7"/>
  <c r="F109" i="7"/>
  <c r="BA15" i="18"/>
  <c r="F13" i="18"/>
  <c r="T267" i="7" l="1"/>
  <c r="E267" i="7"/>
  <c r="G267" i="7" s="1"/>
  <c r="Q267" i="7"/>
  <c r="E268" i="7"/>
  <c r="G268" i="7" s="1"/>
  <c r="Q273" i="7"/>
  <c r="L265" i="7"/>
  <c r="O195" i="7"/>
  <c r="K265" i="7"/>
  <c r="N195" i="7"/>
  <c r="N201" i="7"/>
  <c r="O201" i="7"/>
  <c r="AV11" i="18"/>
  <c r="AB56" i="18"/>
  <c r="AB39" i="18"/>
  <c r="Q12" i="18"/>
  <c r="V16" i="18" s="1"/>
  <c r="AB22" i="18"/>
  <c r="BG22" i="18"/>
  <c r="BG44" i="18"/>
  <c r="W8" i="6"/>
  <c r="Q48" i="18"/>
  <c r="V52" i="18" s="1"/>
  <c r="AV36" i="18"/>
  <c r="BF39" i="18" s="1"/>
  <c r="F11" i="18"/>
  <c r="BG45" i="18" l="1"/>
  <c r="BG46" i="18" s="1"/>
  <c r="BF45" i="18"/>
  <c r="W9" i="1"/>
  <c r="F106" i="7"/>
  <c r="P47" i="6"/>
  <c r="Q47" i="6" s="1"/>
  <c r="R47" i="6" s="1"/>
  <c r="AA24" i="6" s="1"/>
  <c r="P44" i="6"/>
  <c r="Q44" i="6" s="1"/>
  <c r="R44" i="6" s="1"/>
  <c r="AA23" i="6" s="1"/>
  <c r="P40" i="6"/>
  <c r="Q40" i="6" s="1"/>
  <c r="R40" i="6" s="1"/>
  <c r="AB22" i="6" s="1"/>
  <c r="P37" i="6"/>
  <c r="Q37" i="6" s="1"/>
  <c r="R37" i="6" s="1"/>
  <c r="AB21" i="6" s="1"/>
  <c r="P30" i="6"/>
  <c r="Q30" i="6" s="1"/>
  <c r="R30" i="6" s="1"/>
  <c r="AC19" i="6" s="1"/>
  <c r="P22" i="6"/>
  <c r="Q22" i="6" s="1"/>
  <c r="R22" i="6" s="1"/>
  <c r="AC14" i="6" s="1"/>
  <c r="P18" i="6"/>
  <c r="Q18" i="6" s="1"/>
  <c r="R18" i="6" s="1"/>
  <c r="AA12" i="6" s="1"/>
  <c r="P14" i="6"/>
  <c r="Q14" i="6" s="1"/>
  <c r="R14" i="6" s="1"/>
  <c r="AB11" i="6" s="1"/>
  <c r="P10" i="6"/>
  <c r="Q10" i="6" s="1"/>
  <c r="R10" i="6" s="1"/>
  <c r="AC10" i="6" s="1"/>
  <c r="P8" i="6"/>
  <c r="Q8" i="6" s="1"/>
  <c r="P13" i="6"/>
  <c r="Q13" i="6" s="1"/>
  <c r="R13" i="6" s="1"/>
  <c r="AC11" i="6" s="1"/>
  <c r="P9" i="6"/>
  <c r="Q9" i="6" s="1"/>
  <c r="R9" i="6" s="1"/>
  <c r="AA9" i="6" s="1"/>
  <c r="P46" i="6"/>
  <c r="Q46" i="6" s="1"/>
  <c r="R46" i="6" s="1"/>
  <c r="AB24" i="6" s="1"/>
  <c r="P43" i="6"/>
  <c r="Q43" i="6" s="1"/>
  <c r="R43" i="6" s="1"/>
  <c r="AB23" i="6" s="1"/>
  <c r="P36" i="6"/>
  <c r="Q36" i="6" s="1"/>
  <c r="R36" i="6" s="1"/>
  <c r="AC21" i="6" s="1"/>
  <c r="P33" i="6"/>
  <c r="Q33" i="6" s="1"/>
  <c r="R33" i="6" s="1"/>
  <c r="AC20" i="6" s="1"/>
  <c r="P24" i="6"/>
  <c r="Q24" i="6" s="1"/>
  <c r="R24" i="6" s="1"/>
  <c r="AA14" i="6" s="1"/>
  <c r="P21" i="6"/>
  <c r="Q21" i="6" s="1"/>
  <c r="R21" i="6" s="1"/>
  <c r="AA13" i="6" s="1"/>
  <c r="P17" i="6"/>
  <c r="Q17" i="6" s="1"/>
  <c r="R17" i="6" s="1"/>
  <c r="AB12" i="6" s="1"/>
  <c r="P12" i="6"/>
  <c r="Q12" i="6" s="1"/>
  <c r="R12" i="6" s="1"/>
  <c r="AA10" i="6" s="1"/>
  <c r="P42" i="6"/>
  <c r="Q42" i="6" s="1"/>
  <c r="R42" i="6" s="1"/>
  <c r="AC23" i="6" s="1"/>
  <c r="P39" i="6"/>
  <c r="Q39" i="6" s="1"/>
  <c r="R39" i="6" s="1"/>
  <c r="AC22" i="6" s="1"/>
  <c r="P35" i="6"/>
  <c r="Q35" i="6" s="1"/>
  <c r="R35" i="6" s="1"/>
  <c r="AA20" i="6" s="1"/>
  <c r="P32" i="6"/>
  <c r="Q32" i="6" s="1"/>
  <c r="R32" i="6" s="1"/>
  <c r="AA19" i="6" s="1"/>
  <c r="P20" i="6"/>
  <c r="Q20" i="6" s="1"/>
  <c r="R20" i="6" s="1"/>
  <c r="AB13" i="6" s="1"/>
  <c r="P45" i="6"/>
  <c r="Q45" i="6" s="1"/>
  <c r="R45" i="6" s="1"/>
  <c r="AC24" i="6" s="1"/>
  <c r="P41" i="6"/>
  <c r="Q41" i="6" s="1"/>
  <c r="R41" i="6" s="1"/>
  <c r="AA22" i="6" s="1"/>
  <c r="P38" i="6"/>
  <c r="Q38" i="6" s="1"/>
  <c r="R38" i="6" s="1"/>
  <c r="AA21" i="6" s="1"/>
  <c r="P34" i="6"/>
  <c r="Q34" i="6" s="1"/>
  <c r="R34" i="6" s="1"/>
  <c r="AB20" i="6" s="1"/>
  <c r="P31" i="6"/>
  <c r="Q31" i="6" s="1"/>
  <c r="R31" i="6" s="1"/>
  <c r="AB19" i="6" s="1"/>
  <c r="P19" i="6"/>
  <c r="Q19" i="6" s="1"/>
  <c r="R19" i="6" s="1"/>
  <c r="AC13" i="6" s="1"/>
  <c r="P16" i="6"/>
  <c r="Q16" i="6" s="1"/>
  <c r="R16" i="6" s="1"/>
  <c r="AC12" i="6" s="1"/>
  <c r="P11" i="6"/>
  <c r="Q11" i="6" s="1"/>
  <c r="R11" i="6" s="1"/>
  <c r="AB10" i="6" s="1"/>
  <c r="P7" i="6"/>
  <c r="Q7" i="6" s="1"/>
  <c r="R7" i="6" s="1"/>
  <c r="AC9" i="6" s="1"/>
  <c r="P23" i="6"/>
  <c r="Q23" i="6" s="1"/>
  <c r="R23" i="6" s="1"/>
  <c r="AB14" i="6" s="1"/>
  <c r="P15" i="6"/>
  <c r="Q15" i="6" s="1"/>
  <c r="R15" i="6" s="1"/>
  <c r="AA11" i="6" s="1"/>
  <c r="AA51" i="18"/>
  <c r="AA56" i="18"/>
  <c r="AA39" i="18"/>
  <c r="AA22" i="18"/>
  <c r="BF44" i="18"/>
  <c r="BF22" i="18"/>
  <c r="AV12" i="18"/>
  <c r="BA16" i="18" s="1"/>
  <c r="BF17" i="18" s="1"/>
  <c r="AA17" i="18"/>
  <c r="Q36" i="1" l="1"/>
  <c r="R36" i="1" s="1"/>
  <c r="S36" i="1" s="1"/>
  <c r="AD18" i="1" s="1"/>
  <c r="AE18" i="1" s="1"/>
  <c r="R8" i="6"/>
  <c r="AB9" i="6" s="1"/>
  <c r="V67" i="32"/>
  <c r="W70" i="32" s="1"/>
  <c r="K192" i="32" s="1"/>
  <c r="V66" i="32"/>
  <c r="V70" i="32" s="1"/>
  <c r="J192" i="32" s="1"/>
  <c r="BF46" i="18"/>
  <c r="Q11" i="1"/>
  <c r="R11" i="1" s="1"/>
  <c r="S11" i="1" s="1"/>
  <c r="AE9" i="1" s="1"/>
  <c r="Q33" i="1"/>
  <c r="R33" i="1" s="1"/>
  <c r="S33" i="1" s="1"/>
  <c r="AB18" i="1" s="1"/>
  <c r="Q16" i="1"/>
  <c r="R16" i="1" s="1"/>
  <c r="S16" i="1" s="1"/>
  <c r="Q15" i="1"/>
  <c r="R15" i="1" s="1"/>
  <c r="S15" i="1" s="1"/>
  <c r="AE10" i="1" s="1"/>
  <c r="Q34" i="1"/>
  <c r="R34" i="1" s="1"/>
  <c r="S34" i="1" s="1"/>
  <c r="AA18" i="1" s="1"/>
  <c r="Q25" i="1"/>
  <c r="R25" i="1" s="1"/>
  <c r="S25" i="1" s="1"/>
  <c r="AC16" i="1" s="1"/>
  <c r="Q31" i="1"/>
  <c r="R31" i="1" s="1"/>
  <c r="S31" i="1" s="1"/>
  <c r="AD17" i="1" s="1"/>
  <c r="Q18" i="1"/>
  <c r="R18" i="1" s="1"/>
  <c r="S18" i="1" s="1"/>
  <c r="AD11" i="1" s="1"/>
  <c r="Q24" i="1"/>
  <c r="R24" i="1" s="1"/>
  <c r="S24" i="1" s="1"/>
  <c r="Q35" i="1"/>
  <c r="R35" i="1" s="1"/>
  <c r="S35" i="1" s="1"/>
  <c r="AC18" i="1" s="1"/>
  <c r="Q8" i="1"/>
  <c r="R8" i="1" s="1"/>
  <c r="S8" i="1" s="1"/>
  <c r="AA9" i="1" s="1"/>
  <c r="Q28" i="1"/>
  <c r="R28" i="1" s="1"/>
  <c r="S28" i="1" s="1"/>
  <c r="AB17" i="1" s="1"/>
  <c r="Q7" i="1"/>
  <c r="R7" i="1" s="1"/>
  <c r="Q26" i="1"/>
  <c r="R26" i="1" s="1"/>
  <c r="S26" i="1" s="1"/>
  <c r="AD16" i="1" s="1"/>
  <c r="Q14" i="1"/>
  <c r="R14" i="1" s="1"/>
  <c r="S14" i="1" s="1"/>
  <c r="AD10" i="1" s="1"/>
  <c r="Q27" i="1"/>
  <c r="R27" i="1" s="1"/>
  <c r="S27" i="1" s="1"/>
  <c r="AE16" i="1" s="1"/>
  <c r="Q9" i="1"/>
  <c r="R9" i="1" s="1"/>
  <c r="S9" i="1" s="1"/>
  <c r="AC9" i="1" s="1"/>
  <c r="Q10" i="1"/>
  <c r="R10" i="1" s="1"/>
  <c r="S10" i="1" s="1"/>
  <c r="AD9" i="1" s="1"/>
  <c r="Q30" i="1"/>
  <c r="R30" i="1" s="1"/>
  <c r="S30" i="1" s="1"/>
  <c r="AC17" i="1" s="1"/>
  <c r="Q12" i="1"/>
  <c r="R12" i="1" s="1"/>
  <c r="S12" i="1" s="1"/>
  <c r="Q32" i="1"/>
  <c r="R32" i="1" s="1"/>
  <c r="S32" i="1" s="1"/>
  <c r="AE17" i="1" s="1"/>
  <c r="Q29" i="1"/>
  <c r="R29" i="1" s="1"/>
  <c r="S29" i="1" s="1"/>
  <c r="AA17" i="1" s="1"/>
  <c r="Q17" i="1"/>
  <c r="R17" i="1" s="1"/>
  <c r="S17" i="1" s="1"/>
  <c r="AC11" i="1" s="1"/>
  <c r="Q13" i="1"/>
  <c r="R13" i="1" s="1"/>
  <c r="S13" i="1" s="1"/>
  <c r="AC10" i="1" s="1"/>
  <c r="Q31" i="18"/>
  <c r="AA34" i="18" s="1"/>
  <c r="U19" i="1" l="1"/>
  <c r="U20" i="1"/>
  <c r="S7" i="1"/>
  <c r="AB9" i="1" s="1"/>
  <c r="W71" i="32"/>
  <c r="I192" i="32" s="1"/>
  <c r="N286" i="7"/>
  <c r="M286" i="7"/>
  <c r="V71" i="32"/>
  <c r="H192" i="32" s="1"/>
  <c r="F111" i="32"/>
  <c r="AB40" i="18"/>
  <c r="AB41" i="18" s="1"/>
  <c r="AA40" i="18"/>
  <c r="AA41" i="18" s="1"/>
  <c r="AB16" i="1"/>
  <c r="AA16" i="1"/>
  <c r="AB11" i="1"/>
  <c r="AA11" i="1"/>
  <c r="AB10" i="1"/>
  <c r="AA10" i="1"/>
  <c r="AE11" i="1"/>
  <c r="V66" i="7"/>
  <c r="V70" i="7" s="1"/>
  <c r="W13" i="6"/>
  <c r="V67" i="7"/>
  <c r="W70" i="7" s="1"/>
  <c r="W12" i="6"/>
  <c r="N266" i="7" l="1"/>
  <c r="M266" i="7"/>
  <c r="F67" i="32"/>
  <c r="G70" i="32" s="1"/>
  <c r="K190" i="32" s="1"/>
  <c r="G114" i="32"/>
  <c r="G115" i="32" s="1"/>
  <c r="I196" i="32" s="1"/>
  <c r="Q196" i="7"/>
  <c r="W71" i="7"/>
  <c r="L286" i="7"/>
  <c r="P196" i="7"/>
  <c r="V71" i="7"/>
  <c r="K286" i="7"/>
  <c r="F110" i="32"/>
  <c r="F114" i="32" s="1"/>
  <c r="F66" i="32"/>
  <c r="F66" i="7"/>
  <c r="W14" i="1"/>
  <c r="F67" i="7"/>
  <c r="F111" i="7"/>
  <c r="W13" i="1"/>
  <c r="F110" i="7"/>
  <c r="F114" i="7" s="1"/>
  <c r="V54" i="18"/>
  <c r="AA55" i="18" s="1"/>
  <c r="AA57" i="18" s="1"/>
  <c r="AA58" i="18" s="1"/>
  <c r="V55" i="18"/>
  <c r="AB55" i="18" s="1"/>
  <c r="AB57" i="18" s="1"/>
  <c r="AB58" i="18" s="1"/>
  <c r="N284" i="7" l="1"/>
  <c r="F275" i="7" s="1"/>
  <c r="N270" i="7"/>
  <c r="G114" i="7"/>
  <c r="G115" i="7" s="1"/>
  <c r="L270" i="7" s="1"/>
  <c r="Q271" i="7" s="1"/>
  <c r="K196" i="32"/>
  <c r="K204" i="32" s="1"/>
  <c r="K205" i="32" s="1"/>
  <c r="F70" i="7"/>
  <c r="K284" i="7" s="1"/>
  <c r="E274" i="7" s="1"/>
  <c r="G70" i="7"/>
  <c r="G71" i="7" s="1"/>
  <c r="L264" i="7" s="1"/>
  <c r="G71" i="32"/>
  <c r="I190" i="32" s="1"/>
  <c r="F70" i="32"/>
  <c r="F71" i="32" s="1"/>
  <c r="H190" i="32" s="1"/>
  <c r="J196" i="32"/>
  <c r="K290" i="7"/>
  <c r="L266" i="7"/>
  <c r="O196" i="7"/>
  <c r="N196" i="7"/>
  <c r="K266" i="7"/>
  <c r="F115" i="32"/>
  <c r="H196" i="32" s="1"/>
  <c r="V18" i="18"/>
  <c r="AA21" i="18" s="1"/>
  <c r="AA23" i="18" s="1"/>
  <c r="AA24" i="18" s="1"/>
  <c r="V19" i="18"/>
  <c r="AB21" i="18" s="1"/>
  <c r="AB23" i="18" s="1"/>
  <c r="AB24" i="18" s="1"/>
  <c r="BA18" i="18"/>
  <c r="BF21" i="18" s="1"/>
  <c r="BF23" i="18" s="1"/>
  <c r="BF24" i="18" s="1"/>
  <c r="BA19" i="18"/>
  <c r="BG21" i="18" s="1"/>
  <c r="BG23" i="18" s="1"/>
  <c r="BG24" i="18" s="1"/>
  <c r="Q200" i="7" l="1"/>
  <c r="Q285" i="7"/>
  <c r="F71" i="7"/>
  <c r="K264" i="7" s="1"/>
  <c r="L290" i="7"/>
  <c r="E277" i="7" s="1"/>
  <c r="M264" i="7"/>
  <c r="F264" i="7"/>
  <c r="N264" i="7"/>
  <c r="M270" i="7"/>
  <c r="M290" i="7"/>
  <c r="F276" i="7" s="1"/>
  <c r="N290" i="7"/>
  <c r="P194" i="7"/>
  <c r="L284" i="7"/>
  <c r="Q194" i="7"/>
  <c r="I204" i="32"/>
  <c r="I205" i="32" s="1"/>
  <c r="J190" i="32"/>
  <c r="P200" i="7"/>
  <c r="F115" i="7"/>
  <c r="K270" i="7" s="1"/>
  <c r="K298" i="7"/>
  <c r="E276" i="7"/>
  <c r="E282" i="7" s="1"/>
  <c r="Q270" i="7"/>
  <c r="H204" i="32"/>
  <c r="L278" i="7"/>
  <c r="O200" i="7"/>
  <c r="O194" i="7"/>
  <c r="Q208" i="7" l="1"/>
  <c r="Q209" i="7" s="1"/>
  <c r="H205" i="32"/>
  <c r="S204" i="32"/>
  <c r="Y234" i="7" s="1"/>
  <c r="Y236" i="7" s="1"/>
  <c r="Q265" i="7"/>
  <c r="Q264" i="7"/>
  <c r="Q276" i="7"/>
  <c r="T270" i="7"/>
  <c r="Q277" i="7"/>
  <c r="T271" i="7"/>
  <c r="N278" i="7"/>
  <c r="F263" i="7"/>
  <c r="M278" i="7"/>
  <c r="F261" i="7"/>
  <c r="P208" i="7"/>
  <c r="K299" i="7" s="1"/>
  <c r="N194" i="7"/>
  <c r="T264" i="7" s="1"/>
  <c r="F262" i="7"/>
  <c r="F271" i="7" s="1"/>
  <c r="F272" i="7" s="1"/>
  <c r="Q284" i="7"/>
  <c r="F277" i="7"/>
  <c r="F284" i="7" s="1"/>
  <c r="N298" i="7"/>
  <c r="M284" i="7"/>
  <c r="M298" i="7" s="1"/>
  <c r="E275" i="7"/>
  <c r="G275" i="7" s="1"/>
  <c r="L298" i="7"/>
  <c r="J204" i="32"/>
  <c r="J205" i="32" s="1"/>
  <c r="G276" i="7"/>
  <c r="N200" i="7"/>
  <c r="T265" i="7" s="1"/>
  <c r="K278" i="7"/>
  <c r="E262" i="7"/>
  <c r="E261" i="7"/>
  <c r="E264" i="7"/>
  <c r="G264" i="7" s="1"/>
  <c r="E263" i="7"/>
  <c r="O208" i="7"/>
  <c r="E285" i="7" l="1"/>
  <c r="L299" i="7"/>
  <c r="G263" i="7"/>
  <c r="F269" i="7"/>
  <c r="F270" i="7" s="1"/>
  <c r="G261" i="7"/>
  <c r="N208" i="7"/>
  <c r="Y218" i="7" s="1"/>
  <c r="E283" i="7"/>
  <c r="P209" i="7"/>
  <c r="G277" i="7"/>
  <c r="G262" i="7"/>
  <c r="N279" i="7"/>
  <c r="F274" i="7"/>
  <c r="F282" i="7" s="1"/>
  <c r="M299" i="7" s="1"/>
  <c r="E284" i="7"/>
  <c r="G284" i="7" s="1"/>
  <c r="N299" i="7"/>
  <c r="F285" i="7"/>
  <c r="L279" i="7"/>
  <c r="E272" i="7"/>
  <c r="O209" i="7"/>
  <c r="E271" i="7"/>
  <c r="Q289" i="7" s="1"/>
  <c r="E269" i="7"/>
  <c r="T275" i="7" l="1"/>
  <c r="T274" i="7"/>
  <c r="Q288" i="7"/>
  <c r="N209" i="7"/>
  <c r="D190" i="7"/>
  <c r="Q280" i="7"/>
  <c r="M279" i="7"/>
  <c r="E270" i="7"/>
  <c r="K279" i="7"/>
  <c r="G274" i="7"/>
  <c r="Q281" i="7"/>
  <c r="G271" i="7"/>
  <c r="G269" i="7"/>
  <c r="F283" i="7"/>
  <c r="G282" i="7"/>
  <c r="Y221" i="7" l="1"/>
  <c r="F19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DFF995-FEC5-D348-9E51-F733BC808796}" name="output2211" type="6" refreshedVersion="7" background="1" saveData="1">
    <textPr sourceFile="/Users/jingyuanwie/Downloads/output.csv" tab="0" comma="1">
      <textFields count="2">
        <textField/>
        <textField/>
      </textFields>
    </textPr>
  </connection>
  <connection id="2" xr16:uid="{819B97E9-7129-6E47-BDCB-A0E35F9D44B6}" name="output22211" type="6" refreshedVersion="7" background="1" saveData="1">
    <textPr sourceFile="/Users/jingyuanwie/Downloads/output.csv" tab="0" comma="1">
      <textFields count="2">
        <textField/>
        <textField/>
      </textFields>
    </textPr>
  </connection>
  <connection id="3" xr16:uid="{FAC32916-938A-B74E-A269-78365095F93A}" name="output222111" type="6" refreshedVersion="7" background="1" saveData="1">
    <textPr sourceFile="/Users/jingyuanwie/Downloads/output.csv" tab="0" comma="1">
      <textFields count="2">
        <textField/>
        <textField/>
      </textFields>
    </textPr>
  </connection>
  <connection id="4" xr16:uid="{337C3839-4237-7142-A653-38B6FB6904A5}" name="output222112" type="6" refreshedVersion="7" background="1" saveData="1">
    <textPr sourceFile="/Users/jingyuanwie/Downloads/output.csv" tab="0" comma="1">
      <textFields count="2">
        <textField/>
        <textField/>
      </textFields>
    </textPr>
  </connection>
  <connection id="5" xr16:uid="{00CE546F-4A17-174D-8302-70523E24A571}" name="output2222" type="6" refreshedVersion="7" background="1" saveData="1">
    <textPr sourceFile="/Users/jingyuanwie/Downloads/output.csv" tab="0" comma="1">
      <textFields count="2">
        <textField/>
        <textField/>
      </textFields>
    </textPr>
  </connection>
</connections>
</file>

<file path=xl/sharedStrings.xml><?xml version="1.0" encoding="utf-8"?>
<sst xmlns="http://schemas.openxmlformats.org/spreadsheetml/2006/main" count="15407" uniqueCount="3788">
  <si>
    <t>Electric</t>
  </si>
  <si>
    <t>Euro 4</t>
  </si>
  <si>
    <t>Euro 5</t>
  </si>
  <si>
    <t>Euro 6</t>
  </si>
  <si>
    <t>Hybrid petrol</t>
  </si>
  <si>
    <t>Euro 3</t>
  </si>
  <si>
    <t>Petrol</t>
  </si>
  <si>
    <t>Euro 6 d</t>
  </si>
  <si>
    <t>Euro 6 a/b/c</t>
  </si>
  <si>
    <t>Diesel</t>
  </si>
  <si>
    <t>EF [g/km] or ECF [MJ/km]</t>
  </si>
  <si>
    <t>Bio Reduction Factor [%]</t>
  </si>
  <si>
    <t>Reduction Factor [%]</t>
  </si>
  <si>
    <t>Hta</t>
  </si>
  <si>
    <t>Zita</t>
  </si>
  <si>
    <t>Epsilon</t>
  </si>
  <si>
    <t>Delta</t>
  </si>
  <si>
    <t>Gamma</t>
  </si>
  <si>
    <t>Beta</t>
  </si>
  <si>
    <t>Alpha</t>
  </si>
  <si>
    <t>Max Speed [km/h]</t>
  </si>
  <si>
    <t>Min Speed [km/h]</t>
  </si>
  <si>
    <t>NOx [g/km]</t>
  </si>
  <si>
    <t>Technology</t>
  </si>
  <si>
    <t>Type</t>
  </si>
  <si>
    <t>PM2.5</t>
  </si>
  <si>
    <t>NOx</t>
  </si>
  <si>
    <t>Ave Speed [km/h]</t>
  </si>
  <si>
    <t>PM2.5 [g/km]</t>
  </si>
  <si>
    <t>Region</t>
  </si>
  <si>
    <t>E09000001</t>
  </si>
  <si>
    <t>City of London</t>
  </si>
  <si>
    <t>London</t>
  </si>
  <si>
    <t>Postcode</t>
  </si>
  <si>
    <t>A</t>
  </si>
  <si>
    <t>B</t>
  </si>
  <si>
    <t>C</t>
  </si>
  <si>
    <t>D</t>
  </si>
  <si>
    <t>E</t>
  </si>
  <si>
    <t>F</t>
  </si>
  <si>
    <t>G</t>
  </si>
  <si>
    <t>-</t>
  </si>
  <si>
    <t>Local Authority</t>
  </si>
  <si>
    <t>Average Speed</t>
  </si>
  <si>
    <t>km/h</t>
  </si>
  <si>
    <t>Q1</t>
  </si>
  <si>
    <t>Enter Postcode:</t>
  </si>
  <si>
    <t>Q2</t>
  </si>
  <si>
    <t>Car</t>
  </si>
  <si>
    <t>Bus</t>
  </si>
  <si>
    <t>Motorbike</t>
  </si>
  <si>
    <t>Train</t>
  </si>
  <si>
    <t>Walk/Cycle</t>
  </si>
  <si>
    <t>I don't commute</t>
  </si>
  <si>
    <t>Q3</t>
  </si>
  <si>
    <t>Hybrid Petrol</t>
  </si>
  <si>
    <t>Q4</t>
  </si>
  <si>
    <t>1 - 5 years</t>
  </si>
  <si>
    <t>6 - 9 years</t>
  </si>
  <si>
    <t>15+ years</t>
  </si>
  <si>
    <t>10 - 14 years</t>
  </si>
  <si>
    <t>Vehicle</t>
  </si>
  <si>
    <t>Emission Factor PM2.5</t>
  </si>
  <si>
    <t>Emission Factor NOx</t>
  </si>
  <si>
    <t>Table 1</t>
  </si>
  <si>
    <t>Emission Factor NOx [g/km]</t>
  </si>
  <si>
    <t>Emission Factor PM2.5 [g/km]</t>
  </si>
  <si>
    <t>Table 1 Summary Panel</t>
  </si>
  <si>
    <t>Table 8 Results Panel</t>
  </si>
  <si>
    <t>Input</t>
  </si>
  <si>
    <t>Output</t>
  </si>
  <si>
    <t>Not known</t>
  </si>
  <si>
    <t>Q5</t>
  </si>
  <si>
    <t>Enter Numerical Value:</t>
  </si>
  <si>
    <t>Q6</t>
  </si>
  <si>
    <t xml:space="preserve">Q7 </t>
  </si>
  <si>
    <t xml:space="preserve">Q8 </t>
  </si>
  <si>
    <t>2-stroke &lt; 50 cm3</t>
  </si>
  <si>
    <t>4-stroke &lt; 250 cm3</t>
  </si>
  <si>
    <t>4-stroke 250-750 cm3</t>
  </si>
  <si>
    <t>2-stroke &gt; 50 cm3</t>
  </si>
  <si>
    <t>4-stroke &lt; 50 cm3</t>
  </si>
  <si>
    <t>4-stroke &gt; 750 cm3</t>
  </si>
  <si>
    <t>Q9</t>
  </si>
  <si>
    <t>Q10</t>
  </si>
  <si>
    <t>*Assuming no emissinos relate to these commuting modes</t>
  </si>
  <si>
    <t>Section 1: Road Transportation Activities for commuting</t>
  </si>
  <si>
    <t>Outside of commuting, do you travel by car?</t>
  </si>
  <si>
    <t>Yes</t>
  </si>
  <si>
    <t>No</t>
  </si>
  <si>
    <t>Outside of commuting, do you travel by bus?</t>
  </si>
  <si>
    <t>Q11</t>
  </si>
  <si>
    <t>Q12</t>
  </si>
  <si>
    <t>Q13</t>
  </si>
  <si>
    <t>Q14</t>
  </si>
  <si>
    <t>Q15</t>
  </si>
  <si>
    <t>Q16</t>
  </si>
  <si>
    <t>Commuting: BUS</t>
  </si>
  <si>
    <t>Commuting: CAR</t>
  </si>
  <si>
    <t>Commuting: MOTORBIKE</t>
  </si>
  <si>
    <t>Commuting: TRAIN, WALK/CYCLE, x</t>
  </si>
  <si>
    <t>Leisure: BUS</t>
  </si>
  <si>
    <t>Leisure: CAR</t>
  </si>
  <si>
    <t>Q17</t>
  </si>
  <si>
    <t>Do you use a wood-burning stove at home?</t>
  </si>
  <si>
    <t>Q18</t>
  </si>
  <si>
    <t>Table 8 Summary Panel</t>
  </si>
  <si>
    <t>Pellet Stove</t>
  </si>
  <si>
    <t>Open fireplace</t>
  </si>
  <si>
    <t>Q19</t>
  </si>
  <si>
    <t>End</t>
  </si>
  <si>
    <t>Monetary Cost</t>
  </si>
  <si>
    <t>Emission [g]</t>
  </si>
  <si>
    <t>Monetary Cost [£]</t>
  </si>
  <si>
    <t>Table 2 Summary Panel</t>
  </si>
  <si>
    <t>Damage costs for pollutants at different region in road transport sector</t>
  </si>
  <si>
    <t>Pollutant</t>
  </si>
  <si>
    <t>Central Damage Cost</t>
  </si>
  <si>
    <t>PM2.5 Domestic</t>
  </si>
  <si>
    <t>Area (sq km)</t>
  </si>
  <si>
    <t>Estimated Population mid-2019</t>
  </si>
  <si>
    <t>2019 people per sq. km</t>
  </si>
  <si>
    <t>central</t>
  </si>
  <si>
    <t>NTS Area Type</t>
  </si>
  <si>
    <t>NTM Area Type</t>
  </si>
  <si>
    <t xml:space="preserve"> </t>
  </si>
  <si>
    <t>Postcode:</t>
  </si>
  <si>
    <t>Table 4</t>
  </si>
  <si>
    <t>Average speed of bus at different regions</t>
  </si>
  <si>
    <t>Technology specific emission factors for passenger cars</t>
  </si>
  <si>
    <t>Table 7</t>
  </si>
  <si>
    <t>Average Soeed</t>
  </si>
  <si>
    <t>NOx Emission Factor</t>
  </si>
  <si>
    <t>PM2.5 Emission Factor</t>
  </si>
  <si>
    <t>Table 4 Summary Panel</t>
  </si>
  <si>
    <t>Table 7 Summary Panel</t>
  </si>
  <si>
    <t>g/km</t>
  </si>
  <si>
    <t>g/pkm</t>
  </si>
  <si>
    <t>Commuting:</t>
  </si>
  <si>
    <t>Leisure:</t>
  </si>
  <si>
    <t>Section 2: Road Transportation Activities for Leisure</t>
  </si>
  <si>
    <t>Table 6</t>
  </si>
  <si>
    <t>NOX Domestic</t>
  </si>
  <si>
    <t>Defra approved / Eco-design ready stove</t>
  </si>
  <si>
    <t>g</t>
  </si>
  <si>
    <t>Damage Cost [£/t]</t>
  </si>
  <si>
    <t>Gas Oil</t>
  </si>
  <si>
    <t>Natural Gas</t>
  </si>
  <si>
    <t>Table 3 Summary Panel (Car / Motorbike)</t>
  </si>
  <si>
    <t>Table 4 Summary Panel (Buses)</t>
  </si>
  <si>
    <t>GSS Code</t>
  </si>
  <si>
    <t>Table 3</t>
  </si>
  <si>
    <t>Identify</t>
  </si>
  <si>
    <t>Data Directory</t>
  </si>
  <si>
    <t>Source: Table 3</t>
  </si>
  <si>
    <t>Dataset Directory</t>
  </si>
  <si>
    <t>Source: Table 1</t>
  </si>
  <si>
    <t>Q2-A: Car</t>
  </si>
  <si>
    <t>Source: Table 2</t>
  </si>
  <si>
    <t>Calculation</t>
  </si>
  <si>
    <t>Average Speed [km/h]</t>
  </si>
  <si>
    <t>EF PM2.5 [g/km]</t>
  </si>
  <si>
    <t>NOx Damage Cost [£/t]</t>
  </si>
  <si>
    <t>PM2.5 Damage Cost [£/t]</t>
  </si>
  <si>
    <t>EF NOx [g/km]</t>
  </si>
  <si>
    <t>Calculation Input Data</t>
  </si>
  <si>
    <t>Q2-B: Bus</t>
  </si>
  <si>
    <t>Source: Table 4</t>
  </si>
  <si>
    <t>Datasets</t>
  </si>
  <si>
    <t>Source: Table 7</t>
  </si>
  <si>
    <t>Q2-C: Motorbike</t>
  </si>
  <si>
    <t>Table 8</t>
  </si>
  <si>
    <t>Q2-D: Train</t>
  </si>
  <si>
    <t>Q2-E: Walk/Cycle</t>
  </si>
  <si>
    <t>Q2-F: I don't commute</t>
  </si>
  <si>
    <t>Previously Extracted Data</t>
  </si>
  <si>
    <t>EF [g/km]</t>
  </si>
  <si>
    <t>Pollutant Emission &amp; Monetary Cost Calculation</t>
  </si>
  <si>
    <t>Source: Table 8</t>
  </si>
  <si>
    <t>Car Average Speed [km/h]</t>
  </si>
  <si>
    <t>Bus Average Speed [km/h]</t>
  </si>
  <si>
    <t>Motorbike Average Speed [km/h]</t>
  </si>
  <si>
    <t>END</t>
  </si>
  <si>
    <t>Source: Table 5</t>
  </si>
  <si>
    <t>Source: Table 6</t>
  </si>
  <si>
    <t>Table No.</t>
  </si>
  <si>
    <t>Table Name</t>
  </si>
  <si>
    <t>Table Content</t>
  </si>
  <si>
    <t>Governed by</t>
  </si>
  <si>
    <t>Source</t>
  </si>
  <si>
    <t>First Iteration</t>
  </si>
  <si>
    <t>Proposed</t>
  </si>
  <si>
    <t>Progress</t>
  </si>
  <si>
    <t>T1</t>
  </si>
  <si>
    <t>Type of car</t>
  </si>
  <si>
    <t>Age of car</t>
  </si>
  <si>
    <t>Average vehicle speed</t>
  </si>
  <si>
    <t>Type of pollutants</t>
  </si>
  <si>
    <t>Tier 2</t>
  </si>
  <si>
    <t>Tier 3</t>
  </si>
  <si>
    <t>✓</t>
  </si>
  <si>
    <t>T2</t>
  </si>
  <si>
    <t>Ricardo – Defra</t>
  </si>
  <si>
    <t>Atkins – DfT</t>
  </si>
  <si>
    <t>AEA – Defra</t>
  </si>
  <si>
    <t>ONS</t>
  </si>
  <si>
    <t>DEFRA</t>
  </si>
  <si>
    <t>(4 / 10 regions)</t>
  </si>
  <si>
    <t>(10 / 10 regions)</t>
  </si>
  <si>
    <t>T3</t>
  </si>
  <si>
    <t>Average speed of vehicles (car and motorbike) at different regions</t>
  </si>
  <si>
    <t>GOV.UK</t>
  </si>
  <si>
    <t>Table: CNG0501a</t>
  </si>
  <si>
    <t>Table: CNG0501b, NTS9910 &amp; NTS0303</t>
  </si>
  <si>
    <t>T4</t>
  </si>
  <si>
    <t>Table: NTS0303</t>
  </si>
  <si>
    <t>Table: NTS9910 &amp; NTS0303</t>
  </si>
  <si>
    <t>T5</t>
  </si>
  <si>
    <t>Type of stove</t>
  </si>
  <si>
    <t>T6</t>
  </si>
  <si>
    <t>T7</t>
  </si>
  <si>
    <t>Technology specific emission factors for buses</t>
  </si>
  <si>
    <t>NAEI &amp; GOV.UK</t>
  </si>
  <si>
    <t>T8</t>
  </si>
  <si>
    <t>Technology specific emission factors for motorbikes</t>
  </si>
  <si>
    <t>Type of motorbike</t>
  </si>
  <si>
    <t>Age of Motorbike</t>
  </si>
  <si>
    <t>Central Damage Cost (£/t)</t>
  </si>
  <si>
    <t>Euro 6d</t>
  </si>
  <si>
    <t>Technologies</t>
  </si>
  <si>
    <t>Multiple Choice Question</t>
  </si>
  <si>
    <t>(N)</t>
  </si>
  <si>
    <t>Input Numerical Value</t>
  </si>
  <si>
    <t>(M)</t>
  </si>
  <si>
    <t>(P)</t>
  </si>
  <si>
    <t>Table 5 Summary Panel</t>
  </si>
  <si>
    <t>Table 6 Summary Panel</t>
  </si>
  <si>
    <t>NOx Damage cost (£/t):</t>
  </si>
  <si>
    <t>PM2.5 Damage Cost (£/t):</t>
  </si>
  <si>
    <t>Private car use</t>
  </si>
  <si>
    <t>Motorcycles</t>
  </si>
  <si>
    <t>Total population UK (2018)</t>
  </si>
  <si>
    <t>Q20</t>
  </si>
  <si>
    <t>Do you use a gas boiler at home?</t>
  </si>
  <si>
    <t>Q21</t>
  </si>
  <si>
    <t>Do you use an electric heat pump?</t>
  </si>
  <si>
    <t>Q22</t>
  </si>
  <si>
    <t>Central present value (£/t)</t>
  </si>
  <si>
    <t>Q23</t>
  </si>
  <si>
    <t>New Table 5</t>
  </si>
  <si>
    <t>Iteration I</t>
  </si>
  <si>
    <t>Iteration II</t>
  </si>
  <si>
    <t>Source: NAEI 2018</t>
  </si>
  <si>
    <t>Emission (g)</t>
  </si>
  <si>
    <t>Combustion in Industry</t>
  </si>
  <si>
    <t>Heavy duty vehicles</t>
  </si>
  <si>
    <t>Other Transport</t>
  </si>
  <si>
    <t>Passenger cars</t>
  </si>
  <si>
    <t>Production processes: Agriculture/Waste/other</t>
  </si>
  <si>
    <t>Public Electrivity and Heat Production</t>
  </si>
  <si>
    <t>Road Transport</t>
  </si>
  <si>
    <t>Agriculture/Waste</t>
  </si>
  <si>
    <t>1 - 2 years</t>
  </si>
  <si>
    <t>5+ years</t>
  </si>
  <si>
    <t>3 - 5 years</t>
  </si>
  <si>
    <t>DHL</t>
  </si>
  <si>
    <t>AB10</t>
  </si>
  <si>
    <t>AB11</t>
  </si>
  <si>
    <t>AB12</t>
  </si>
  <si>
    <t>AB13</t>
  </si>
  <si>
    <t>AB14</t>
  </si>
  <si>
    <t>AB15</t>
  </si>
  <si>
    <t>AB16</t>
  </si>
  <si>
    <t>AB21</t>
  </si>
  <si>
    <t>AB22</t>
  </si>
  <si>
    <t>AB23</t>
  </si>
  <si>
    <t>AB24</t>
  </si>
  <si>
    <t>AB25</t>
  </si>
  <si>
    <t>AB30</t>
  </si>
  <si>
    <t>AB31</t>
  </si>
  <si>
    <t>AB32</t>
  </si>
  <si>
    <t>AB33</t>
  </si>
  <si>
    <t>AB34</t>
  </si>
  <si>
    <t>AB35</t>
  </si>
  <si>
    <t>AB36</t>
  </si>
  <si>
    <t>AB37</t>
  </si>
  <si>
    <t>AB38</t>
  </si>
  <si>
    <t>AB39</t>
  </si>
  <si>
    <t>AB41</t>
  </si>
  <si>
    <t>AB42</t>
  </si>
  <si>
    <t>AB43</t>
  </si>
  <si>
    <t>AB44</t>
  </si>
  <si>
    <t>AB45</t>
  </si>
  <si>
    <t>AB51</t>
  </si>
  <si>
    <t>AB52</t>
  </si>
  <si>
    <t>AB53</t>
  </si>
  <si>
    <t>AB54</t>
  </si>
  <si>
    <t>AB55</t>
  </si>
  <si>
    <t>AB56</t>
  </si>
  <si>
    <t>AB99</t>
  </si>
  <si>
    <t>AL1</t>
  </si>
  <si>
    <t>AL10</t>
  </si>
  <si>
    <t>AL2</t>
  </si>
  <si>
    <t>AL3</t>
  </si>
  <si>
    <t>AL4</t>
  </si>
  <si>
    <t>AL5</t>
  </si>
  <si>
    <t>AL6</t>
  </si>
  <si>
    <t>AL7</t>
  </si>
  <si>
    <t>AL8</t>
  </si>
  <si>
    <t>AL9</t>
  </si>
  <si>
    <t>B1</t>
  </si>
  <si>
    <t>B10</t>
  </si>
  <si>
    <t>B11</t>
  </si>
  <si>
    <t>B12</t>
  </si>
  <si>
    <t>B13</t>
  </si>
  <si>
    <t>B14</t>
  </si>
  <si>
    <t>B15</t>
  </si>
  <si>
    <t>B16</t>
  </si>
  <si>
    <t>B17</t>
  </si>
  <si>
    <t>B18</t>
  </si>
  <si>
    <t>B19</t>
  </si>
  <si>
    <t>B2</t>
  </si>
  <si>
    <t>B20</t>
  </si>
  <si>
    <t>B21</t>
  </si>
  <si>
    <t>B23</t>
  </si>
  <si>
    <t>B24</t>
  </si>
  <si>
    <t>B25</t>
  </si>
  <si>
    <t>B26</t>
  </si>
  <si>
    <t>B27</t>
  </si>
  <si>
    <t>B28</t>
  </si>
  <si>
    <t>B29</t>
  </si>
  <si>
    <t>B3</t>
  </si>
  <si>
    <t>B30</t>
  </si>
  <si>
    <t>B31</t>
  </si>
  <si>
    <t>B32</t>
  </si>
  <si>
    <t>B33</t>
  </si>
  <si>
    <t>B34</t>
  </si>
  <si>
    <t>B35</t>
  </si>
  <si>
    <t>B36</t>
  </si>
  <si>
    <t>B37</t>
  </si>
  <si>
    <t>B38</t>
  </si>
  <si>
    <t>B4</t>
  </si>
  <si>
    <t>B40</t>
  </si>
  <si>
    <t>B42</t>
  </si>
  <si>
    <t>B43</t>
  </si>
  <si>
    <t>B44</t>
  </si>
  <si>
    <t>B45</t>
  </si>
  <si>
    <t>B46</t>
  </si>
  <si>
    <t>B47</t>
  </si>
  <si>
    <t>B48</t>
  </si>
  <si>
    <t>B49</t>
  </si>
  <si>
    <t>B5</t>
  </si>
  <si>
    <t>B50</t>
  </si>
  <si>
    <t>B6</t>
  </si>
  <si>
    <t>B60</t>
  </si>
  <si>
    <t>B61</t>
  </si>
  <si>
    <t>B62</t>
  </si>
  <si>
    <t>B63</t>
  </si>
  <si>
    <t>B64</t>
  </si>
  <si>
    <t>B65</t>
  </si>
  <si>
    <t>B66</t>
  </si>
  <si>
    <t>B67</t>
  </si>
  <si>
    <t>B68</t>
  </si>
  <si>
    <t>B69</t>
  </si>
  <si>
    <t>B7</t>
  </si>
  <si>
    <t>B70</t>
  </si>
  <si>
    <t>B71</t>
  </si>
  <si>
    <t>B72</t>
  </si>
  <si>
    <t>B73</t>
  </si>
  <si>
    <t>B74</t>
  </si>
  <si>
    <t>B75</t>
  </si>
  <si>
    <t>B76</t>
  </si>
  <si>
    <t>B77</t>
  </si>
  <si>
    <t>B78</t>
  </si>
  <si>
    <t>B79</t>
  </si>
  <si>
    <t>B8</t>
  </si>
  <si>
    <t>B80</t>
  </si>
  <si>
    <t>B9</t>
  </si>
  <si>
    <t>B90</t>
  </si>
  <si>
    <t>B91</t>
  </si>
  <si>
    <t>B92</t>
  </si>
  <si>
    <t>B93</t>
  </si>
  <si>
    <t>B94</t>
  </si>
  <si>
    <t>B95</t>
  </si>
  <si>
    <t>B96</t>
  </si>
  <si>
    <t>B97</t>
  </si>
  <si>
    <t>B98</t>
  </si>
  <si>
    <t>B99</t>
  </si>
  <si>
    <t>BA1</t>
  </si>
  <si>
    <t>BA10</t>
  </si>
  <si>
    <t>BA11</t>
  </si>
  <si>
    <t>BA12</t>
  </si>
  <si>
    <t>BA13</t>
  </si>
  <si>
    <t>BA14</t>
  </si>
  <si>
    <t>BA15</t>
  </si>
  <si>
    <t>BA16</t>
  </si>
  <si>
    <t>BA2</t>
  </si>
  <si>
    <t>BA20</t>
  </si>
  <si>
    <t>BA21</t>
  </si>
  <si>
    <t>BA22</t>
  </si>
  <si>
    <t>BA3</t>
  </si>
  <si>
    <t>BA4</t>
  </si>
  <si>
    <t>BA5</t>
  </si>
  <si>
    <t>BA6</t>
  </si>
  <si>
    <t>BA7</t>
  </si>
  <si>
    <t>BA8</t>
  </si>
  <si>
    <t>BA9</t>
  </si>
  <si>
    <t>BB1</t>
  </si>
  <si>
    <t>BB10</t>
  </si>
  <si>
    <t>BB11</t>
  </si>
  <si>
    <t>BB12</t>
  </si>
  <si>
    <t>BB18</t>
  </si>
  <si>
    <t>BB2</t>
  </si>
  <si>
    <t>BB3</t>
  </si>
  <si>
    <t>BB4</t>
  </si>
  <si>
    <t>BB5</t>
  </si>
  <si>
    <t>BB6</t>
  </si>
  <si>
    <t>BB7</t>
  </si>
  <si>
    <t>BB8</t>
  </si>
  <si>
    <t>BB9</t>
  </si>
  <si>
    <t>BB94</t>
  </si>
  <si>
    <t>BD1</t>
  </si>
  <si>
    <t>BD10</t>
  </si>
  <si>
    <t>BD11</t>
  </si>
  <si>
    <t>BD12</t>
  </si>
  <si>
    <t>BD13</t>
  </si>
  <si>
    <t>BD14</t>
  </si>
  <si>
    <t>BD15</t>
  </si>
  <si>
    <t>BD16</t>
  </si>
  <si>
    <t>BD17</t>
  </si>
  <si>
    <t>BD18</t>
  </si>
  <si>
    <t>BD19</t>
  </si>
  <si>
    <t>BD2</t>
  </si>
  <si>
    <t>BD20</t>
  </si>
  <si>
    <t>BD21</t>
  </si>
  <si>
    <t>BD22</t>
  </si>
  <si>
    <t>BD23</t>
  </si>
  <si>
    <t>BD24</t>
  </si>
  <si>
    <t>BD3</t>
  </si>
  <si>
    <t>BD4</t>
  </si>
  <si>
    <t>BD5</t>
  </si>
  <si>
    <t>BD6</t>
  </si>
  <si>
    <t>BD7</t>
  </si>
  <si>
    <t>BD8</t>
  </si>
  <si>
    <t>BD9</t>
  </si>
  <si>
    <t>BD97</t>
  </si>
  <si>
    <t>BD98</t>
  </si>
  <si>
    <t>BD99</t>
  </si>
  <si>
    <t>BH1</t>
  </si>
  <si>
    <t>BH10</t>
  </si>
  <si>
    <t>BH11</t>
  </si>
  <si>
    <t>BH12</t>
  </si>
  <si>
    <t>BH13</t>
  </si>
  <si>
    <t>BH14</t>
  </si>
  <si>
    <t>BH15</t>
  </si>
  <si>
    <t>BH16</t>
  </si>
  <si>
    <t>BH17</t>
  </si>
  <si>
    <t>BH18</t>
  </si>
  <si>
    <t>BH19</t>
  </si>
  <si>
    <t>BH2</t>
  </si>
  <si>
    <t>BH20</t>
  </si>
  <si>
    <t>BH21</t>
  </si>
  <si>
    <t>BH22</t>
  </si>
  <si>
    <t>BH23</t>
  </si>
  <si>
    <t>BH24</t>
  </si>
  <si>
    <t>BH25</t>
  </si>
  <si>
    <t>BH3</t>
  </si>
  <si>
    <t>BH31</t>
  </si>
  <si>
    <t>BH4</t>
  </si>
  <si>
    <t>BH5</t>
  </si>
  <si>
    <t>BH6</t>
  </si>
  <si>
    <t>BH7</t>
  </si>
  <si>
    <t>BH8</t>
  </si>
  <si>
    <t>BH9</t>
  </si>
  <si>
    <t>BL0</t>
  </si>
  <si>
    <t>BL1</t>
  </si>
  <si>
    <t>BL11</t>
  </si>
  <si>
    <t>BL2</t>
  </si>
  <si>
    <t>BL3</t>
  </si>
  <si>
    <t>BL4</t>
  </si>
  <si>
    <t>BL5</t>
  </si>
  <si>
    <t>BL6</t>
  </si>
  <si>
    <t>BL7</t>
  </si>
  <si>
    <t>BL78</t>
  </si>
  <si>
    <t>BL8</t>
  </si>
  <si>
    <t>BL9</t>
  </si>
  <si>
    <t>BN1</t>
  </si>
  <si>
    <t>BN10</t>
  </si>
  <si>
    <t>BN11</t>
  </si>
  <si>
    <t>BN12</t>
  </si>
  <si>
    <t>BN13</t>
  </si>
  <si>
    <t>BN14</t>
  </si>
  <si>
    <t>BN15</t>
  </si>
  <si>
    <t>BN16</t>
  </si>
  <si>
    <t>BN17</t>
  </si>
  <si>
    <t>BN18</t>
  </si>
  <si>
    <t>BN2</t>
  </si>
  <si>
    <t>BN20</t>
  </si>
  <si>
    <t>BN21</t>
  </si>
  <si>
    <t>BN22</t>
  </si>
  <si>
    <t>BN23</t>
  </si>
  <si>
    <t>BN24</t>
  </si>
  <si>
    <t>BN25</t>
  </si>
  <si>
    <t>BN26</t>
  </si>
  <si>
    <t>BN27</t>
  </si>
  <si>
    <t>BN3</t>
  </si>
  <si>
    <t>BN41</t>
  </si>
  <si>
    <t>BN42</t>
  </si>
  <si>
    <t>BN43</t>
  </si>
  <si>
    <t>BN44</t>
  </si>
  <si>
    <t>BN45</t>
  </si>
  <si>
    <t>BN5</t>
  </si>
  <si>
    <t>BN50</t>
  </si>
  <si>
    <t>BN51</t>
  </si>
  <si>
    <t>BN52</t>
  </si>
  <si>
    <t>BN6</t>
  </si>
  <si>
    <t>BN7</t>
  </si>
  <si>
    <t>BN8</t>
  </si>
  <si>
    <t>BN88</t>
  </si>
  <si>
    <t>BN9</t>
  </si>
  <si>
    <t>BN91</t>
  </si>
  <si>
    <t>BN95</t>
  </si>
  <si>
    <t>BN99</t>
  </si>
  <si>
    <t>BR1</t>
  </si>
  <si>
    <t>BR2</t>
  </si>
  <si>
    <t>BR3</t>
  </si>
  <si>
    <t>BR4</t>
  </si>
  <si>
    <t>BR5</t>
  </si>
  <si>
    <t>BR6</t>
  </si>
  <si>
    <t>BR7</t>
  </si>
  <si>
    <t>BR8</t>
  </si>
  <si>
    <t>BS1</t>
  </si>
  <si>
    <t>BS10</t>
  </si>
  <si>
    <t>BS11</t>
  </si>
  <si>
    <t>BS13</t>
  </si>
  <si>
    <t>BS14</t>
  </si>
  <si>
    <t>BS15</t>
  </si>
  <si>
    <t>BS16</t>
  </si>
  <si>
    <t>BS2</t>
  </si>
  <si>
    <t>BS20</t>
  </si>
  <si>
    <t>BS21</t>
  </si>
  <si>
    <t>BS22</t>
  </si>
  <si>
    <t>BS23</t>
  </si>
  <si>
    <t>BS24</t>
  </si>
  <si>
    <t>BS25</t>
  </si>
  <si>
    <t>BS26</t>
  </si>
  <si>
    <t>BS27</t>
  </si>
  <si>
    <t>BS28</t>
  </si>
  <si>
    <t>BS29</t>
  </si>
  <si>
    <t>BS3</t>
  </si>
  <si>
    <t>BS30</t>
  </si>
  <si>
    <t>BS31</t>
  </si>
  <si>
    <t>BS32</t>
  </si>
  <si>
    <t>BS34</t>
  </si>
  <si>
    <t>BS35</t>
  </si>
  <si>
    <t>BS36</t>
  </si>
  <si>
    <t>BS37</t>
  </si>
  <si>
    <t>BS39</t>
  </si>
  <si>
    <t>BS4</t>
  </si>
  <si>
    <t>BS40</t>
  </si>
  <si>
    <t>BS41</t>
  </si>
  <si>
    <t>BS48</t>
  </si>
  <si>
    <t>BS49</t>
  </si>
  <si>
    <t>BS5</t>
  </si>
  <si>
    <t>BS6</t>
  </si>
  <si>
    <t>BS7</t>
  </si>
  <si>
    <t>BS8</t>
  </si>
  <si>
    <t>BS9</t>
  </si>
  <si>
    <t>BS98</t>
  </si>
  <si>
    <t>BS99</t>
  </si>
  <si>
    <t>BT1</t>
  </si>
  <si>
    <t>BT10</t>
  </si>
  <si>
    <t>BT11</t>
  </si>
  <si>
    <t>BT12</t>
  </si>
  <si>
    <t>BT13</t>
  </si>
  <si>
    <t>BT14</t>
  </si>
  <si>
    <t>BT15</t>
  </si>
  <si>
    <t>BT16</t>
  </si>
  <si>
    <t>BT17</t>
  </si>
  <si>
    <t>BT18</t>
  </si>
  <si>
    <t>BT19</t>
  </si>
  <si>
    <t>BT2</t>
  </si>
  <si>
    <t>BT20</t>
  </si>
  <si>
    <t>BT21</t>
  </si>
  <si>
    <t>BT22</t>
  </si>
  <si>
    <t>BT23</t>
  </si>
  <si>
    <t>BT24</t>
  </si>
  <si>
    <t>BT25</t>
  </si>
  <si>
    <t>BT26</t>
  </si>
  <si>
    <t>BT27</t>
  </si>
  <si>
    <t>BT28</t>
  </si>
  <si>
    <t>BT29</t>
  </si>
  <si>
    <t>BT3</t>
  </si>
  <si>
    <t>BT30</t>
  </si>
  <si>
    <t>BT31</t>
  </si>
  <si>
    <t>BT32</t>
  </si>
  <si>
    <t>BT33</t>
  </si>
  <si>
    <t>BT34</t>
  </si>
  <si>
    <t>BT35</t>
  </si>
  <si>
    <t>BT36</t>
  </si>
  <si>
    <t>BT37</t>
  </si>
  <si>
    <t>BT38</t>
  </si>
  <si>
    <t>BT39</t>
  </si>
  <si>
    <t>BT4</t>
  </si>
  <si>
    <t>BT40</t>
  </si>
  <si>
    <t>BT41</t>
  </si>
  <si>
    <t>BT42</t>
  </si>
  <si>
    <t>BT43</t>
  </si>
  <si>
    <t>BT44</t>
  </si>
  <si>
    <t>BT45</t>
  </si>
  <si>
    <t>BT46</t>
  </si>
  <si>
    <t>BT47</t>
  </si>
  <si>
    <t>BT48</t>
  </si>
  <si>
    <t>BT49</t>
  </si>
  <si>
    <t>BT5</t>
  </si>
  <si>
    <t>BT51</t>
  </si>
  <si>
    <t>BT52</t>
  </si>
  <si>
    <t>BT53</t>
  </si>
  <si>
    <t>BT54</t>
  </si>
  <si>
    <t>BT55</t>
  </si>
  <si>
    <t>BT56</t>
  </si>
  <si>
    <t>BT57</t>
  </si>
  <si>
    <t>BT6</t>
  </si>
  <si>
    <t>BT60</t>
  </si>
  <si>
    <t>BT61</t>
  </si>
  <si>
    <t>BT62</t>
  </si>
  <si>
    <t>BT63</t>
  </si>
  <si>
    <t>BT64</t>
  </si>
  <si>
    <t>BT65</t>
  </si>
  <si>
    <t>BT66</t>
  </si>
  <si>
    <t>BT67</t>
  </si>
  <si>
    <t>BT68</t>
  </si>
  <si>
    <t>BT69</t>
  </si>
  <si>
    <t>BT7</t>
  </si>
  <si>
    <t>BT70</t>
  </si>
  <si>
    <t>BT71</t>
  </si>
  <si>
    <t>BT74</t>
  </si>
  <si>
    <t>BT75</t>
  </si>
  <si>
    <t>BT76</t>
  </si>
  <si>
    <t>BT77</t>
  </si>
  <si>
    <t>BT78</t>
  </si>
  <si>
    <t>BT79</t>
  </si>
  <si>
    <t>BT8</t>
  </si>
  <si>
    <t>BT80</t>
  </si>
  <si>
    <t>BT81</t>
  </si>
  <si>
    <t>BT82</t>
  </si>
  <si>
    <t>BT9</t>
  </si>
  <si>
    <t>BT92</t>
  </si>
  <si>
    <t>BT93</t>
  </si>
  <si>
    <t>BT94</t>
  </si>
  <si>
    <t>CA1</t>
  </si>
  <si>
    <t>CA10</t>
  </si>
  <si>
    <t>CA11</t>
  </si>
  <si>
    <t>CA12</t>
  </si>
  <si>
    <t>CA13</t>
  </si>
  <si>
    <t>CA14</t>
  </si>
  <si>
    <t>CA15</t>
  </si>
  <si>
    <t>CA16</t>
  </si>
  <si>
    <t>CA17</t>
  </si>
  <si>
    <t>CA18</t>
  </si>
  <si>
    <t>CA19</t>
  </si>
  <si>
    <t>CA2</t>
  </si>
  <si>
    <t>CA20</t>
  </si>
  <si>
    <t>CA21</t>
  </si>
  <si>
    <t>CA22</t>
  </si>
  <si>
    <t>CA23</t>
  </si>
  <si>
    <t>CA24</t>
  </si>
  <si>
    <t>CA25</t>
  </si>
  <si>
    <t>CA26</t>
  </si>
  <si>
    <t>CA27</t>
  </si>
  <si>
    <t>CA28</t>
  </si>
  <si>
    <t>CA3</t>
  </si>
  <si>
    <t>CA4</t>
  </si>
  <si>
    <t>CA5</t>
  </si>
  <si>
    <t>CA6</t>
  </si>
  <si>
    <t>CA7</t>
  </si>
  <si>
    <t>CA8</t>
  </si>
  <si>
    <t>CA9</t>
  </si>
  <si>
    <t>CA95</t>
  </si>
  <si>
    <t>CB1</t>
  </si>
  <si>
    <t>CB10</t>
  </si>
  <si>
    <t>CB11</t>
  </si>
  <si>
    <t>CB2</t>
  </si>
  <si>
    <t>CB21</t>
  </si>
  <si>
    <t>CB22</t>
  </si>
  <si>
    <t>CB23</t>
  </si>
  <si>
    <t>CB24</t>
  </si>
  <si>
    <t>CB25</t>
  </si>
  <si>
    <t>CB3</t>
  </si>
  <si>
    <t>CB4</t>
  </si>
  <si>
    <t>CB5</t>
  </si>
  <si>
    <t>CB6</t>
  </si>
  <si>
    <t>CB7</t>
  </si>
  <si>
    <t>CB8</t>
  </si>
  <si>
    <t>CB9</t>
  </si>
  <si>
    <t>CF10</t>
  </si>
  <si>
    <t>CF11</t>
  </si>
  <si>
    <t>CF14</t>
  </si>
  <si>
    <t>CF15</t>
  </si>
  <si>
    <t>CF23</t>
  </si>
  <si>
    <t>CF24</t>
  </si>
  <si>
    <t>CF3</t>
  </si>
  <si>
    <t>CF30</t>
  </si>
  <si>
    <t>CF31</t>
  </si>
  <si>
    <t>CF32</t>
  </si>
  <si>
    <t>CF33</t>
  </si>
  <si>
    <t>CF34</t>
  </si>
  <si>
    <t>CF35</t>
  </si>
  <si>
    <t>CF36</t>
  </si>
  <si>
    <t>CF37</t>
  </si>
  <si>
    <t>CF38</t>
  </si>
  <si>
    <t>CF39</t>
  </si>
  <si>
    <t>CF40</t>
  </si>
  <si>
    <t>CF41</t>
  </si>
  <si>
    <t>CF42</t>
  </si>
  <si>
    <t>CF43</t>
  </si>
  <si>
    <t>CF44</t>
  </si>
  <si>
    <t>CF45</t>
  </si>
  <si>
    <t>CF46</t>
  </si>
  <si>
    <t>CF47</t>
  </si>
  <si>
    <t>CF48</t>
  </si>
  <si>
    <t>CF5</t>
  </si>
  <si>
    <t>CF61</t>
  </si>
  <si>
    <t>CF62</t>
  </si>
  <si>
    <t>CF63</t>
  </si>
  <si>
    <t>CF64</t>
  </si>
  <si>
    <t>CF71</t>
  </si>
  <si>
    <t>CF72</t>
  </si>
  <si>
    <t>CF81</t>
  </si>
  <si>
    <t>CF82</t>
  </si>
  <si>
    <t>CF83</t>
  </si>
  <si>
    <t>CF91</t>
  </si>
  <si>
    <t>CF95</t>
  </si>
  <si>
    <t>CF99</t>
  </si>
  <si>
    <t>CH1</t>
  </si>
  <si>
    <t>CH2</t>
  </si>
  <si>
    <t>CH25</t>
  </si>
  <si>
    <t>CH26</t>
  </si>
  <si>
    <t>CH27</t>
  </si>
  <si>
    <t>CH28</t>
  </si>
  <si>
    <t>CH29</t>
  </si>
  <si>
    <t>CH3</t>
  </si>
  <si>
    <t>CH30</t>
  </si>
  <si>
    <t>CH31</t>
  </si>
  <si>
    <t>CH32</t>
  </si>
  <si>
    <t>CH33</t>
  </si>
  <si>
    <t>CH34</t>
  </si>
  <si>
    <t>CH4</t>
  </si>
  <si>
    <t>CH41</t>
  </si>
  <si>
    <t>CH42</t>
  </si>
  <si>
    <t>CH43</t>
  </si>
  <si>
    <t>CH44</t>
  </si>
  <si>
    <t>CH45</t>
  </si>
  <si>
    <t>CH46</t>
  </si>
  <si>
    <t>CH47</t>
  </si>
  <si>
    <t>CH48</t>
  </si>
  <si>
    <t>CH49</t>
  </si>
  <si>
    <t>CH5</t>
  </si>
  <si>
    <t>CH6</t>
  </si>
  <si>
    <t>CH60</t>
  </si>
  <si>
    <t>CH61</t>
  </si>
  <si>
    <t>CH62</t>
  </si>
  <si>
    <t>CH63</t>
  </si>
  <si>
    <t>CH64</t>
  </si>
  <si>
    <t>CH65</t>
  </si>
  <si>
    <t>CH66</t>
  </si>
  <si>
    <t>CH7</t>
  </si>
  <si>
    <t>CH70</t>
  </si>
  <si>
    <t>CH8</t>
  </si>
  <si>
    <t>CH88</t>
  </si>
  <si>
    <t>CH99</t>
  </si>
  <si>
    <t>CM0</t>
  </si>
  <si>
    <t>CM1</t>
  </si>
  <si>
    <t>CM11</t>
  </si>
  <si>
    <t>CM12</t>
  </si>
  <si>
    <t>CM13</t>
  </si>
  <si>
    <t>CM14</t>
  </si>
  <si>
    <t>CM15</t>
  </si>
  <si>
    <t>CM16</t>
  </si>
  <si>
    <t>CM17</t>
  </si>
  <si>
    <t>CM18</t>
  </si>
  <si>
    <t>CM19</t>
  </si>
  <si>
    <t>CM2</t>
  </si>
  <si>
    <t>CM20</t>
  </si>
  <si>
    <t>CM21</t>
  </si>
  <si>
    <t>CM22</t>
  </si>
  <si>
    <t>CM23</t>
  </si>
  <si>
    <t>CM24</t>
  </si>
  <si>
    <t>CM3</t>
  </si>
  <si>
    <t>CM4</t>
  </si>
  <si>
    <t>CM5</t>
  </si>
  <si>
    <t>CM6</t>
  </si>
  <si>
    <t>CM7</t>
  </si>
  <si>
    <t>CM77</t>
  </si>
  <si>
    <t>CM8</t>
  </si>
  <si>
    <t>CM9</t>
  </si>
  <si>
    <t>CM92</t>
  </si>
  <si>
    <t>CM98</t>
  </si>
  <si>
    <t>CM99</t>
  </si>
  <si>
    <t>CO1</t>
  </si>
  <si>
    <t>CO10</t>
  </si>
  <si>
    <t>CO11</t>
  </si>
  <si>
    <t>CO12</t>
  </si>
  <si>
    <t>CO13</t>
  </si>
  <si>
    <t>CO14</t>
  </si>
  <si>
    <t>CO15</t>
  </si>
  <si>
    <t>CO16</t>
  </si>
  <si>
    <t>CO2</t>
  </si>
  <si>
    <t>CO3</t>
  </si>
  <si>
    <t>CO4</t>
  </si>
  <si>
    <t>CO5</t>
  </si>
  <si>
    <t>CO6</t>
  </si>
  <si>
    <t>CO7</t>
  </si>
  <si>
    <t>CO8</t>
  </si>
  <si>
    <t>CO9</t>
  </si>
  <si>
    <t>CR0</t>
  </si>
  <si>
    <t>CR2</t>
  </si>
  <si>
    <t>CR3</t>
  </si>
  <si>
    <t>CR4</t>
  </si>
  <si>
    <t>CR44</t>
  </si>
  <si>
    <t>CR5</t>
  </si>
  <si>
    <t>CR6</t>
  </si>
  <si>
    <t>CR7</t>
  </si>
  <si>
    <t>CR8</t>
  </si>
  <si>
    <t>CR9</t>
  </si>
  <si>
    <t>CR90</t>
  </si>
  <si>
    <t>CT1</t>
  </si>
  <si>
    <t>CT10</t>
  </si>
  <si>
    <t>CT11</t>
  </si>
  <si>
    <t>CT12</t>
  </si>
  <si>
    <t>CT13</t>
  </si>
  <si>
    <t>CT14</t>
  </si>
  <si>
    <t>CT15</t>
  </si>
  <si>
    <t>CT16</t>
  </si>
  <si>
    <t>CT17</t>
  </si>
  <si>
    <t>CT18</t>
  </si>
  <si>
    <t>CT19</t>
  </si>
  <si>
    <t>CT2</t>
  </si>
  <si>
    <t>CT20</t>
  </si>
  <si>
    <t>CT21</t>
  </si>
  <si>
    <t>CT3</t>
  </si>
  <si>
    <t>CT4</t>
  </si>
  <si>
    <t>CT5</t>
  </si>
  <si>
    <t>CT50</t>
  </si>
  <si>
    <t>CT6</t>
  </si>
  <si>
    <t>CT7</t>
  </si>
  <si>
    <t>CT8</t>
  </si>
  <si>
    <t>CT9</t>
  </si>
  <si>
    <t>CV1</t>
  </si>
  <si>
    <t>CV10</t>
  </si>
  <si>
    <t>CV11</t>
  </si>
  <si>
    <t>CV12</t>
  </si>
  <si>
    <t>CV13</t>
  </si>
  <si>
    <t>CV2</t>
  </si>
  <si>
    <t>CV21</t>
  </si>
  <si>
    <t>CV22</t>
  </si>
  <si>
    <t>CV23</t>
  </si>
  <si>
    <t>CV3</t>
  </si>
  <si>
    <t>CV31</t>
  </si>
  <si>
    <t>CV32</t>
  </si>
  <si>
    <t>CV33</t>
  </si>
  <si>
    <t>CV34</t>
  </si>
  <si>
    <t>CV35</t>
  </si>
  <si>
    <t>CV36</t>
  </si>
  <si>
    <t>CV37</t>
  </si>
  <si>
    <t>CV4</t>
  </si>
  <si>
    <t>CV47</t>
  </si>
  <si>
    <t>CV5</t>
  </si>
  <si>
    <t>CV6</t>
  </si>
  <si>
    <t>CV7</t>
  </si>
  <si>
    <t>CV8</t>
  </si>
  <si>
    <t>CV9</t>
  </si>
  <si>
    <t>CW1</t>
  </si>
  <si>
    <t>CW10</t>
  </si>
  <si>
    <t>CW11</t>
  </si>
  <si>
    <t>CW12</t>
  </si>
  <si>
    <t>CW2</t>
  </si>
  <si>
    <t>CW3</t>
  </si>
  <si>
    <t>CW4</t>
  </si>
  <si>
    <t>CW5</t>
  </si>
  <si>
    <t>CW6</t>
  </si>
  <si>
    <t>CW7</t>
  </si>
  <si>
    <t>CW8</t>
  </si>
  <si>
    <t>CW9</t>
  </si>
  <si>
    <t>CW98</t>
  </si>
  <si>
    <t>DA1</t>
  </si>
  <si>
    <t>DA10</t>
  </si>
  <si>
    <t>DA11</t>
  </si>
  <si>
    <t>DA12</t>
  </si>
  <si>
    <t>DA13</t>
  </si>
  <si>
    <t>DA14</t>
  </si>
  <si>
    <t>DA15</t>
  </si>
  <si>
    <t>DA16</t>
  </si>
  <si>
    <t>DA17</t>
  </si>
  <si>
    <t>DA18</t>
  </si>
  <si>
    <t>DA2</t>
  </si>
  <si>
    <t>DA3</t>
  </si>
  <si>
    <t>DA4</t>
  </si>
  <si>
    <t>DA5</t>
  </si>
  <si>
    <t>DA6</t>
  </si>
  <si>
    <t>DA7</t>
  </si>
  <si>
    <t>DA8</t>
  </si>
  <si>
    <t>DA9</t>
  </si>
  <si>
    <t>DD1</t>
  </si>
  <si>
    <t>DD10</t>
  </si>
  <si>
    <t>DD11</t>
  </si>
  <si>
    <t>DD2</t>
  </si>
  <si>
    <t>DD3</t>
  </si>
  <si>
    <t>DD4</t>
  </si>
  <si>
    <t>DD5</t>
  </si>
  <si>
    <t>DD6</t>
  </si>
  <si>
    <t>DD7</t>
  </si>
  <si>
    <t>DD8</t>
  </si>
  <si>
    <t>DD9</t>
  </si>
  <si>
    <t>DE1</t>
  </si>
  <si>
    <t>DE11</t>
  </si>
  <si>
    <t>DE12</t>
  </si>
  <si>
    <t>DE13</t>
  </si>
  <si>
    <t>DE14</t>
  </si>
  <si>
    <t>DE15</t>
  </si>
  <si>
    <t>DE21</t>
  </si>
  <si>
    <t>DE22</t>
  </si>
  <si>
    <t>DE23</t>
  </si>
  <si>
    <t>DE24</t>
  </si>
  <si>
    <t>DE3</t>
  </si>
  <si>
    <t>DE4</t>
  </si>
  <si>
    <t>DE45</t>
  </si>
  <si>
    <t>DE5</t>
  </si>
  <si>
    <t>DE55</t>
  </si>
  <si>
    <t>DE56</t>
  </si>
  <si>
    <t>DE6</t>
  </si>
  <si>
    <t>DE65</t>
  </si>
  <si>
    <t>DE7</t>
  </si>
  <si>
    <t>DE72</t>
  </si>
  <si>
    <t>DE73</t>
  </si>
  <si>
    <t>DE74</t>
  </si>
  <si>
    <t>DE75</t>
  </si>
  <si>
    <t>DE99</t>
  </si>
  <si>
    <t>DG1</t>
  </si>
  <si>
    <t>DG10</t>
  </si>
  <si>
    <t>DG11</t>
  </si>
  <si>
    <t>DG12</t>
  </si>
  <si>
    <t>DG13</t>
  </si>
  <si>
    <t>DG14</t>
  </si>
  <si>
    <t>DG16</t>
  </si>
  <si>
    <t>DG2</t>
  </si>
  <si>
    <t>DG3</t>
  </si>
  <si>
    <t>DG4</t>
  </si>
  <si>
    <t>DG5</t>
  </si>
  <si>
    <t>DG6</t>
  </si>
  <si>
    <t>DG7</t>
  </si>
  <si>
    <t>DG8</t>
  </si>
  <si>
    <t>DG9</t>
  </si>
  <si>
    <t>DH1</t>
  </si>
  <si>
    <t>DH2</t>
  </si>
  <si>
    <t>DH3</t>
  </si>
  <si>
    <t>DH4</t>
  </si>
  <si>
    <t>DH5</t>
  </si>
  <si>
    <t>DH6</t>
  </si>
  <si>
    <t>DH7</t>
  </si>
  <si>
    <t>DH8</t>
  </si>
  <si>
    <t>DH9</t>
  </si>
  <si>
    <t>DH97</t>
  </si>
  <si>
    <t>DH98</t>
  </si>
  <si>
    <t>DH99</t>
  </si>
  <si>
    <t>DL1</t>
  </si>
  <si>
    <t>DL10</t>
  </si>
  <si>
    <t>DL11</t>
  </si>
  <si>
    <t>DL12</t>
  </si>
  <si>
    <t>DL13</t>
  </si>
  <si>
    <t>DL14</t>
  </si>
  <si>
    <t>DL15</t>
  </si>
  <si>
    <t>DL16</t>
  </si>
  <si>
    <t>DL17</t>
  </si>
  <si>
    <t>DL2</t>
  </si>
  <si>
    <t>DL3</t>
  </si>
  <si>
    <t>DL4</t>
  </si>
  <si>
    <t>DL5</t>
  </si>
  <si>
    <t>DL6</t>
  </si>
  <si>
    <t>DL7</t>
  </si>
  <si>
    <t>DL8</t>
  </si>
  <si>
    <t>DL9</t>
  </si>
  <si>
    <t>DL98</t>
  </si>
  <si>
    <t>DN1</t>
  </si>
  <si>
    <t>DN10</t>
  </si>
  <si>
    <t>DN11</t>
  </si>
  <si>
    <t>DN12</t>
  </si>
  <si>
    <t>DN14</t>
  </si>
  <si>
    <t>DN15</t>
  </si>
  <si>
    <t>DN16</t>
  </si>
  <si>
    <t>DN17</t>
  </si>
  <si>
    <t>DN18</t>
  </si>
  <si>
    <t>DN19</t>
  </si>
  <si>
    <t>DN2</t>
  </si>
  <si>
    <t>DN20</t>
  </si>
  <si>
    <t>DN21</t>
  </si>
  <si>
    <t>DN22</t>
  </si>
  <si>
    <t>DN3</t>
  </si>
  <si>
    <t>DN31</t>
  </si>
  <si>
    <t>DN32</t>
  </si>
  <si>
    <t>DN33</t>
  </si>
  <si>
    <t>DN34</t>
  </si>
  <si>
    <t>DN35</t>
  </si>
  <si>
    <t>DN36</t>
  </si>
  <si>
    <t>DN37</t>
  </si>
  <si>
    <t>DN38</t>
  </si>
  <si>
    <t>DN39</t>
  </si>
  <si>
    <t>DN4</t>
  </si>
  <si>
    <t>DN40</t>
  </si>
  <si>
    <t>DN41</t>
  </si>
  <si>
    <t>DN5</t>
  </si>
  <si>
    <t>DN55</t>
  </si>
  <si>
    <t>DN6</t>
  </si>
  <si>
    <t>DN7</t>
  </si>
  <si>
    <t>DN8</t>
  </si>
  <si>
    <t>DN9</t>
  </si>
  <si>
    <t>DT1</t>
  </si>
  <si>
    <t>DT10</t>
  </si>
  <si>
    <t>DT11</t>
  </si>
  <si>
    <t>DT2</t>
  </si>
  <si>
    <t>DT3</t>
  </si>
  <si>
    <t>DT4</t>
  </si>
  <si>
    <t>DT5</t>
  </si>
  <si>
    <t>DT6</t>
  </si>
  <si>
    <t>DT7</t>
  </si>
  <si>
    <t>DT8</t>
  </si>
  <si>
    <t>DT9</t>
  </si>
  <si>
    <t>DY1</t>
  </si>
  <si>
    <t>DY10</t>
  </si>
  <si>
    <t>DY11</t>
  </si>
  <si>
    <t>DY12</t>
  </si>
  <si>
    <t>DY13</t>
  </si>
  <si>
    <t>DY14</t>
  </si>
  <si>
    <t>DY2</t>
  </si>
  <si>
    <t>DY3</t>
  </si>
  <si>
    <t>DY4</t>
  </si>
  <si>
    <t>DY5</t>
  </si>
  <si>
    <t>DY6</t>
  </si>
  <si>
    <t>DY7</t>
  </si>
  <si>
    <t>DY8</t>
  </si>
  <si>
    <t>DY9</t>
  </si>
  <si>
    <t>E1</t>
  </si>
  <si>
    <t>E10</t>
  </si>
  <si>
    <t>E11</t>
  </si>
  <si>
    <t>E12</t>
  </si>
  <si>
    <t>E13</t>
  </si>
  <si>
    <t>E14</t>
  </si>
  <si>
    <t>E15</t>
  </si>
  <si>
    <t>E16</t>
  </si>
  <si>
    <t>E17</t>
  </si>
  <si>
    <t>E18</t>
  </si>
  <si>
    <t>E1W</t>
  </si>
  <si>
    <t>E2</t>
  </si>
  <si>
    <t>E20</t>
  </si>
  <si>
    <t>E3</t>
  </si>
  <si>
    <t>E4</t>
  </si>
  <si>
    <t>E5</t>
  </si>
  <si>
    <t>E6</t>
  </si>
  <si>
    <t>E7</t>
  </si>
  <si>
    <t>E8</t>
  </si>
  <si>
    <t>E9</t>
  </si>
  <si>
    <t>E98</t>
  </si>
  <si>
    <t>EC1A</t>
  </si>
  <si>
    <t>EC1M</t>
  </si>
  <si>
    <t>EC1N</t>
  </si>
  <si>
    <t>EC1P</t>
  </si>
  <si>
    <t>EC1R</t>
  </si>
  <si>
    <t>EC1V</t>
  </si>
  <si>
    <t>EC1Y</t>
  </si>
  <si>
    <t>EC2A</t>
  </si>
  <si>
    <t>EC2M</t>
  </si>
  <si>
    <t>EC2N</t>
  </si>
  <si>
    <t>EC2P</t>
  </si>
  <si>
    <t>EC2R</t>
  </si>
  <si>
    <t>EC2V</t>
  </si>
  <si>
    <t>EC2Y</t>
  </si>
  <si>
    <t>EC3A</t>
  </si>
  <si>
    <t>EC3M</t>
  </si>
  <si>
    <t>EC3N</t>
  </si>
  <si>
    <t>EC3P</t>
  </si>
  <si>
    <t>EC3R</t>
  </si>
  <si>
    <t>EC3V</t>
  </si>
  <si>
    <t>EC4A</t>
  </si>
  <si>
    <t>EC4M</t>
  </si>
  <si>
    <t>EC4N</t>
  </si>
  <si>
    <t>EC4P</t>
  </si>
  <si>
    <t>EC4R</t>
  </si>
  <si>
    <t>EC4V</t>
  </si>
  <si>
    <t>EC4Y</t>
  </si>
  <si>
    <t>EH1</t>
  </si>
  <si>
    <t>EH10</t>
  </si>
  <si>
    <t>EH11</t>
  </si>
  <si>
    <t>EH12</t>
  </si>
  <si>
    <t>EH13</t>
  </si>
  <si>
    <t>EH14</t>
  </si>
  <si>
    <t>EH15</t>
  </si>
  <si>
    <t>EH16</t>
  </si>
  <si>
    <t>EH17</t>
  </si>
  <si>
    <t>EH18</t>
  </si>
  <si>
    <t>EH19</t>
  </si>
  <si>
    <t>EH2</t>
  </si>
  <si>
    <t>EH20</t>
  </si>
  <si>
    <t>EH21</t>
  </si>
  <si>
    <t>EH22</t>
  </si>
  <si>
    <t>EH23</t>
  </si>
  <si>
    <t>EH24</t>
  </si>
  <si>
    <t>EH25</t>
  </si>
  <si>
    <t>EH26</t>
  </si>
  <si>
    <t>EH27</t>
  </si>
  <si>
    <t>EH28</t>
  </si>
  <si>
    <t>EH29</t>
  </si>
  <si>
    <t>EH3</t>
  </si>
  <si>
    <t>EH30</t>
  </si>
  <si>
    <t>EH31</t>
  </si>
  <si>
    <t>EH32</t>
  </si>
  <si>
    <t>EH33</t>
  </si>
  <si>
    <t>EH34</t>
  </si>
  <si>
    <t>EH35</t>
  </si>
  <si>
    <t>EH36</t>
  </si>
  <si>
    <t>EH37</t>
  </si>
  <si>
    <t>EH38</t>
  </si>
  <si>
    <t>EH39</t>
  </si>
  <si>
    <t>EH4</t>
  </si>
  <si>
    <t>EH40</t>
  </si>
  <si>
    <t>EH41</t>
  </si>
  <si>
    <t>EH42</t>
  </si>
  <si>
    <t>EH43</t>
  </si>
  <si>
    <t>EH44</t>
  </si>
  <si>
    <t>EH45</t>
  </si>
  <si>
    <t>EH46</t>
  </si>
  <si>
    <t>EH47</t>
  </si>
  <si>
    <t>EH48</t>
  </si>
  <si>
    <t>EH49</t>
  </si>
  <si>
    <t>EH5</t>
  </si>
  <si>
    <t>EH51</t>
  </si>
  <si>
    <t>EH52</t>
  </si>
  <si>
    <t>EH53</t>
  </si>
  <si>
    <t>EH54</t>
  </si>
  <si>
    <t>EH55</t>
  </si>
  <si>
    <t>EH6</t>
  </si>
  <si>
    <t>EH7</t>
  </si>
  <si>
    <t>EH77</t>
  </si>
  <si>
    <t>EH8</t>
  </si>
  <si>
    <t>EH9</t>
  </si>
  <si>
    <t>EH91</t>
  </si>
  <si>
    <t>EH95</t>
  </si>
  <si>
    <t>EH99</t>
  </si>
  <si>
    <t>EN1</t>
  </si>
  <si>
    <t>EN10</t>
  </si>
  <si>
    <t>EN11</t>
  </si>
  <si>
    <t>EN2</t>
  </si>
  <si>
    <t>EN3</t>
  </si>
  <si>
    <t>EN4</t>
  </si>
  <si>
    <t>EN5</t>
  </si>
  <si>
    <t>EN6</t>
  </si>
  <si>
    <t>EN7</t>
  </si>
  <si>
    <t>EN77</t>
  </si>
  <si>
    <t>EN8</t>
  </si>
  <si>
    <t>EN9</t>
  </si>
  <si>
    <t>EX1</t>
  </si>
  <si>
    <t>EX10</t>
  </si>
  <si>
    <t>EX11</t>
  </si>
  <si>
    <t>EX12</t>
  </si>
  <si>
    <t>EX13</t>
  </si>
  <si>
    <t>EX14</t>
  </si>
  <si>
    <t>EX15</t>
  </si>
  <si>
    <t>EX16</t>
  </si>
  <si>
    <t>EX17</t>
  </si>
  <si>
    <t>EX18</t>
  </si>
  <si>
    <t>EX19</t>
  </si>
  <si>
    <t>EX2</t>
  </si>
  <si>
    <t>EX20</t>
  </si>
  <si>
    <t>EX21</t>
  </si>
  <si>
    <t>EX22</t>
  </si>
  <si>
    <t>EX23</t>
  </si>
  <si>
    <t>EX24</t>
  </si>
  <si>
    <t>EX3</t>
  </si>
  <si>
    <t>EX31</t>
  </si>
  <si>
    <t>EX32</t>
  </si>
  <si>
    <t>EX33</t>
  </si>
  <si>
    <t>EX34</t>
  </si>
  <si>
    <t>EX35</t>
  </si>
  <si>
    <t>EX36</t>
  </si>
  <si>
    <t>EX37</t>
  </si>
  <si>
    <t>EX38</t>
  </si>
  <si>
    <t>EX39</t>
  </si>
  <si>
    <t>EX4</t>
  </si>
  <si>
    <t>EX5</t>
  </si>
  <si>
    <t>EX6</t>
  </si>
  <si>
    <t>EX7</t>
  </si>
  <si>
    <t>EX8</t>
  </si>
  <si>
    <t>EX9</t>
  </si>
  <si>
    <t>FK1</t>
  </si>
  <si>
    <t>FK10</t>
  </si>
  <si>
    <t>FK11</t>
  </si>
  <si>
    <t>FK12</t>
  </si>
  <si>
    <t>FK13</t>
  </si>
  <si>
    <t>FK14</t>
  </si>
  <si>
    <t>FK15</t>
  </si>
  <si>
    <t>FK16</t>
  </si>
  <si>
    <t>FK17</t>
  </si>
  <si>
    <t>FK18</t>
  </si>
  <si>
    <t>FK19</t>
  </si>
  <si>
    <t>FK2</t>
  </si>
  <si>
    <t>FK20</t>
  </si>
  <si>
    <t>FK21</t>
  </si>
  <si>
    <t>FK3</t>
  </si>
  <si>
    <t>FK4</t>
  </si>
  <si>
    <t>FK5</t>
  </si>
  <si>
    <t>FK6</t>
  </si>
  <si>
    <t>FK7</t>
  </si>
  <si>
    <t>FK8</t>
  </si>
  <si>
    <t>FK9</t>
  </si>
  <si>
    <t>FY1</t>
  </si>
  <si>
    <t>FY2</t>
  </si>
  <si>
    <t>FY3</t>
  </si>
  <si>
    <t>FY4</t>
  </si>
  <si>
    <t>FY5</t>
  </si>
  <si>
    <t>FY6</t>
  </si>
  <si>
    <t>FY7</t>
  </si>
  <si>
    <t>FY8</t>
  </si>
  <si>
    <t>G1</t>
  </si>
  <si>
    <t>G11</t>
  </si>
  <si>
    <t>G12</t>
  </si>
  <si>
    <t>G13</t>
  </si>
  <si>
    <t>G14</t>
  </si>
  <si>
    <t>G15</t>
  </si>
  <si>
    <t>G2</t>
  </si>
  <si>
    <t>G20</t>
  </si>
  <si>
    <t>G21</t>
  </si>
  <si>
    <t>G22</t>
  </si>
  <si>
    <t>G23</t>
  </si>
  <si>
    <t>G3</t>
  </si>
  <si>
    <t>G31</t>
  </si>
  <si>
    <t>G32</t>
  </si>
  <si>
    <t>G33</t>
  </si>
  <si>
    <t>G34</t>
  </si>
  <si>
    <t>G4</t>
  </si>
  <si>
    <t>G40</t>
  </si>
  <si>
    <t>G41</t>
  </si>
  <si>
    <t>G42</t>
  </si>
  <si>
    <t>G43</t>
  </si>
  <si>
    <t>G44</t>
  </si>
  <si>
    <t>G45</t>
  </si>
  <si>
    <t>G46</t>
  </si>
  <si>
    <t>G5</t>
  </si>
  <si>
    <t>G51</t>
  </si>
  <si>
    <t>G52</t>
  </si>
  <si>
    <t>G53</t>
  </si>
  <si>
    <t>G58</t>
  </si>
  <si>
    <t>G60</t>
  </si>
  <si>
    <t>G61</t>
  </si>
  <si>
    <t>G62</t>
  </si>
  <si>
    <t>G63</t>
  </si>
  <si>
    <t>G64</t>
  </si>
  <si>
    <t>G65</t>
  </si>
  <si>
    <t>G66</t>
  </si>
  <si>
    <t>G67</t>
  </si>
  <si>
    <t>G68</t>
  </si>
  <si>
    <t>G69</t>
  </si>
  <si>
    <t>G70</t>
  </si>
  <si>
    <t>G71</t>
  </si>
  <si>
    <t>G72</t>
  </si>
  <si>
    <t>G73</t>
  </si>
  <si>
    <t>G74</t>
  </si>
  <si>
    <t>G75</t>
  </si>
  <si>
    <t>G76</t>
  </si>
  <si>
    <t>G77</t>
  </si>
  <si>
    <t>G78</t>
  </si>
  <si>
    <t>G79</t>
  </si>
  <si>
    <t>G81</t>
  </si>
  <si>
    <t>G82</t>
  </si>
  <si>
    <t>G83</t>
  </si>
  <si>
    <t>G84</t>
  </si>
  <si>
    <t>G9</t>
  </si>
  <si>
    <t>G90</t>
  </si>
  <si>
    <t>GIR</t>
  </si>
  <si>
    <t>GL1</t>
  </si>
  <si>
    <t>GL10</t>
  </si>
  <si>
    <t>GL11</t>
  </si>
  <si>
    <t>GL12</t>
  </si>
  <si>
    <t>GL13</t>
  </si>
  <si>
    <t>GL14</t>
  </si>
  <si>
    <t>GL15</t>
  </si>
  <si>
    <t>GL16</t>
  </si>
  <si>
    <t>GL17</t>
  </si>
  <si>
    <t>GL18</t>
  </si>
  <si>
    <t>GL19</t>
  </si>
  <si>
    <t>GL2</t>
  </si>
  <si>
    <t>GL20</t>
  </si>
  <si>
    <t>GL3</t>
  </si>
  <si>
    <t>GL4</t>
  </si>
  <si>
    <t>GL5</t>
  </si>
  <si>
    <t>GL50</t>
  </si>
  <si>
    <t>GL51</t>
  </si>
  <si>
    <t>GL52</t>
  </si>
  <si>
    <t>GL53</t>
  </si>
  <si>
    <t>GL54</t>
  </si>
  <si>
    <t>GL55</t>
  </si>
  <si>
    <t>GL56</t>
  </si>
  <si>
    <t>GL6</t>
  </si>
  <si>
    <t>GL7</t>
  </si>
  <si>
    <t>GL8</t>
  </si>
  <si>
    <t>GL9</t>
  </si>
  <si>
    <t>GU1</t>
  </si>
  <si>
    <t>GU10</t>
  </si>
  <si>
    <t>GU11</t>
  </si>
  <si>
    <t>GU12</t>
  </si>
  <si>
    <t>GU14</t>
  </si>
  <si>
    <t>GU15</t>
  </si>
  <si>
    <t>GU16</t>
  </si>
  <si>
    <t>GU17</t>
  </si>
  <si>
    <t>GU18</t>
  </si>
  <si>
    <t>GU19</t>
  </si>
  <si>
    <t>GU2</t>
  </si>
  <si>
    <t>GU20</t>
  </si>
  <si>
    <t>GU21</t>
  </si>
  <si>
    <t>GU22</t>
  </si>
  <si>
    <t>GU23</t>
  </si>
  <si>
    <t>GU24</t>
  </si>
  <si>
    <t>GU25</t>
  </si>
  <si>
    <t>GU26</t>
  </si>
  <si>
    <t>GU27</t>
  </si>
  <si>
    <t>GU28</t>
  </si>
  <si>
    <t>GU29</t>
  </si>
  <si>
    <t>GU3</t>
  </si>
  <si>
    <t>GU30</t>
  </si>
  <si>
    <t>GU31</t>
  </si>
  <si>
    <t>GU32</t>
  </si>
  <si>
    <t>GU33</t>
  </si>
  <si>
    <t>GU34</t>
  </si>
  <si>
    <t>GU35</t>
  </si>
  <si>
    <t>GU4</t>
  </si>
  <si>
    <t>GU46</t>
  </si>
  <si>
    <t>GU47</t>
  </si>
  <si>
    <t>GU5</t>
  </si>
  <si>
    <t>GU51</t>
  </si>
  <si>
    <t>GU52</t>
  </si>
  <si>
    <t>GU6</t>
  </si>
  <si>
    <t>GU7</t>
  </si>
  <si>
    <t>GU8</t>
  </si>
  <si>
    <t>GU9</t>
  </si>
  <si>
    <t>GY1</t>
  </si>
  <si>
    <t>GY10</t>
  </si>
  <si>
    <t>GY2</t>
  </si>
  <si>
    <t>GY3</t>
  </si>
  <si>
    <t>GY4</t>
  </si>
  <si>
    <t>GY5</t>
  </si>
  <si>
    <t>GY6</t>
  </si>
  <si>
    <t>GY7</t>
  </si>
  <si>
    <t>GY8</t>
  </si>
  <si>
    <t>GY9</t>
  </si>
  <si>
    <t>HA0</t>
  </si>
  <si>
    <t>HA1</t>
  </si>
  <si>
    <t>HA2</t>
  </si>
  <si>
    <t>HA3</t>
  </si>
  <si>
    <t>HA4</t>
  </si>
  <si>
    <t>HA5</t>
  </si>
  <si>
    <t>HA6</t>
  </si>
  <si>
    <t>HA7</t>
  </si>
  <si>
    <t>HA8</t>
  </si>
  <si>
    <t>HA9</t>
  </si>
  <si>
    <t>HD1</t>
  </si>
  <si>
    <t>HD2</t>
  </si>
  <si>
    <t>HD3</t>
  </si>
  <si>
    <t>HD4</t>
  </si>
  <si>
    <t>HD5</t>
  </si>
  <si>
    <t>HD6</t>
  </si>
  <si>
    <t>HD7</t>
  </si>
  <si>
    <t>HD8</t>
  </si>
  <si>
    <t>HD9</t>
  </si>
  <si>
    <t>HG1</t>
  </si>
  <si>
    <t>HG2</t>
  </si>
  <si>
    <t>HG3</t>
  </si>
  <si>
    <t>HG4</t>
  </si>
  <si>
    <t>HG5</t>
  </si>
  <si>
    <t>HP1</t>
  </si>
  <si>
    <t>HP10</t>
  </si>
  <si>
    <t>HP11</t>
  </si>
  <si>
    <t>HP12</t>
  </si>
  <si>
    <t>HP13</t>
  </si>
  <si>
    <t>HP14</t>
  </si>
  <si>
    <t>HP15</t>
  </si>
  <si>
    <t>HP16</t>
  </si>
  <si>
    <t>HP17</t>
  </si>
  <si>
    <t>HP18</t>
  </si>
  <si>
    <t>HP19</t>
  </si>
  <si>
    <t>HP2</t>
  </si>
  <si>
    <t>HP20</t>
  </si>
  <si>
    <t>HP21</t>
  </si>
  <si>
    <t>HP22</t>
  </si>
  <si>
    <t>HP23</t>
  </si>
  <si>
    <t>HP27</t>
  </si>
  <si>
    <t>HP3</t>
  </si>
  <si>
    <t>HP4</t>
  </si>
  <si>
    <t>HP5</t>
  </si>
  <si>
    <t>HP6</t>
  </si>
  <si>
    <t>HP7</t>
  </si>
  <si>
    <t>HP8</t>
  </si>
  <si>
    <t>HP9</t>
  </si>
  <si>
    <t>HR1</t>
  </si>
  <si>
    <t>HR2</t>
  </si>
  <si>
    <t>HR3</t>
  </si>
  <si>
    <t>HR4</t>
  </si>
  <si>
    <t>HR5</t>
  </si>
  <si>
    <t>HR6</t>
  </si>
  <si>
    <t>HR7</t>
  </si>
  <si>
    <t>HR8</t>
  </si>
  <si>
    <t>HR9</t>
  </si>
  <si>
    <t>HS1</t>
  </si>
  <si>
    <t>HS2</t>
  </si>
  <si>
    <t>HS3</t>
  </si>
  <si>
    <t>HS4</t>
  </si>
  <si>
    <t>HS5</t>
  </si>
  <si>
    <t>HS6</t>
  </si>
  <si>
    <t>HS7</t>
  </si>
  <si>
    <t>HS8</t>
  </si>
  <si>
    <t>HS9</t>
  </si>
  <si>
    <t>HU1</t>
  </si>
  <si>
    <t>HU10</t>
  </si>
  <si>
    <t>HU11</t>
  </si>
  <si>
    <t>HU12</t>
  </si>
  <si>
    <t>HU13</t>
  </si>
  <si>
    <t>HU14</t>
  </si>
  <si>
    <t>HU15</t>
  </si>
  <si>
    <t>HU16</t>
  </si>
  <si>
    <t>HU17</t>
  </si>
  <si>
    <t>HU18</t>
  </si>
  <si>
    <t>HU19</t>
  </si>
  <si>
    <t>HU2</t>
  </si>
  <si>
    <t>HU20</t>
  </si>
  <si>
    <t>HU3</t>
  </si>
  <si>
    <t>HU4</t>
  </si>
  <si>
    <t>HU5</t>
  </si>
  <si>
    <t>HU6</t>
  </si>
  <si>
    <t>HU7</t>
  </si>
  <si>
    <t>HU8</t>
  </si>
  <si>
    <t>HU9</t>
  </si>
  <si>
    <t>HX1</t>
  </si>
  <si>
    <t>HX2</t>
  </si>
  <si>
    <t>HX3</t>
  </si>
  <si>
    <t>HX4</t>
  </si>
  <si>
    <t>HX5</t>
  </si>
  <si>
    <t>HX6</t>
  </si>
  <si>
    <t>HX7</t>
  </si>
  <si>
    <t>IG1</t>
  </si>
  <si>
    <t>IG10</t>
  </si>
  <si>
    <t>IG11</t>
  </si>
  <si>
    <t>IG2</t>
  </si>
  <si>
    <t>IG3</t>
  </si>
  <si>
    <t>IG4</t>
  </si>
  <si>
    <t>IG5</t>
  </si>
  <si>
    <t>IG6</t>
  </si>
  <si>
    <t>IG7</t>
  </si>
  <si>
    <t>IG8</t>
  </si>
  <si>
    <t>IG9</t>
  </si>
  <si>
    <t>IM1</t>
  </si>
  <si>
    <t>IM2</t>
  </si>
  <si>
    <t>IM3</t>
  </si>
  <si>
    <t>IM4</t>
  </si>
  <si>
    <t>IM5</t>
  </si>
  <si>
    <t>IM6</t>
  </si>
  <si>
    <t>IM7</t>
  </si>
  <si>
    <t>IM8</t>
  </si>
  <si>
    <t>IM9</t>
  </si>
  <si>
    <t>IM99</t>
  </si>
  <si>
    <t>IP1</t>
  </si>
  <si>
    <t>IP10</t>
  </si>
  <si>
    <t>IP11</t>
  </si>
  <si>
    <t>IP12</t>
  </si>
  <si>
    <t>IP13</t>
  </si>
  <si>
    <t>IP14</t>
  </si>
  <si>
    <t>IP15</t>
  </si>
  <si>
    <t>IP16</t>
  </si>
  <si>
    <t>IP17</t>
  </si>
  <si>
    <t>IP18</t>
  </si>
  <si>
    <t>IP19</t>
  </si>
  <si>
    <t>IP2</t>
  </si>
  <si>
    <t>IP20</t>
  </si>
  <si>
    <t>IP21</t>
  </si>
  <si>
    <t>IP22</t>
  </si>
  <si>
    <t>IP23</t>
  </si>
  <si>
    <t>IP24</t>
  </si>
  <si>
    <t>IP25</t>
  </si>
  <si>
    <t>IP26</t>
  </si>
  <si>
    <t>IP27</t>
  </si>
  <si>
    <t>IP28</t>
  </si>
  <si>
    <t>IP29</t>
  </si>
  <si>
    <t>IP3</t>
  </si>
  <si>
    <t>IP30</t>
  </si>
  <si>
    <t>IP31</t>
  </si>
  <si>
    <t>IP32</t>
  </si>
  <si>
    <t>IP33</t>
  </si>
  <si>
    <t>IP4</t>
  </si>
  <si>
    <t>IP5</t>
  </si>
  <si>
    <t>IP6</t>
  </si>
  <si>
    <t>IP7</t>
  </si>
  <si>
    <t>IP8</t>
  </si>
  <si>
    <t>IP9</t>
  </si>
  <si>
    <t>IP98</t>
  </si>
  <si>
    <t>IV1</t>
  </si>
  <si>
    <t>IV10</t>
  </si>
  <si>
    <t>IV11</t>
  </si>
  <si>
    <t>IV12</t>
  </si>
  <si>
    <t>IV13</t>
  </si>
  <si>
    <t>IV14</t>
  </si>
  <si>
    <t>IV15</t>
  </si>
  <si>
    <t>IV16</t>
  </si>
  <si>
    <t>IV17</t>
  </si>
  <si>
    <t>IV18</t>
  </si>
  <si>
    <t>IV19</t>
  </si>
  <si>
    <t>IV2</t>
  </si>
  <si>
    <t>IV20</t>
  </si>
  <si>
    <t>IV21</t>
  </si>
  <si>
    <t>IV22</t>
  </si>
  <si>
    <t>IV23</t>
  </si>
  <si>
    <t>IV24</t>
  </si>
  <si>
    <t>IV25</t>
  </si>
  <si>
    <t>IV26</t>
  </si>
  <si>
    <t>IV27</t>
  </si>
  <si>
    <t>IV28</t>
  </si>
  <si>
    <t>IV3</t>
  </si>
  <si>
    <t>IV30</t>
  </si>
  <si>
    <t>IV31</t>
  </si>
  <si>
    <t>IV32</t>
  </si>
  <si>
    <t>IV36</t>
  </si>
  <si>
    <t>IV4</t>
  </si>
  <si>
    <t>IV40</t>
  </si>
  <si>
    <t>IV41</t>
  </si>
  <si>
    <t>IV42</t>
  </si>
  <si>
    <t>IV43</t>
  </si>
  <si>
    <t>IV44</t>
  </si>
  <si>
    <t>IV45</t>
  </si>
  <si>
    <t>IV46</t>
  </si>
  <si>
    <t>IV47</t>
  </si>
  <si>
    <t>IV48</t>
  </si>
  <si>
    <t>IV49</t>
  </si>
  <si>
    <t>IV5</t>
  </si>
  <si>
    <t>IV51</t>
  </si>
  <si>
    <t>IV52</t>
  </si>
  <si>
    <t>IV53</t>
  </si>
  <si>
    <t>IV54</t>
  </si>
  <si>
    <t>IV55</t>
  </si>
  <si>
    <t>IV56</t>
  </si>
  <si>
    <t>IV6</t>
  </si>
  <si>
    <t>IV63</t>
  </si>
  <si>
    <t>IV7</t>
  </si>
  <si>
    <t>IV8</t>
  </si>
  <si>
    <t>IV9</t>
  </si>
  <si>
    <t>IV99</t>
  </si>
  <si>
    <t>JE1</t>
  </si>
  <si>
    <t>JE2</t>
  </si>
  <si>
    <t>JE3</t>
  </si>
  <si>
    <t>JE4</t>
  </si>
  <si>
    <t>KA1</t>
  </si>
  <si>
    <t>KA10</t>
  </si>
  <si>
    <t>KA11</t>
  </si>
  <si>
    <t>KA12</t>
  </si>
  <si>
    <t>KA13</t>
  </si>
  <si>
    <t>KA14</t>
  </si>
  <si>
    <t>KA15</t>
  </si>
  <si>
    <t>KA16</t>
  </si>
  <si>
    <t>KA17</t>
  </si>
  <si>
    <t>KA18</t>
  </si>
  <si>
    <t>KA19</t>
  </si>
  <si>
    <t>KA2</t>
  </si>
  <si>
    <t>KA20</t>
  </si>
  <si>
    <t>KA21</t>
  </si>
  <si>
    <t>KA22</t>
  </si>
  <si>
    <t>KA23</t>
  </si>
  <si>
    <t>KA24</t>
  </si>
  <si>
    <t>KA25</t>
  </si>
  <si>
    <t>KA26</t>
  </si>
  <si>
    <t>KA27</t>
  </si>
  <si>
    <t>KA28</t>
  </si>
  <si>
    <t>KA29</t>
  </si>
  <si>
    <t>KA3</t>
  </si>
  <si>
    <t>KA30</t>
  </si>
  <si>
    <t>KA4</t>
  </si>
  <si>
    <t>KA5</t>
  </si>
  <si>
    <t>KA6</t>
  </si>
  <si>
    <t>KA7</t>
  </si>
  <si>
    <t>KA8</t>
  </si>
  <si>
    <t>KA9</t>
  </si>
  <si>
    <t>KT1</t>
  </si>
  <si>
    <t>KT10</t>
  </si>
  <si>
    <t>KT11</t>
  </si>
  <si>
    <t>KT12</t>
  </si>
  <si>
    <t>KT13</t>
  </si>
  <si>
    <t>KT14</t>
  </si>
  <si>
    <t>KT15</t>
  </si>
  <si>
    <t>KT16</t>
  </si>
  <si>
    <t>KT17</t>
  </si>
  <si>
    <t>KT18</t>
  </si>
  <si>
    <t>KT19</t>
  </si>
  <si>
    <t>KT2</t>
  </si>
  <si>
    <t>KT20</t>
  </si>
  <si>
    <t>KT21</t>
  </si>
  <si>
    <t>KT22</t>
  </si>
  <si>
    <t>KT23</t>
  </si>
  <si>
    <t>KT24</t>
  </si>
  <si>
    <t>KT3</t>
  </si>
  <si>
    <t>KT4</t>
  </si>
  <si>
    <t>KT5</t>
  </si>
  <si>
    <t>KT6</t>
  </si>
  <si>
    <t>KT7</t>
  </si>
  <si>
    <t>KT8</t>
  </si>
  <si>
    <t>KT9</t>
  </si>
  <si>
    <t>KW1</t>
  </si>
  <si>
    <t>KW10</t>
  </si>
  <si>
    <t>KW11</t>
  </si>
  <si>
    <t>KW12</t>
  </si>
  <si>
    <t>KW13</t>
  </si>
  <si>
    <t>KW14</t>
  </si>
  <si>
    <t>KW15</t>
  </si>
  <si>
    <t>KW16</t>
  </si>
  <si>
    <t>KW17</t>
  </si>
  <si>
    <t>KW2</t>
  </si>
  <si>
    <t>KW3</t>
  </si>
  <si>
    <t>KW5</t>
  </si>
  <si>
    <t>KW6</t>
  </si>
  <si>
    <t>KW7</t>
  </si>
  <si>
    <t>KW8</t>
  </si>
  <si>
    <t>KW9</t>
  </si>
  <si>
    <t>KY1</t>
  </si>
  <si>
    <t>KY10</t>
  </si>
  <si>
    <t>KY11</t>
  </si>
  <si>
    <t>KY12</t>
  </si>
  <si>
    <t>KY13</t>
  </si>
  <si>
    <t>KY14</t>
  </si>
  <si>
    <t>KY15</t>
  </si>
  <si>
    <t>KY16</t>
  </si>
  <si>
    <t>KY2</t>
  </si>
  <si>
    <t>KY3</t>
  </si>
  <si>
    <t>KY4</t>
  </si>
  <si>
    <t>KY5</t>
  </si>
  <si>
    <t>KY6</t>
  </si>
  <si>
    <t>KY7</t>
  </si>
  <si>
    <t>KY8</t>
  </si>
  <si>
    <t>KY9</t>
  </si>
  <si>
    <t>KY99</t>
  </si>
  <si>
    <t>L1</t>
  </si>
  <si>
    <t>L10</t>
  </si>
  <si>
    <t>L11</t>
  </si>
  <si>
    <t>L12</t>
  </si>
  <si>
    <t>L13</t>
  </si>
  <si>
    <t>L14</t>
  </si>
  <si>
    <t>L15</t>
  </si>
  <si>
    <t>L16</t>
  </si>
  <si>
    <t>L17</t>
  </si>
  <si>
    <t>L18</t>
  </si>
  <si>
    <t>L19</t>
  </si>
  <si>
    <t>L2</t>
  </si>
  <si>
    <t>L20</t>
  </si>
  <si>
    <t>L21</t>
  </si>
  <si>
    <t>L22</t>
  </si>
  <si>
    <t>L23</t>
  </si>
  <si>
    <t>L24</t>
  </si>
  <si>
    <t>L25</t>
  </si>
  <si>
    <t>L26</t>
  </si>
  <si>
    <t>L27</t>
  </si>
  <si>
    <t>L28</t>
  </si>
  <si>
    <t>L29</t>
  </si>
  <si>
    <t>L3</t>
  </si>
  <si>
    <t>L30</t>
  </si>
  <si>
    <t>L31</t>
  </si>
  <si>
    <t>L32</t>
  </si>
  <si>
    <t>L33</t>
  </si>
  <si>
    <t>L34</t>
  </si>
  <si>
    <t>L35</t>
  </si>
  <si>
    <t>L36</t>
  </si>
  <si>
    <t>L37</t>
  </si>
  <si>
    <t>L38</t>
  </si>
  <si>
    <t>L39</t>
  </si>
  <si>
    <t>L4</t>
  </si>
  <si>
    <t>L40</t>
  </si>
  <si>
    <t>L5</t>
  </si>
  <si>
    <t>L6</t>
  </si>
  <si>
    <t>L67</t>
  </si>
  <si>
    <t>L68</t>
  </si>
  <si>
    <t>L69</t>
  </si>
  <si>
    <t>L7</t>
  </si>
  <si>
    <t>L70</t>
  </si>
  <si>
    <t>L71</t>
  </si>
  <si>
    <t>L72</t>
  </si>
  <si>
    <t>L74</t>
  </si>
  <si>
    <t>L75</t>
  </si>
  <si>
    <t>L8</t>
  </si>
  <si>
    <t>L80</t>
  </si>
  <si>
    <t>L9</t>
  </si>
  <si>
    <t>LA1</t>
  </si>
  <si>
    <t>LA10</t>
  </si>
  <si>
    <t>LA11</t>
  </si>
  <si>
    <t>LA12</t>
  </si>
  <si>
    <t>LA13</t>
  </si>
  <si>
    <t>LA14</t>
  </si>
  <si>
    <t>LA15</t>
  </si>
  <si>
    <t>LA16</t>
  </si>
  <si>
    <t>LA17</t>
  </si>
  <si>
    <t>LA18</t>
  </si>
  <si>
    <t>LA19</t>
  </si>
  <si>
    <t>LA2</t>
  </si>
  <si>
    <t>LA20</t>
  </si>
  <si>
    <t>LA21</t>
  </si>
  <si>
    <t>LA22</t>
  </si>
  <si>
    <t>LA23</t>
  </si>
  <si>
    <t>LA3</t>
  </si>
  <si>
    <t>LA4</t>
  </si>
  <si>
    <t>LA5</t>
  </si>
  <si>
    <t>LA6</t>
  </si>
  <si>
    <t>LA7</t>
  </si>
  <si>
    <t>LA8</t>
  </si>
  <si>
    <t>LA9</t>
  </si>
  <si>
    <t>LD1</t>
  </si>
  <si>
    <t>LD2</t>
  </si>
  <si>
    <t>LD3</t>
  </si>
  <si>
    <t>LD4</t>
  </si>
  <si>
    <t>LD5</t>
  </si>
  <si>
    <t>LD6</t>
  </si>
  <si>
    <t>LD7</t>
  </si>
  <si>
    <t>LD8</t>
  </si>
  <si>
    <t>LE1</t>
  </si>
  <si>
    <t>LE10</t>
  </si>
  <si>
    <t>LE11</t>
  </si>
  <si>
    <t>LE12</t>
  </si>
  <si>
    <t>LE13</t>
  </si>
  <si>
    <t>LE14</t>
  </si>
  <si>
    <t>LE15</t>
  </si>
  <si>
    <t>LE16</t>
  </si>
  <si>
    <t>LE17</t>
  </si>
  <si>
    <t>LE18</t>
  </si>
  <si>
    <t>LE19</t>
  </si>
  <si>
    <t>LE2</t>
  </si>
  <si>
    <t>LE21</t>
  </si>
  <si>
    <t>LE3</t>
  </si>
  <si>
    <t>LE4</t>
  </si>
  <si>
    <t>LE41</t>
  </si>
  <si>
    <t>LE5</t>
  </si>
  <si>
    <t>LE55</t>
  </si>
  <si>
    <t>LE6</t>
  </si>
  <si>
    <t>LE65</t>
  </si>
  <si>
    <t>LE67</t>
  </si>
  <si>
    <t>LE7</t>
  </si>
  <si>
    <t>LE8</t>
  </si>
  <si>
    <t>LE87</t>
  </si>
  <si>
    <t>LE9</t>
  </si>
  <si>
    <t>LE94</t>
  </si>
  <si>
    <t>LE95</t>
  </si>
  <si>
    <t>LL11</t>
  </si>
  <si>
    <t>LL12</t>
  </si>
  <si>
    <t>LL13</t>
  </si>
  <si>
    <t>LL14</t>
  </si>
  <si>
    <t>LL15</t>
  </si>
  <si>
    <t>LL16</t>
  </si>
  <si>
    <t>LL17</t>
  </si>
  <si>
    <t>LL18</t>
  </si>
  <si>
    <t>LL19</t>
  </si>
  <si>
    <t>LL20</t>
  </si>
  <si>
    <t>LL21</t>
  </si>
  <si>
    <t>LL22</t>
  </si>
  <si>
    <t>LL23</t>
  </si>
  <si>
    <t>LL24</t>
  </si>
  <si>
    <t>LL25</t>
  </si>
  <si>
    <t>LL26</t>
  </si>
  <si>
    <t>LL27</t>
  </si>
  <si>
    <t>LL28</t>
  </si>
  <si>
    <t>LL29</t>
  </si>
  <si>
    <t>LL30</t>
  </si>
  <si>
    <t>LL31</t>
  </si>
  <si>
    <t>LL32</t>
  </si>
  <si>
    <t>LL33</t>
  </si>
  <si>
    <t>LL34</t>
  </si>
  <si>
    <t>LL35</t>
  </si>
  <si>
    <t>LL36</t>
  </si>
  <si>
    <t>LL37</t>
  </si>
  <si>
    <t>LL38</t>
  </si>
  <si>
    <t>LL39</t>
  </si>
  <si>
    <t>LL40</t>
  </si>
  <si>
    <t>LL41</t>
  </si>
  <si>
    <t>LL42</t>
  </si>
  <si>
    <t>LL43</t>
  </si>
  <si>
    <t>LL44</t>
  </si>
  <si>
    <t>LL45</t>
  </si>
  <si>
    <t>LL46</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</si>
  <si>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</si>
  <si>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</si>
  <si>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</si>
  <si>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</si>
  <si>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</si>
  <si>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</si>
  <si>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</si>
  <si>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</si>
  <si>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</si>
  <si>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</si>
  <si>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</si>
  <si>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</si>
  <si>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</si>
  <si>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</si>
  <si>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</si>
  <si>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</si>
  <si>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</si>
  <si>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</si>
  <si>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</si>
  <si>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</si>
  <si>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</si>
  <si>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</si>
  <si>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LL70</t>
  </si>
  <si>
    <t>LL71</t>
  </si>
  <si>
    <t>LL72</t>
  </si>
  <si>
    <t>LL73</t>
  </si>
  <si>
    <t>LL74</t>
  </si>
  <si>
    <t>LL75</t>
  </si>
  <si>
    <t>LL76</t>
  </si>
  <si>
    <t>LL77</t>
  </si>
  <si>
    <t>LL78</t>
  </si>
  <si>
    <t>LN1</t>
  </si>
  <si>
    <t>LN10</t>
  </si>
  <si>
    <t>LN11</t>
  </si>
  <si>
    <t>LN12</t>
  </si>
  <si>
    <t>LN13</t>
  </si>
  <si>
    <t>LN2</t>
  </si>
  <si>
    <t>LN3</t>
  </si>
  <si>
    <t>LN4</t>
  </si>
  <si>
    <t>LN5</t>
  </si>
  <si>
    <t>LN6</t>
  </si>
  <si>
    <t>LN7</t>
  </si>
  <si>
    <t>LN8</t>
  </si>
  <si>
    <t>LN9</t>
  </si>
  <si>
    <t>LS1</t>
  </si>
  <si>
    <t>LS10</t>
  </si>
  <si>
    <t>LS11</t>
  </si>
  <si>
    <t>LS12</t>
  </si>
  <si>
    <t>LS13</t>
  </si>
  <si>
    <t>LS14</t>
  </si>
  <si>
    <t>LS15</t>
  </si>
  <si>
    <t>LS16</t>
  </si>
  <si>
    <t>LS17</t>
  </si>
  <si>
    <t>LS18</t>
  </si>
  <si>
    <t>LS19</t>
  </si>
  <si>
    <t>LS2</t>
  </si>
  <si>
    <t>LS20</t>
  </si>
  <si>
    <t>LS21</t>
  </si>
  <si>
    <t>LS22</t>
  </si>
  <si>
    <t>LS23</t>
  </si>
  <si>
    <t>LS24</t>
  </si>
  <si>
    <t>LS25</t>
  </si>
  <si>
    <t>LS26</t>
  </si>
  <si>
    <t>LS27</t>
  </si>
  <si>
    <t>LS28</t>
  </si>
  <si>
    <t>LS29</t>
  </si>
  <si>
    <t>LS3</t>
  </si>
  <si>
    <t>LS4</t>
  </si>
  <si>
    <t>LS5</t>
  </si>
  <si>
    <t>LS6</t>
  </si>
  <si>
    <t>LS7</t>
  </si>
  <si>
    <t>LS8</t>
  </si>
  <si>
    <t>LS88</t>
  </si>
  <si>
    <t>LS9</t>
  </si>
  <si>
    <t>LS98</t>
  </si>
  <si>
    <t>LS99</t>
  </si>
  <si>
    <t>LU1</t>
  </si>
  <si>
    <t>LU2</t>
  </si>
  <si>
    <t>LU3</t>
  </si>
  <si>
    <t>LU4</t>
  </si>
  <si>
    <t>LU5</t>
  </si>
  <si>
    <t>LU6</t>
  </si>
  <si>
    <t>LU7</t>
  </si>
  <si>
    <t>M1</t>
  </si>
  <si>
    <t>M11</t>
  </si>
  <si>
    <t>M12</t>
  </si>
  <si>
    <t>M13</t>
  </si>
  <si>
    <t>M14</t>
  </si>
  <si>
    <t>M15</t>
  </si>
  <si>
    <t>M16</t>
  </si>
  <si>
    <t>M17</t>
  </si>
  <si>
    <t>M18</t>
  </si>
  <si>
    <t>M19</t>
  </si>
  <si>
    <t>M2</t>
  </si>
  <si>
    <t>M20</t>
  </si>
  <si>
    <t>M21</t>
  </si>
  <si>
    <t>M22</t>
  </si>
  <si>
    <t>M23</t>
  </si>
  <si>
    <t>M24</t>
  </si>
  <si>
    <t>M25</t>
  </si>
  <si>
    <t>M26</t>
  </si>
  <si>
    <t>M27</t>
  </si>
  <si>
    <t>M28</t>
  </si>
  <si>
    <t>M29</t>
  </si>
  <si>
    <t>M3</t>
  </si>
  <si>
    <t>M30</t>
  </si>
  <si>
    <t>M31</t>
  </si>
  <si>
    <t>M32</t>
  </si>
  <si>
    <t>M33</t>
  </si>
  <si>
    <t>M34</t>
  </si>
  <si>
    <t>M35</t>
  </si>
  <si>
    <t>M38</t>
  </si>
  <si>
    <t>M4</t>
  </si>
  <si>
    <t>M40</t>
  </si>
  <si>
    <t>M41</t>
  </si>
  <si>
    <t>M43</t>
  </si>
  <si>
    <t>M44</t>
  </si>
  <si>
    <t>M45</t>
  </si>
  <si>
    <t>M46</t>
  </si>
  <si>
    <t>M5</t>
  </si>
  <si>
    <t>M50</t>
  </si>
  <si>
    <t>M6</t>
  </si>
  <si>
    <t>M60</t>
  </si>
  <si>
    <t>M61</t>
  </si>
  <si>
    <t>M7</t>
  </si>
  <si>
    <t>M8</t>
  </si>
  <si>
    <t>M9</t>
  </si>
  <si>
    <t>M90</t>
  </si>
  <si>
    <t>M99</t>
  </si>
  <si>
    <t>ME1</t>
  </si>
  <si>
    <t>ME10</t>
  </si>
  <si>
    <t>ME11</t>
  </si>
  <si>
    <t>ME12</t>
  </si>
  <si>
    <t>ME13</t>
  </si>
  <si>
    <t>ME14</t>
  </si>
  <si>
    <t>ME15</t>
  </si>
  <si>
    <t>ME16</t>
  </si>
  <si>
    <t>ME17</t>
  </si>
  <si>
    <t>ME18</t>
  </si>
  <si>
    <t>ME19</t>
  </si>
  <si>
    <t>ME2</t>
  </si>
  <si>
    <t>ME20</t>
  </si>
  <si>
    <t>ME3</t>
  </si>
  <si>
    <t>ME4</t>
  </si>
  <si>
    <t>ME5</t>
  </si>
  <si>
    <t>ME6</t>
  </si>
  <si>
    <t>ME7</t>
  </si>
  <si>
    <t>ME8</t>
  </si>
  <si>
    <t>ME9</t>
  </si>
  <si>
    <t>ME99</t>
  </si>
  <si>
    <t>MK1</t>
  </si>
  <si>
    <t>MK10</t>
  </si>
  <si>
    <t>MK11</t>
  </si>
  <si>
    <t>MK12</t>
  </si>
  <si>
    <t>MK13</t>
  </si>
  <si>
    <t>MK14</t>
  </si>
  <si>
    <t>MK15</t>
  </si>
  <si>
    <t>MK16</t>
  </si>
  <si>
    <t>MK17</t>
  </si>
  <si>
    <t>MK18</t>
  </si>
  <si>
    <t>MK19</t>
  </si>
  <si>
    <t>MK2</t>
  </si>
  <si>
    <t>MK3</t>
  </si>
  <si>
    <t>MK4</t>
  </si>
  <si>
    <t>MK40</t>
  </si>
  <si>
    <t>MK41</t>
  </si>
  <si>
    <t>MK42</t>
  </si>
  <si>
    <t>MK43</t>
  </si>
  <si>
    <t>MK44</t>
  </si>
  <si>
    <t>MK45</t>
  </si>
  <si>
    <t>MK46</t>
  </si>
  <si>
    <t>MK5</t>
  </si>
  <si>
    <t>MK6</t>
  </si>
  <si>
    <t>MK7</t>
  </si>
  <si>
    <t>MK77</t>
  </si>
  <si>
    <t>MK8</t>
  </si>
  <si>
    <t>MK9</t>
  </si>
  <si>
    <t>ML1</t>
  </si>
  <si>
    <t>ML10</t>
  </si>
  <si>
    <t>ML11</t>
  </si>
  <si>
    <t>ML12</t>
  </si>
  <si>
    <t>ML2</t>
  </si>
  <si>
    <t>ML3</t>
  </si>
  <si>
    <t>ML4</t>
  </si>
  <si>
    <t>ML5</t>
  </si>
  <si>
    <t>ML6</t>
  </si>
  <si>
    <t>ML7</t>
  </si>
  <si>
    <t>ML8</t>
  </si>
  <si>
    <t>ML9</t>
  </si>
  <si>
    <t>N1</t>
  </si>
  <si>
    <t>N10</t>
  </si>
  <si>
    <t>N11</t>
  </si>
  <si>
    <t>N12</t>
  </si>
  <si>
    <t>N13</t>
  </si>
  <si>
    <t>N14</t>
  </si>
  <si>
    <t>N15</t>
  </si>
  <si>
    <t>N16</t>
  </si>
  <si>
    <t>N17</t>
  </si>
  <si>
    <t>N18</t>
  </si>
  <si>
    <t>N19</t>
  </si>
  <si>
    <t>N1C</t>
  </si>
  <si>
    <t>N1P</t>
  </si>
  <si>
    <t>N2</t>
  </si>
  <si>
    <t>N20</t>
  </si>
  <si>
    <t>N21</t>
  </si>
  <si>
    <t>N22</t>
  </si>
  <si>
    <t>N3</t>
  </si>
  <si>
    <t>N4</t>
  </si>
  <si>
    <t>N5</t>
  </si>
  <si>
    <t>N6</t>
  </si>
  <si>
    <t>N7</t>
  </si>
  <si>
    <t>N8</t>
  </si>
  <si>
    <t>N81</t>
  </si>
  <si>
    <t>N9</t>
  </si>
  <si>
    <t>NE1</t>
  </si>
  <si>
    <t>NE10</t>
  </si>
  <si>
    <t>NE11</t>
  </si>
  <si>
    <t>NE12</t>
  </si>
  <si>
    <t>NE13</t>
  </si>
  <si>
    <t>NE15</t>
  </si>
  <si>
    <t>NE16</t>
  </si>
  <si>
    <t>NE17</t>
  </si>
  <si>
    <t>NE18</t>
  </si>
  <si>
    <t>NE19</t>
  </si>
  <si>
    <t>NE2</t>
  </si>
  <si>
    <t>NE20</t>
  </si>
  <si>
    <t>NE21</t>
  </si>
  <si>
    <t>NE22</t>
  </si>
  <si>
    <t>NE23</t>
  </si>
  <si>
    <t>NE24</t>
  </si>
  <si>
    <t>NE25</t>
  </si>
  <si>
    <t>NE26</t>
  </si>
  <si>
    <t>NE27</t>
  </si>
  <si>
    <t>NE28</t>
  </si>
  <si>
    <t>NE29</t>
  </si>
  <si>
    <t>NE3</t>
  </si>
  <si>
    <t>NE30</t>
  </si>
  <si>
    <t>NE31</t>
  </si>
  <si>
    <t>NE32</t>
  </si>
  <si>
    <t>NE33</t>
  </si>
  <si>
    <t>NE34</t>
  </si>
  <si>
    <t>NE35</t>
  </si>
  <si>
    <t>NE36</t>
  </si>
  <si>
    <t>NE37</t>
  </si>
  <si>
    <t>NE38</t>
  </si>
  <si>
    <t>NE39</t>
  </si>
  <si>
    <t>NE4</t>
  </si>
  <si>
    <t>NE40</t>
  </si>
  <si>
    <t>NE41</t>
  </si>
  <si>
    <t>NE42</t>
  </si>
  <si>
    <t>NE43</t>
  </si>
  <si>
    <t>NE44</t>
  </si>
  <si>
    <t>NE45</t>
  </si>
  <si>
    <t>NE46</t>
  </si>
  <si>
    <t>NE47</t>
  </si>
  <si>
    <t>NE48</t>
  </si>
  <si>
    <t>NE49</t>
  </si>
  <si>
    <t>NE5</t>
  </si>
  <si>
    <t>NE6</t>
  </si>
  <si>
    <t>NE61</t>
  </si>
  <si>
    <t>NE62</t>
  </si>
  <si>
    <t>NE63</t>
  </si>
  <si>
    <t>NE64</t>
  </si>
  <si>
    <t>NE65</t>
  </si>
  <si>
    <t>NE66</t>
  </si>
  <si>
    <t>NE67</t>
  </si>
  <si>
    <t>NE68</t>
  </si>
  <si>
    <t>NE69</t>
  </si>
  <si>
    <t>NE7</t>
  </si>
  <si>
    <t>NE70</t>
  </si>
  <si>
    <t>NE71</t>
  </si>
  <si>
    <t>NE8</t>
  </si>
  <si>
    <t>NE82</t>
  </si>
  <si>
    <t>NE83</t>
  </si>
  <si>
    <t>NE85</t>
  </si>
  <si>
    <t>NE88</t>
  </si>
  <si>
    <t>NE9</t>
  </si>
  <si>
    <t>NE92</t>
  </si>
  <si>
    <t>NE98</t>
  </si>
  <si>
    <t>NE99</t>
  </si>
  <si>
    <t>NG1</t>
  </si>
  <si>
    <t>NG10</t>
  </si>
  <si>
    <t>NG11</t>
  </si>
  <si>
    <t>NG12</t>
  </si>
  <si>
    <t>NG13</t>
  </si>
  <si>
    <t>NG14</t>
  </si>
  <si>
    <t>NG15</t>
  </si>
  <si>
    <t>NG16</t>
  </si>
  <si>
    <t>NG17</t>
  </si>
  <si>
    <t>NG18</t>
  </si>
  <si>
    <t>NG19</t>
  </si>
  <si>
    <t>NG2</t>
  </si>
  <si>
    <t>NG20</t>
  </si>
  <si>
    <t>NG21</t>
  </si>
  <si>
    <t>NG22</t>
  </si>
  <si>
    <t>NG23</t>
  </si>
  <si>
    <t>NG24</t>
  </si>
  <si>
    <t>NG25</t>
  </si>
  <si>
    <t>NG3</t>
  </si>
  <si>
    <t>NG31</t>
  </si>
  <si>
    <t>NG32</t>
  </si>
  <si>
    <t>NG33</t>
  </si>
  <si>
    <t>NG34</t>
  </si>
  <si>
    <t>NG4</t>
  </si>
  <si>
    <t>NG5</t>
  </si>
  <si>
    <t>NG6</t>
  </si>
  <si>
    <t>NG7</t>
  </si>
  <si>
    <t>NG8</t>
  </si>
  <si>
    <t>NG80</t>
  </si>
  <si>
    <t>NG9</t>
  </si>
  <si>
    <t>NG90</t>
  </si>
  <si>
    <t>NN1</t>
  </si>
  <si>
    <t>NN10</t>
  </si>
  <si>
    <t>NN11</t>
  </si>
  <si>
    <t>NN12</t>
  </si>
  <si>
    <t>NN13</t>
  </si>
  <si>
    <t>NN14</t>
  </si>
  <si>
    <t>NN15</t>
  </si>
  <si>
    <t>NN16</t>
  </si>
  <si>
    <t>NN17</t>
  </si>
  <si>
    <t>NN18</t>
  </si>
  <si>
    <t>NN2</t>
  </si>
  <si>
    <t>NN29</t>
  </si>
  <si>
    <t>NN3</t>
  </si>
  <si>
    <t>NN4</t>
  </si>
  <si>
    <t>NN5</t>
  </si>
  <si>
    <t>NN6</t>
  </si>
  <si>
    <t>NN7</t>
  </si>
  <si>
    <t>NN8</t>
  </si>
  <si>
    <t>NN9</t>
  </si>
  <si>
    <t>NP10</t>
  </si>
  <si>
    <t>NP11</t>
  </si>
  <si>
    <t>NP12</t>
  </si>
  <si>
    <t>NP13</t>
  </si>
  <si>
    <t>NP15</t>
  </si>
  <si>
    <t>NP16</t>
  </si>
  <si>
    <t>NP18</t>
  </si>
  <si>
    <t>NP19</t>
  </si>
  <si>
    <t>NP20</t>
  </si>
  <si>
    <t>NP22</t>
  </si>
  <si>
    <t>NP23</t>
  </si>
  <si>
    <t>NP24</t>
  </si>
  <si>
    <t>NP25</t>
  </si>
  <si>
    <t>NP26</t>
  </si>
  <si>
    <t>NP4</t>
  </si>
  <si>
    <t>NP44</t>
  </si>
  <si>
    <t>NP7</t>
  </si>
  <si>
    <t>NP8</t>
  </si>
  <si>
    <t>NR1</t>
  </si>
  <si>
    <t>NR10</t>
  </si>
  <si>
    <t>NR11</t>
  </si>
  <si>
    <t>NR12</t>
  </si>
  <si>
    <t>NR13</t>
  </si>
  <si>
    <t>NR14</t>
  </si>
  <si>
    <t>NR15</t>
  </si>
  <si>
    <t>NR16</t>
  </si>
  <si>
    <t>NR17</t>
  </si>
  <si>
    <t>NR18</t>
  </si>
  <si>
    <t>NR19</t>
  </si>
  <si>
    <t>NR2</t>
  </si>
  <si>
    <t>NR20</t>
  </si>
  <si>
    <t>NR21</t>
  </si>
  <si>
    <t>NR22</t>
  </si>
  <si>
    <t>NR23</t>
  </si>
  <si>
    <t>NR24</t>
  </si>
  <si>
    <t>NR25</t>
  </si>
  <si>
    <t>NR26</t>
  </si>
  <si>
    <t>NR27</t>
  </si>
  <si>
    <t>NR28</t>
  </si>
  <si>
    <t>NR29</t>
  </si>
  <si>
    <t>NR3</t>
  </si>
  <si>
    <t>NR30</t>
  </si>
  <si>
    <t>NR31</t>
  </si>
  <si>
    <t>NR32</t>
  </si>
  <si>
    <t>NR33</t>
  </si>
  <si>
    <t>NR34</t>
  </si>
  <si>
    <t>NR35</t>
  </si>
  <si>
    <t>NR4</t>
  </si>
  <si>
    <t>NR5</t>
  </si>
  <si>
    <t>NR6</t>
  </si>
  <si>
    <t>NR7</t>
  </si>
  <si>
    <t>NR8</t>
  </si>
  <si>
    <t>NR9</t>
  </si>
  <si>
    <t>NR99</t>
  </si>
  <si>
    <t>NW1</t>
  </si>
  <si>
    <t>NW10</t>
  </si>
  <si>
    <t>NW11</t>
  </si>
  <si>
    <t>NW1W</t>
  </si>
  <si>
    <t>NW2</t>
  </si>
  <si>
    <t>NW26</t>
  </si>
  <si>
    <t>NW3</t>
  </si>
  <si>
    <t>NW4</t>
  </si>
  <si>
    <t>NW5</t>
  </si>
  <si>
    <t>NW6</t>
  </si>
  <si>
    <t>NW7</t>
  </si>
  <si>
    <t>NW8</t>
  </si>
  <si>
    <t>NW9</t>
  </si>
  <si>
    <t>OL1</t>
  </si>
  <si>
    <t>OL10</t>
  </si>
  <si>
    <t>OL11</t>
  </si>
  <si>
    <t>OL12</t>
  </si>
  <si>
    <t>OL13</t>
  </si>
  <si>
    <t>OL14</t>
  </si>
  <si>
    <t>OL15</t>
  </si>
  <si>
    <t>OL16</t>
  </si>
  <si>
    <t>OL2</t>
  </si>
  <si>
    <t>OL3</t>
  </si>
  <si>
    <t>OL4</t>
  </si>
  <si>
    <t>OL5</t>
  </si>
  <si>
    <t>OL6</t>
  </si>
  <si>
    <t>OL7</t>
  </si>
  <si>
    <t>OL8</t>
  </si>
  <si>
    <t>OL9</t>
  </si>
  <si>
    <t>OL95</t>
  </si>
  <si>
    <t>OX1</t>
  </si>
  <si>
    <t>OX10</t>
  </si>
  <si>
    <t>OX11</t>
  </si>
  <si>
    <t>OX12</t>
  </si>
  <si>
    <t>OX13</t>
  </si>
  <si>
    <t>OX14</t>
  </si>
  <si>
    <t>OX15</t>
  </si>
  <si>
    <t>OX16</t>
  </si>
  <si>
    <t>OX17</t>
  </si>
  <si>
    <t>OX18</t>
  </si>
  <si>
    <t>OX2</t>
  </si>
  <si>
    <t>OX20</t>
  </si>
  <si>
    <t>OX25</t>
  </si>
  <si>
    <t>OX26</t>
  </si>
  <si>
    <t>OX27</t>
  </si>
  <si>
    <t>OX28</t>
  </si>
  <si>
    <t>OX29</t>
  </si>
  <si>
    <t>OX3</t>
  </si>
  <si>
    <t>OX33</t>
  </si>
  <si>
    <t>OX39</t>
  </si>
  <si>
    <t>OX4</t>
  </si>
  <si>
    <t>OX44</t>
  </si>
  <si>
    <t>OX49</t>
  </si>
  <si>
    <t>OX5</t>
  </si>
  <si>
    <t>OX7</t>
  </si>
  <si>
    <t>OX9</t>
  </si>
  <si>
    <t>PA1</t>
  </si>
  <si>
    <t>PA10</t>
  </si>
  <si>
    <t>PA11</t>
  </si>
  <si>
    <t>PA12</t>
  </si>
  <si>
    <t>PA13</t>
  </si>
  <si>
    <t>PA14</t>
  </si>
  <si>
    <t>PA15</t>
  </si>
  <si>
    <t>PA16</t>
  </si>
  <si>
    <t>PA17</t>
  </si>
  <si>
    <t>PA18</t>
  </si>
  <si>
    <t>PA19</t>
  </si>
  <si>
    <t>PA2</t>
  </si>
  <si>
    <t>PA20</t>
  </si>
  <si>
    <t>PA21</t>
  </si>
  <si>
    <t>PA22</t>
  </si>
  <si>
    <t>PA23</t>
  </si>
  <si>
    <t>PA24</t>
  </si>
  <si>
    <t>PA25</t>
  </si>
  <si>
    <t>PA26</t>
  </si>
  <si>
    <t>PA27</t>
  </si>
  <si>
    <t>PA28</t>
  </si>
  <si>
    <t>PA29</t>
  </si>
  <si>
    <t>PA3</t>
  </si>
  <si>
    <t>PA30</t>
  </si>
  <si>
    <t>PA31</t>
  </si>
  <si>
    <t>PA32</t>
  </si>
  <si>
    <t>PA33</t>
  </si>
  <si>
    <t>PA34</t>
  </si>
  <si>
    <t>PA35</t>
  </si>
  <si>
    <t>PA36</t>
  </si>
  <si>
    <t>PA37</t>
  </si>
  <si>
    <t>PA38</t>
  </si>
  <si>
    <t>PA4</t>
  </si>
  <si>
    <t>PA41</t>
  </si>
  <si>
    <t>PA42</t>
  </si>
  <si>
    <t>PA43</t>
  </si>
  <si>
    <t>PA44</t>
  </si>
  <si>
    <t>PA45</t>
  </si>
  <si>
    <t>PA46</t>
  </si>
  <si>
    <t>PA47</t>
  </si>
  <si>
    <t>PA48</t>
  </si>
  <si>
    <t>PA49</t>
  </si>
  <si>
    <t>PA5</t>
  </si>
  <si>
    <t>PA6</t>
  </si>
  <si>
    <t>PA60</t>
  </si>
  <si>
    <t>PA61</t>
  </si>
  <si>
    <t>PA62</t>
  </si>
  <si>
    <t>PA63</t>
  </si>
  <si>
    <t>PA64</t>
  </si>
  <si>
    <t>PA65</t>
  </si>
  <si>
    <t>PA66</t>
  </si>
  <si>
    <t>PA67</t>
  </si>
  <si>
    <t>PA68</t>
  </si>
  <si>
    <t>PA69</t>
  </si>
  <si>
    <t>PA7</t>
  </si>
  <si>
    <t>PA70</t>
  </si>
  <si>
    <t>PA71</t>
  </si>
  <si>
    <t>PA72</t>
  </si>
  <si>
    <t>PA73</t>
  </si>
  <si>
    <t>PA74</t>
  </si>
  <si>
    <t>PA75</t>
  </si>
  <si>
    <t>PA76</t>
  </si>
  <si>
    <t>PA77</t>
  </si>
  <si>
    <t>PA78</t>
  </si>
  <si>
    <t>PA8</t>
  </si>
  <si>
    <t>PA80</t>
  </si>
  <si>
    <t>PA9</t>
  </si>
  <si>
    <t>PE1</t>
  </si>
  <si>
    <t>PE10</t>
  </si>
  <si>
    <t>PE11</t>
  </si>
  <si>
    <t>PE12</t>
  </si>
  <si>
    <t>PE13</t>
  </si>
  <si>
    <t>PE14</t>
  </si>
  <si>
    <t>PE15</t>
  </si>
  <si>
    <t>PE16</t>
  </si>
  <si>
    <t>PE19</t>
  </si>
  <si>
    <t>PE2</t>
  </si>
  <si>
    <t>PE20</t>
  </si>
  <si>
    <t>PE21</t>
  </si>
  <si>
    <t>PE22</t>
  </si>
  <si>
    <t>PE23</t>
  </si>
  <si>
    <t>PE24</t>
  </si>
  <si>
    <t>PE25</t>
  </si>
  <si>
    <t>PE26</t>
  </si>
  <si>
    <t>PE27</t>
  </si>
  <si>
    <t>PE28</t>
  </si>
  <si>
    <t>PE29</t>
  </si>
  <si>
    <t>PE3</t>
  </si>
  <si>
    <t>PE30</t>
  </si>
  <si>
    <t>PE31</t>
  </si>
  <si>
    <t>PE32</t>
  </si>
  <si>
    <t>PE33</t>
  </si>
  <si>
    <t>PE34</t>
  </si>
  <si>
    <t>PE35</t>
  </si>
  <si>
    <t>PE36</t>
  </si>
  <si>
    <t>PE37</t>
  </si>
  <si>
    <t>PE38</t>
  </si>
  <si>
    <t>PE4</t>
  </si>
  <si>
    <t>PE5</t>
  </si>
  <si>
    <t>PE6</t>
  </si>
  <si>
    <t>PE7</t>
  </si>
  <si>
    <t>PE8</t>
  </si>
  <si>
    <t>PE9</t>
  </si>
  <si>
    <t>PH1</t>
  </si>
  <si>
    <t>PH10</t>
  </si>
  <si>
    <t>PH11</t>
  </si>
  <si>
    <t>PH12</t>
  </si>
  <si>
    <t>PH13</t>
  </si>
  <si>
    <t>PH14</t>
  </si>
  <si>
    <t>PH15</t>
  </si>
  <si>
    <t>PH16</t>
  </si>
  <si>
    <t>PH17</t>
  </si>
  <si>
    <t>PH18</t>
  </si>
  <si>
    <t>PH19</t>
  </si>
  <si>
    <t>PH2</t>
  </si>
  <si>
    <t>PH20</t>
  </si>
  <si>
    <t>PH21</t>
  </si>
  <si>
    <t>PH22</t>
  </si>
  <si>
    <t>PH23</t>
  </si>
  <si>
    <t>PH24</t>
  </si>
  <si>
    <t>PH25</t>
  </si>
  <si>
    <t>PH26</t>
  </si>
  <si>
    <t>PH3</t>
  </si>
  <si>
    <t>PH30</t>
  </si>
  <si>
    <t>PH31</t>
  </si>
  <si>
    <t>PH32</t>
  </si>
  <si>
    <t>PH33</t>
  </si>
  <si>
    <t>PH34</t>
  </si>
  <si>
    <t>PH35</t>
  </si>
  <si>
    <t>PH36</t>
  </si>
  <si>
    <t>PH37</t>
  </si>
  <si>
    <t>PH38</t>
  </si>
  <si>
    <t>PH39</t>
  </si>
  <si>
    <t>PH4</t>
  </si>
  <si>
    <t>PH40</t>
  </si>
  <si>
    <t>PH41</t>
  </si>
  <si>
    <t>PH42</t>
  </si>
  <si>
    <t>PH43</t>
  </si>
  <si>
    <t>PH44</t>
  </si>
  <si>
    <t>PH49</t>
  </si>
  <si>
    <t>PH5</t>
  </si>
  <si>
    <t>PH50</t>
  </si>
  <si>
    <t>PH6</t>
  </si>
  <si>
    <t>PH7</t>
  </si>
  <si>
    <t>PH8</t>
  </si>
  <si>
    <t>PH9</t>
  </si>
  <si>
    <t>PL1</t>
  </si>
  <si>
    <t>PL10</t>
  </si>
  <si>
    <t>PL11</t>
  </si>
  <si>
    <t>PL12</t>
  </si>
  <si>
    <t>PL13</t>
  </si>
  <si>
    <t>PL14</t>
  </si>
  <si>
    <t>PL15</t>
  </si>
  <si>
    <t>PL16</t>
  </si>
  <si>
    <t>PL17</t>
  </si>
  <si>
    <t>PL18</t>
  </si>
  <si>
    <t>PL19</t>
  </si>
  <si>
    <t>PL2</t>
  </si>
  <si>
    <t>PL20</t>
  </si>
  <si>
    <t>PL21</t>
  </si>
  <si>
    <t>PL22</t>
  </si>
  <si>
    <t>PL23</t>
  </si>
  <si>
    <t>PL24</t>
  </si>
  <si>
    <t>PL25</t>
  </si>
  <si>
    <t>PL26</t>
  </si>
  <si>
    <t>PL27</t>
  </si>
  <si>
    <t>PL28</t>
  </si>
  <si>
    <t>PL29</t>
  </si>
  <si>
    <t>PL3</t>
  </si>
  <si>
    <t>PL30</t>
  </si>
  <si>
    <t>PL31</t>
  </si>
  <si>
    <t>PL32</t>
  </si>
  <si>
    <t>PL33</t>
  </si>
  <si>
    <t>PL34</t>
  </si>
  <si>
    <t>PL35</t>
  </si>
  <si>
    <t>PL4</t>
  </si>
  <si>
    <t>PL5</t>
  </si>
  <si>
    <t>PL6</t>
  </si>
  <si>
    <t>PL7</t>
  </si>
  <si>
    <t>PL8</t>
  </si>
  <si>
    <t>PL9</t>
  </si>
  <si>
    <t>PL95</t>
  </si>
  <si>
    <t>PO1</t>
  </si>
  <si>
    <t>PO10</t>
  </si>
  <si>
    <t>PO11</t>
  </si>
  <si>
    <t>PO12</t>
  </si>
  <si>
    <t>PO13</t>
  </si>
  <si>
    <t>PO14</t>
  </si>
  <si>
    <t>PO15</t>
  </si>
  <si>
    <t>PO16</t>
  </si>
  <si>
    <t>PO17</t>
  </si>
  <si>
    <t>PO18</t>
  </si>
  <si>
    <t>PO19</t>
  </si>
  <si>
    <t>PO2</t>
  </si>
  <si>
    <t>PO20</t>
  </si>
  <si>
    <t>PO21</t>
  </si>
  <si>
    <t>PO22</t>
  </si>
  <si>
    <t>PO24</t>
  </si>
  <si>
    <t>PO3</t>
  </si>
  <si>
    <t>PO30</t>
  </si>
  <si>
    <t>PO31</t>
  </si>
  <si>
    <t>PO32</t>
  </si>
  <si>
    <t>PO33</t>
  </si>
  <si>
    <t>PO34</t>
  </si>
  <si>
    <t>PO35</t>
  </si>
  <si>
    <t>PO36</t>
  </si>
  <si>
    <t>PO37</t>
  </si>
  <si>
    <t>PO38</t>
  </si>
  <si>
    <t>PO39</t>
  </si>
  <si>
    <t>PO4</t>
  </si>
  <si>
    <t>PO40</t>
  </si>
  <si>
    <t>PO41</t>
  </si>
  <si>
    <t>PO5</t>
  </si>
  <si>
    <t>PO6</t>
  </si>
  <si>
    <t>PO7</t>
  </si>
  <si>
    <t>PO8</t>
  </si>
  <si>
    <t>PO9</t>
  </si>
  <si>
    <t>PR0</t>
  </si>
  <si>
    <t>PR1</t>
  </si>
  <si>
    <t>PR11</t>
  </si>
  <si>
    <t>PR2</t>
  </si>
  <si>
    <t>PR25</t>
  </si>
  <si>
    <t>PR26</t>
  </si>
  <si>
    <t>PR3</t>
  </si>
  <si>
    <t>PR4</t>
  </si>
  <si>
    <t>PR5</t>
  </si>
  <si>
    <t>PR6</t>
  </si>
  <si>
    <t>PR7</t>
  </si>
  <si>
    <t>PR8</t>
  </si>
  <si>
    <t>PR9</t>
  </si>
  <si>
    <t>RG1</t>
  </si>
  <si>
    <t>RG10</t>
  </si>
  <si>
    <t>RG12</t>
  </si>
  <si>
    <t>RG14</t>
  </si>
  <si>
    <t>RG17</t>
  </si>
  <si>
    <t>RG18</t>
  </si>
  <si>
    <t>RG19</t>
  </si>
  <si>
    <t>RG2</t>
  </si>
  <si>
    <t>RG20</t>
  </si>
  <si>
    <t>RG21</t>
  </si>
  <si>
    <t>RG22</t>
  </si>
  <si>
    <t>RG23</t>
  </si>
  <si>
    <t>RG24</t>
  </si>
  <si>
    <t>RG25</t>
  </si>
  <si>
    <t>RG26</t>
  </si>
  <si>
    <t>RG27</t>
  </si>
  <si>
    <t>RG28</t>
  </si>
  <si>
    <t>RG29</t>
  </si>
  <si>
    <t>RG30</t>
  </si>
  <si>
    <t>RG31</t>
  </si>
  <si>
    <t>RG4</t>
  </si>
  <si>
    <t>RG40</t>
  </si>
  <si>
    <t>RG41</t>
  </si>
  <si>
    <t>RG42</t>
  </si>
  <si>
    <t>RG45</t>
  </si>
  <si>
    <t>RG5</t>
  </si>
  <si>
    <t>RG6</t>
  </si>
  <si>
    <t>RG7</t>
  </si>
  <si>
    <t>RG8</t>
  </si>
  <si>
    <t>RG9</t>
  </si>
  <si>
    <t>RH1</t>
  </si>
  <si>
    <t>RH10</t>
  </si>
  <si>
    <t>RH11</t>
  </si>
  <si>
    <t>RH12</t>
  </si>
  <si>
    <t>RH13</t>
  </si>
  <si>
    <t>RH14</t>
  </si>
  <si>
    <t>RH15</t>
  </si>
  <si>
    <t>RH16</t>
  </si>
  <si>
    <t>RH17</t>
  </si>
  <si>
    <t>RH18</t>
  </si>
  <si>
    <t>RH19</t>
  </si>
  <si>
    <t>RH2</t>
  </si>
  <si>
    <t>RH20</t>
  </si>
  <si>
    <t>RH3</t>
  </si>
  <si>
    <t>RH4</t>
  </si>
  <si>
    <t>RH5</t>
  </si>
  <si>
    <t>RH6</t>
  </si>
  <si>
    <t>RH7</t>
  </si>
  <si>
    <t>RH77</t>
  </si>
  <si>
    <t>RH8</t>
  </si>
  <si>
    <t>RH9</t>
  </si>
  <si>
    <t>S1</t>
  </si>
  <si>
    <t>S10</t>
  </si>
  <si>
    <t>S11</t>
  </si>
  <si>
    <t>S12</t>
  </si>
  <si>
    <t>S13</t>
  </si>
  <si>
    <t>S14</t>
  </si>
  <si>
    <t>S17</t>
  </si>
  <si>
    <t>S18</t>
  </si>
  <si>
    <t>S2</t>
  </si>
  <si>
    <t>S20</t>
  </si>
  <si>
    <t>S21</t>
  </si>
  <si>
    <t>S25</t>
  </si>
  <si>
    <t>S26</t>
  </si>
  <si>
    <t>S3</t>
  </si>
  <si>
    <t>S32</t>
  </si>
  <si>
    <t>S33</t>
  </si>
  <si>
    <t>S35</t>
  </si>
  <si>
    <t>S36</t>
  </si>
  <si>
    <t>S4</t>
  </si>
  <si>
    <t>S40</t>
  </si>
  <si>
    <t>S41</t>
  </si>
  <si>
    <t>S42</t>
  </si>
  <si>
    <t>S43</t>
  </si>
  <si>
    <t>S44</t>
  </si>
  <si>
    <t>S45</t>
  </si>
  <si>
    <t>S49</t>
  </si>
  <si>
    <t>S5</t>
  </si>
  <si>
    <t>S6</t>
  </si>
  <si>
    <t>S60</t>
  </si>
  <si>
    <t>S61</t>
  </si>
  <si>
    <t>S62</t>
  </si>
  <si>
    <t>S63</t>
  </si>
  <si>
    <t>S64</t>
  </si>
  <si>
    <t>S65</t>
  </si>
  <si>
    <t>S66</t>
  </si>
  <si>
    <t>S7</t>
  </si>
  <si>
    <t>S70</t>
  </si>
  <si>
    <t>S71</t>
  </si>
  <si>
    <t>S72</t>
  </si>
  <si>
    <t>S73</t>
  </si>
  <si>
    <t>S74</t>
  </si>
  <si>
    <t>S75</t>
  </si>
  <si>
    <t>S8</t>
  </si>
  <si>
    <t>S80</t>
  </si>
  <si>
    <t>S81</t>
  </si>
  <si>
    <t>S9</t>
  </si>
  <si>
    <t>S94</t>
  </si>
  <si>
    <t>S95</t>
  </si>
  <si>
    <t>S96</t>
  </si>
  <si>
    <t>S97</t>
  </si>
  <si>
    <t>S98</t>
  </si>
  <si>
    <t>S99</t>
  </si>
  <si>
    <t>SA1</t>
  </si>
  <si>
    <t>SA10</t>
  </si>
  <si>
    <t>SA11</t>
  </si>
  <si>
    <t>SA12</t>
  </si>
  <si>
    <t>SA13</t>
  </si>
  <si>
    <t>SA14</t>
  </si>
  <si>
    <t>SA15</t>
  </si>
  <si>
    <t>SA16</t>
  </si>
  <si>
    <t>SA17</t>
  </si>
  <si>
    <t>SA18</t>
  </si>
  <si>
    <t>SA19</t>
  </si>
  <si>
    <t>SA2</t>
  </si>
  <si>
    <t>SA20</t>
  </si>
  <si>
    <t>SA3</t>
  </si>
  <si>
    <t>SA31</t>
  </si>
  <si>
    <t>SA32</t>
  </si>
  <si>
    <t>SA33</t>
  </si>
  <si>
    <t>SA34</t>
  </si>
  <si>
    <t>SA35</t>
  </si>
  <si>
    <t>SA36</t>
  </si>
  <si>
    <t>SA37</t>
  </si>
  <si>
    <t>SA38</t>
  </si>
  <si>
    <t>SA39</t>
  </si>
  <si>
    <t>SA4</t>
  </si>
  <si>
    <t>SA40</t>
  </si>
  <si>
    <t>SA41</t>
  </si>
  <si>
    <t>SA42</t>
  </si>
  <si>
    <t>SA43</t>
  </si>
  <si>
    <t>SA44</t>
  </si>
  <si>
    <t>SA45</t>
  </si>
  <si>
    <t>SA46</t>
  </si>
  <si>
    <t>SA47</t>
  </si>
  <si>
    <t>SA48</t>
  </si>
  <si>
    <t>SA5</t>
  </si>
  <si>
    <t>SA6</t>
  </si>
  <si>
    <t>SA61</t>
  </si>
  <si>
    <t>SA62</t>
  </si>
  <si>
    <t>SA63</t>
  </si>
  <si>
    <t>SA64</t>
  </si>
  <si>
    <t>SA65</t>
  </si>
  <si>
    <t>SA66</t>
  </si>
  <si>
    <t>SA67</t>
  </si>
  <si>
    <t>SA68</t>
  </si>
  <si>
    <t>SA69</t>
  </si>
  <si>
    <t>SA7</t>
  </si>
  <si>
    <t>SA70</t>
  </si>
  <si>
    <t>SA71</t>
  </si>
  <si>
    <t>SA72</t>
  </si>
  <si>
    <t>SA73</t>
  </si>
  <si>
    <t>SA8</t>
  </si>
  <si>
    <t>SA80</t>
  </si>
  <si>
    <t>SA9</t>
  </si>
  <si>
    <t>SA99</t>
  </si>
  <si>
    <t>SE1</t>
  </si>
  <si>
    <t>SE10</t>
  </si>
  <si>
    <t>SE11</t>
  </si>
  <si>
    <t>SE12</t>
  </si>
  <si>
    <t>SE13</t>
  </si>
  <si>
    <t>SE14</t>
  </si>
  <si>
    <t>SE15</t>
  </si>
  <si>
    <t>SE16</t>
  </si>
  <si>
    <t>SE17</t>
  </si>
  <si>
    <t>SE18</t>
  </si>
  <si>
    <t>SE19</t>
  </si>
  <si>
    <t>SE1P</t>
  </si>
  <si>
    <t>SE2</t>
  </si>
  <si>
    <t>SE20</t>
  </si>
  <si>
    <t>SE21</t>
  </si>
  <si>
    <t>SE22</t>
  </si>
  <si>
    <t>SE23</t>
  </si>
  <si>
    <t>SE24</t>
  </si>
  <si>
    <t>SE25</t>
  </si>
  <si>
    <t>SE26</t>
  </si>
  <si>
    <t>SE27</t>
  </si>
  <si>
    <t>SE28</t>
  </si>
  <si>
    <t>SE3</t>
  </si>
  <si>
    <t>SE4</t>
  </si>
  <si>
    <t>SE5</t>
  </si>
  <si>
    <t>SE6</t>
  </si>
  <si>
    <t>SE7</t>
  </si>
  <si>
    <t>SE8</t>
  </si>
  <si>
    <t>SE9</t>
  </si>
  <si>
    <t>SG1</t>
  </si>
  <si>
    <t>SG10</t>
  </si>
  <si>
    <t>SG11</t>
  </si>
  <si>
    <t>SG12</t>
  </si>
  <si>
    <t>SG13</t>
  </si>
  <si>
    <t>SG14</t>
  </si>
  <si>
    <t>SG15</t>
  </si>
  <si>
    <t>SG16</t>
  </si>
  <si>
    <t>SG17</t>
  </si>
  <si>
    <t>SG18</t>
  </si>
  <si>
    <t>SG19</t>
  </si>
  <si>
    <t>SG2</t>
  </si>
  <si>
    <t>SG3</t>
  </si>
  <si>
    <t>SG4</t>
  </si>
  <si>
    <t>SG5</t>
  </si>
  <si>
    <t>SG6</t>
  </si>
  <si>
    <t>SG7</t>
  </si>
  <si>
    <t>SG8</t>
  </si>
  <si>
    <t>SG9</t>
  </si>
  <si>
    <t>SK1</t>
  </si>
  <si>
    <t>SK10</t>
  </si>
  <si>
    <t>SK11</t>
  </si>
  <si>
    <t>SK12</t>
  </si>
  <si>
    <t>SK13</t>
  </si>
  <si>
    <t>SK14</t>
  </si>
  <si>
    <t>SK15</t>
  </si>
  <si>
    <t>SK16</t>
  </si>
  <si>
    <t>SK17</t>
  </si>
  <si>
    <t>SK2</t>
  </si>
  <si>
    <t>SK22</t>
  </si>
  <si>
    <t>SK23</t>
  </si>
  <si>
    <t>SK3</t>
  </si>
  <si>
    <t>SK4</t>
  </si>
  <si>
    <t>SK5</t>
  </si>
  <si>
    <t>SK6</t>
  </si>
  <si>
    <t>SK7</t>
  </si>
  <si>
    <t>SK8</t>
  </si>
  <si>
    <t>SK9</t>
  </si>
  <si>
    <t>SL0</t>
  </si>
  <si>
    <t>SL1</t>
  </si>
  <si>
    <t>SL2</t>
  </si>
  <si>
    <t>SL3</t>
  </si>
  <si>
    <t>SL4</t>
  </si>
  <si>
    <t>SL5</t>
  </si>
  <si>
    <t>SL6</t>
  </si>
  <si>
    <t>SL60</t>
  </si>
  <si>
    <t>SL7</t>
  </si>
  <si>
    <t>SL8</t>
  </si>
  <si>
    <t>SL9</t>
  </si>
  <si>
    <t>SL95</t>
  </si>
  <si>
    <t>SM1</t>
  </si>
  <si>
    <t>SM2</t>
  </si>
  <si>
    <t>SM3</t>
  </si>
  <si>
    <t>SM4</t>
  </si>
  <si>
    <t>SM5</t>
  </si>
  <si>
    <t>SM6</t>
  </si>
  <si>
    <t>SM7</t>
  </si>
  <si>
    <t>SN1</t>
  </si>
  <si>
    <t>SN10</t>
  </si>
  <si>
    <t>SN11</t>
  </si>
  <si>
    <t>SN12</t>
  </si>
  <si>
    <t>SN13</t>
  </si>
  <si>
    <t>SN14</t>
  </si>
  <si>
    <t>SN15</t>
  </si>
  <si>
    <t>SN16</t>
  </si>
  <si>
    <t>SN2</t>
  </si>
  <si>
    <t>SN25</t>
  </si>
  <si>
    <t>SN26</t>
  </si>
  <si>
    <t>SN3</t>
  </si>
  <si>
    <t>SN38</t>
  </si>
  <si>
    <t>SN4</t>
  </si>
  <si>
    <t>SN5</t>
  </si>
  <si>
    <t>SN6</t>
  </si>
  <si>
    <t>SN7</t>
  </si>
  <si>
    <t>SN8</t>
  </si>
  <si>
    <t>SN9</t>
  </si>
  <si>
    <t>SN99</t>
  </si>
  <si>
    <t>SO14</t>
  </si>
  <si>
    <t>SO15</t>
  </si>
  <si>
    <t>SO16</t>
  </si>
  <si>
    <t>SO17</t>
  </si>
  <si>
    <t>SO18</t>
  </si>
  <si>
    <t>SO19</t>
  </si>
  <si>
    <t>SO20</t>
  </si>
  <si>
    <t>SO21</t>
  </si>
  <si>
    <t>SO22</t>
  </si>
  <si>
    <t>SO23</t>
  </si>
  <si>
    <t>SO24</t>
  </si>
  <si>
    <t>SO25</t>
  </si>
  <si>
    <t>SO30</t>
  </si>
  <si>
    <t>SO31</t>
  </si>
  <si>
    <t>SO32</t>
  </si>
  <si>
    <t>SO40</t>
  </si>
  <si>
    <t>SO41</t>
  </si>
  <si>
    <t>SO42</t>
  </si>
  <si>
    <t>SO43</t>
  </si>
  <si>
    <t>SO45</t>
  </si>
  <si>
    <t>SO50</t>
  </si>
  <si>
    <t>SO51</t>
  </si>
  <si>
    <t>SO52</t>
  </si>
  <si>
    <t>SO53</t>
  </si>
  <si>
    <t>SO97</t>
  </si>
  <si>
    <t>SP1</t>
  </si>
  <si>
    <t>SP10</t>
  </si>
  <si>
    <t>SP11</t>
  </si>
  <si>
    <t>SP2</t>
  </si>
  <si>
    <t>SP3</t>
  </si>
  <si>
    <t>SP4</t>
  </si>
  <si>
    <t>SP5</t>
  </si>
  <si>
    <t>SP6</t>
  </si>
  <si>
    <t>SP7</t>
  </si>
  <si>
    <t>SP8</t>
  </si>
  <si>
    <t>SP9</t>
  </si>
  <si>
    <t>SR1</t>
  </si>
  <si>
    <t>SR2</t>
  </si>
  <si>
    <t>SR3</t>
  </si>
  <si>
    <t>SR4</t>
  </si>
  <si>
    <t>SR43</t>
  </si>
  <si>
    <t>SR5</t>
  </si>
  <si>
    <t>SR6</t>
  </si>
  <si>
    <t>SR7</t>
  </si>
  <si>
    <t>SR8</t>
  </si>
  <si>
    <t>SS0</t>
  </si>
  <si>
    <t>SS1</t>
  </si>
  <si>
    <t>SS11</t>
  </si>
  <si>
    <t>SS12</t>
  </si>
  <si>
    <t>SS13</t>
  </si>
  <si>
    <t>SS14</t>
  </si>
  <si>
    <t>SS15</t>
  </si>
  <si>
    <t>SS16</t>
  </si>
  <si>
    <t>SS17</t>
  </si>
  <si>
    <t>SS2</t>
  </si>
  <si>
    <t>SS22</t>
  </si>
  <si>
    <t>SS3</t>
  </si>
  <si>
    <t>SS4</t>
  </si>
  <si>
    <t>SS5</t>
  </si>
  <si>
    <t>SS6</t>
  </si>
  <si>
    <t>SS7</t>
  </si>
  <si>
    <t>SS8</t>
  </si>
  <si>
    <t>SS9</t>
  </si>
  <si>
    <t>SS99</t>
  </si>
  <si>
    <t>ST1</t>
  </si>
  <si>
    <t>ST10</t>
  </si>
  <si>
    <t>ST11</t>
  </si>
  <si>
    <t>ST12</t>
  </si>
  <si>
    <t>ST13</t>
  </si>
  <si>
    <t>ST14</t>
  </si>
  <si>
    <t>ST15</t>
  </si>
  <si>
    <t>ST16</t>
  </si>
  <si>
    <t>ST17</t>
  </si>
  <si>
    <t>ST18</t>
  </si>
  <si>
    <t>ST19</t>
  </si>
  <si>
    <t>ST2</t>
  </si>
  <si>
    <t>ST20</t>
  </si>
  <si>
    <t>ST21</t>
  </si>
  <si>
    <t>ST3</t>
  </si>
  <si>
    <t>ST4</t>
  </si>
  <si>
    <t>ST5</t>
  </si>
  <si>
    <t>ST55</t>
  </si>
  <si>
    <t>ST6</t>
  </si>
  <si>
    <t>ST7</t>
  </si>
  <si>
    <t>ST8</t>
  </si>
  <si>
    <t>ST9</t>
  </si>
  <si>
    <t>SW10</t>
  </si>
  <si>
    <t>SW11</t>
  </si>
  <si>
    <t>SW12</t>
  </si>
  <si>
    <t>SW13</t>
  </si>
  <si>
    <t>SW14</t>
  </si>
  <si>
    <t>SW15</t>
  </si>
  <si>
    <t>SW16</t>
  </si>
  <si>
    <t>SW17</t>
  </si>
  <si>
    <t>SW18</t>
  </si>
  <si>
    <t>SW19</t>
  </si>
  <si>
    <t>SW1A</t>
  </si>
  <si>
    <t>SW1E</t>
  </si>
  <si>
    <t>SW1H</t>
  </si>
  <si>
    <t>SW1P</t>
  </si>
  <si>
    <t>SW1V</t>
  </si>
  <si>
    <t>SW1W</t>
  </si>
  <si>
    <t>SW1X</t>
  </si>
  <si>
    <t>SW1Y</t>
  </si>
  <si>
    <t>SW2</t>
  </si>
  <si>
    <t>SW20</t>
  </si>
  <si>
    <t>SW3</t>
  </si>
  <si>
    <t>SW4</t>
  </si>
  <si>
    <t>SW5</t>
  </si>
  <si>
    <t>SW6</t>
  </si>
  <si>
    <t>SW7</t>
  </si>
  <si>
    <t>SW8</t>
  </si>
  <si>
    <t>SW9</t>
  </si>
  <si>
    <t>SW95</t>
  </si>
  <si>
    <t>SY1</t>
  </si>
  <si>
    <t>SY10</t>
  </si>
  <si>
    <t>SY11</t>
  </si>
  <si>
    <t>SY12</t>
  </si>
  <si>
    <t>SY13</t>
  </si>
  <si>
    <t>SY14</t>
  </si>
  <si>
    <t>SY15</t>
  </si>
  <si>
    <t>SY16</t>
  </si>
  <si>
    <t>SY17</t>
  </si>
  <si>
    <t>SY18</t>
  </si>
  <si>
    <t>SY19</t>
  </si>
  <si>
    <t>SY2</t>
  </si>
  <si>
    <t>SY20</t>
  </si>
  <si>
    <t>SY21</t>
  </si>
  <si>
    <t>SY22</t>
  </si>
  <si>
    <t>SY23</t>
  </si>
  <si>
    <t>SY24</t>
  </si>
  <si>
    <t>SY25</t>
  </si>
  <si>
    <t>SY3</t>
  </si>
  <si>
    <t>SY4</t>
  </si>
  <si>
    <t>SY5</t>
  </si>
  <si>
    <t>SY6</t>
  </si>
  <si>
    <t>SY7</t>
  </si>
  <si>
    <t>SY8</t>
  </si>
  <si>
    <t>SY9</t>
  </si>
  <si>
    <t>SY99</t>
  </si>
  <si>
    <t>TA1</t>
  </si>
  <si>
    <t>TA10</t>
  </si>
  <si>
    <t>TA11</t>
  </si>
  <si>
    <t>TA12</t>
  </si>
  <si>
    <t>TA13</t>
  </si>
  <si>
    <t>TA14</t>
  </si>
  <si>
    <t>TA15</t>
  </si>
  <si>
    <t>TA16</t>
  </si>
  <si>
    <t>TA17</t>
  </si>
  <si>
    <t>TA18</t>
  </si>
  <si>
    <t>TA19</t>
  </si>
  <si>
    <t>TA2</t>
  </si>
  <si>
    <t>TA20</t>
  </si>
  <si>
    <t>TA21</t>
  </si>
  <si>
    <t>TA22</t>
  </si>
  <si>
    <t>TA23</t>
  </si>
  <si>
    <t>TA24</t>
  </si>
  <si>
    <t>TA3</t>
  </si>
  <si>
    <t>TA4</t>
  </si>
  <si>
    <t>TA5</t>
  </si>
  <si>
    <t>TA6</t>
  </si>
  <si>
    <t>TA7</t>
  </si>
  <si>
    <t>TA8</t>
  </si>
  <si>
    <t>TA9</t>
  </si>
  <si>
    <t>TD1</t>
  </si>
  <si>
    <t>TD10</t>
  </si>
  <si>
    <t>TD11</t>
  </si>
  <si>
    <t>TD12</t>
  </si>
  <si>
    <t>TD13</t>
  </si>
  <si>
    <t>TD14</t>
  </si>
  <si>
    <t>TD15</t>
  </si>
  <si>
    <t>TD2</t>
  </si>
  <si>
    <t>TD3</t>
  </si>
  <si>
    <t>TD4</t>
  </si>
  <si>
    <t>TD5</t>
  </si>
  <si>
    <t>TD6</t>
  </si>
  <si>
    <t>TD7</t>
  </si>
  <si>
    <t>TD8</t>
  </si>
  <si>
    <t>TD9</t>
  </si>
  <si>
    <t>TF1</t>
  </si>
  <si>
    <t>TF10</t>
  </si>
  <si>
    <t>TF11</t>
  </si>
  <si>
    <t>TF12</t>
  </si>
  <si>
    <t>TF13</t>
  </si>
  <si>
    <t>TF2</t>
  </si>
  <si>
    <t>TF3</t>
  </si>
  <si>
    <t>TF4</t>
  </si>
  <si>
    <t>TF5</t>
  </si>
  <si>
    <t>TF6</t>
  </si>
  <si>
    <t>TF7</t>
  </si>
  <si>
    <t>TF8</t>
  </si>
  <si>
    <t>TF9</t>
  </si>
  <si>
    <t>TN1</t>
  </si>
  <si>
    <t>TN10</t>
  </si>
  <si>
    <t>TN11</t>
  </si>
  <si>
    <t>TN12</t>
  </si>
  <si>
    <t>TN13</t>
  </si>
  <si>
    <t>TN14</t>
  </si>
  <si>
    <t>TN15</t>
  </si>
  <si>
    <t>TN16</t>
  </si>
  <si>
    <t>TN17</t>
  </si>
  <si>
    <t>TN18</t>
  </si>
  <si>
    <t>TN19</t>
  </si>
  <si>
    <t>TN2</t>
  </si>
  <si>
    <t>TN20</t>
  </si>
  <si>
    <t>TN21</t>
  </si>
  <si>
    <t>TN22</t>
  </si>
  <si>
    <t>TN23</t>
  </si>
  <si>
    <t>TN24</t>
  </si>
  <si>
    <t>TN25</t>
  </si>
  <si>
    <t>TN26</t>
  </si>
  <si>
    <t>TN27</t>
  </si>
  <si>
    <t>TN28</t>
  </si>
  <si>
    <t>TN29</t>
  </si>
  <si>
    <t>TN3</t>
  </si>
  <si>
    <t>TN30</t>
  </si>
  <si>
    <t>TN31</t>
  </si>
  <si>
    <t>TN32</t>
  </si>
  <si>
    <t>TN33</t>
  </si>
  <si>
    <t>TN34</t>
  </si>
  <si>
    <t>TN35</t>
  </si>
  <si>
    <t>TN36</t>
  </si>
  <si>
    <t>TN37</t>
  </si>
  <si>
    <t>TN38</t>
  </si>
  <si>
    <t>TN39</t>
  </si>
  <si>
    <t>TN4</t>
  </si>
  <si>
    <t>TN40</t>
  </si>
  <si>
    <t>TN5</t>
  </si>
  <si>
    <t>TN6</t>
  </si>
  <si>
    <t>TN7</t>
  </si>
  <si>
    <t>TN8</t>
  </si>
  <si>
    <t>TN9</t>
  </si>
  <si>
    <t>TQ1</t>
  </si>
  <si>
    <t>TQ10</t>
  </si>
  <si>
    <t>TQ11</t>
  </si>
  <si>
    <t>TQ12</t>
  </si>
  <si>
    <t>TQ13</t>
  </si>
  <si>
    <t>TQ14</t>
  </si>
  <si>
    <t>TQ2</t>
  </si>
  <si>
    <t>TQ3</t>
  </si>
  <si>
    <t>TQ4</t>
  </si>
  <si>
    <t>TQ5</t>
  </si>
  <si>
    <t>TQ6</t>
  </si>
  <si>
    <t>TQ7</t>
  </si>
  <si>
    <t>TQ8</t>
  </si>
  <si>
    <t>TQ9</t>
  </si>
  <si>
    <t>TR1</t>
  </si>
  <si>
    <t>TR10</t>
  </si>
  <si>
    <t>TR11</t>
  </si>
  <si>
    <t>TR12</t>
  </si>
  <si>
    <t>TR13</t>
  </si>
  <si>
    <t>TR14</t>
  </si>
  <si>
    <t>TR15</t>
  </si>
  <si>
    <t>TR16</t>
  </si>
  <si>
    <t>TR17</t>
  </si>
  <si>
    <t>TR18</t>
  </si>
  <si>
    <t>TR19</t>
  </si>
  <si>
    <t>TR2</t>
  </si>
  <si>
    <t>TR20</t>
  </si>
  <si>
    <t>TR21</t>
  </si>
  <si>
    <t>TR22</t>
  </si>
  <si>
    <t>TR23</t>
  </si>
  <si>
    <t>TR24</t>
  </si>
  <si>
    <t>TR25</t>
  </si>
  <si>
    <t>TR26</t>
  </si>
  <si>
    <t>TR27</t>
  </si>
  <si>
    <t>TR3</t>
  </si>
  <si>
    <t>TR4</t>
  </si>
  <si>
    <t>TR5</t>
  </si>
  <si>
    <t>TR6</t>
  </si>
  <si>
    <t>TR7</t>
  </si>
  <si>
    <t>TR8</t>
  </si>
  <si>
    <t>TR9</t>
  </si>
  <si>
    <t>TS1</t>
  </si>
  <si>
    <t>TS10</t>
  </si>
  <si>
    <t>TS11</t>
  </si>
  <si>
    <t>TS12</t>
  </si>
  <si>
    <t>TS13</t>
  </si>
  <si>
    <t>TS14</t>
  </si>
  <si>
    <t>TS15</t>
  </si>
  <si>
    <t>TS16</t>
  </si>
  <si>
    <t>TS17</t>
  </si>
  <si>
    <t>TS18</t>
  </si>
  <si>
    <t>TS19</t>
  </si>
  <si>
    <t>TS2</t>
  </si>
  <si>
    <t>TS20</t>
  </si>
  <si>
    <t>TS21</t>
  </si>
  <si>
    <t>TS22</t>
  </si>
  <si>
    <t>TS23</t>
  </si>
  <si>
    <t>TS24</t>
  </si>
  <si>
    <t>TS25</t>
  </si>
  <si>
    <t>TS26</t>
  </si>
  <si>
    <t>TS27</t>
  </si>
  <si>
    <t>TS28</t>
  </si>
  <si>
    <t>TS29</t>
  </si>
  <si>
    <t>TS3</t>
  </si>
  <si>
    <t>TS4</t>
  </si>
  <si>
    <t>TS5</t>
  </si>
  <si>
    <t>TS6</t>
  </si>
  <si>
    <t>TS7</t>
  </si>
  <si>
    <t>TS8</t>
  </si>
  <si>
    <t>TS9</t>
  </si>
  <si>
    <t>TW1</t>
  </si>
  <si>
    <t>TW10</t>
  </si>
  <si>
    <t>TW11</t>
  </si>
  <si>
    <t>TW12</t>
  </si>
  <si>
    <t>TW13</t>
  </si>
  <si>
    <t>TW14</t>
  </si>
  <si>
    <t>TW15</t>
  </si>
  <si>
    <t>TW16</t>
  </si>
  <si>
    <t>TW17</t>
  </si>
  <si>
    <t>TW18</t>
  </si>
  <si>
    <t>TW19</t>
  </si>
  <si>
    <t>TW2</t>
  </si>
  <si>
    <t>TW20</t>
  </si>
  <si>
    <t>TW3</t>
  </si>
  <si>
    <t>TW4</t>
  </si>
  <si>
    <t>TW5</t>
  </si>
  <si>
    <t>TW6</t>
  </si>
  <si>
    <t>TW7</t>
  </si>
  <si>
    <t>TW8</t>
  </si>
  <si>
    <t>TW9</t>
  </si>
  <si>
    <t>UB1</t>
  </si>
  <si>
    <t>UB10</t>
  </si>
  <si>
    <t>UB11</t>
  </si>
  <si>
    <t>UB18</t>
  </si>
  <si>
    <t>UB2</t>
  </si>
  <si>
    <t>UB3</t>
  </si>
  <si>
    <t>UB4</t>
  </si>
  <si>
    <t>UB5</t>
  </si>
  <si>
    <t>UB6</t>
  </si>
  <si>
    <t>UB7</t>
  </si>
  <si>
    <t>UB8</t>
  </si>
  <si>
    <t>UB9</t>
  </si>
  <si>
    <t>W10</t>
  </si>
  <si>
    <t>W11</t>
  </si>
  <si>
    <t>W12</t>
  </si>
  <si>
    <t>W13</t>
  </si>
  <si>
    <t>W14</t>
  </si>
  <si>
    <t>W1A</t>
  </si>
  <si>
    <t>W1B</t>
  </si>
  <si>
    <t>W1C</t>
  </si>
  <si>
    <t>W1D</t>
  </si>
  <si>
    <t>W1F</t>
  </si>
  <si>
    <t>W1G</t>
  </si>
  <si>
    <t>W1H</t>
  </si>
  <si>
    <t>W1J</t>
  </si>
  <si>
    <t>W1K</t>
  </si>
  <si>
    <t>W1S</t>
  </si>
  <si>
    <t>W1T</t>
  </si>
  <si>
    <t>W1U</t>
  </si>
  <si>
    <t>W1W</t>
  </si>
  <si>
    <t>W2</t>
  </si>
  <si>
    <t>W3</t>
  </si>
  <si>
    <t>W4</t>
  </si>
  <si>
    <t>W5</t>
  </si>
  <si>
    <t>W6</t>
  </si>
  <si>
    <t>W7</t>
  </si>
  <si>
    <t>W8</t>
  </si>
  <si>
    <t>W9</t>
  </si>
  <si>
    <t>WA1</t>
  </si>
  <si>
    <t>WA10</t>
  </si>
  <si>
    <t>WA11</t>
  </si>
  <si>
    <t>WA12</t>
  </si>
  <si>
    <t>WA13</t>
  </si>
  <si>
    <t>WA14</t>
  </si>
  <si>
    <t>WA15</t>
  </si>
  <si>
    <t>WA16</t>
  </si>
  <si>
    <t>WA2</t>
  </si>
  <si>
    <t>WA3</t>
  </si>
  <si>
    <t>WA4</t>
  </si>
  <si>
    <t>WA5</t>
  </si>
  <si>
    <t>WA55</t>
  </si>
  <si>
    <t>WA6</t>
  </si>
  <si>
    <t>WA7</t>
  </si>
  <si>
    <t>WA8</t>
  </si>
  <si>
    <t>WA88</t>
  </si>
  <si>
    <t>WA9</t>
  </si>
  <si>
    <t>WC1A</t>
  </si>
  <si>
    <t>WC1B</t>
  </si>
  <si>
    <t>WC1E</t>
  </si>
  <si>
    <t>WC1H</t>
  </si>
  <si>
    <t>WC1N</t>
  </si>
  <si>
    <t>WC1R</t>
  </si>
  <si>
    <t>WC1V</t>
  </si>
  <si>
    <t>WC1X</t>
  </si>
  <si>
    <t>WC2A</t>
  </si>
  <si>
    <t>WC2B</t>
  </si>
  <si>
    <t>WC2E</t>
  </si>
  <si>
    <t>WC2H</t>
  </si>
  <si>
    <t>WC2N</t>
  </si>
  <si>
    <t>WC2R</t>
  </si>
  <si>
    <t>WD17</t>
  </si>
  <si>
    <t>WD18</t>
  </si>
  <si>
    <t>WD19</t>
  </si>
  <si>
    <t>WD23</t>
  </si>
  <si>
    <t>WD24</t>
  </si>
  <si>
    <t>WD25</t>
  </si>
  <si>
    <t>WD3</t>
  </si>
  <si>
    <t>WD4</t>
  </si>
  <si>
    <t>WD5</t>
  </si>
  <si>
    <t>WD6</t>
  </si>
  <si>
    <t>WD7</t>
  </si>
  <si>
    <t>WD99</t>
  </si>
  <si>
    <t>WF1</t>
  </si>
  <si>
    <t>WF10</t>
  </si>
  <si>
    <t>WF11</t>
  </si>
  <si>
    <t>WF12</t>
  </si>
  <si>
    <t>WF13</t>
  </si>
  <si>
    <t>WF14</t>
  </si>
  <si>
    <t>WF15</t>
  </si>
  <si>
    <t>WF16</t>
  </si>
  <si>
    <t>WF17</t>
  </si>
  <si>
    <t>WF2</t>
  </si>
  <si>
    <t>WF3</t>
  </si>
  <si>
    <t>WF4</t>
  </si>
  <si>
    <t>WF5</t>
  </si>
  <si>
    <t>WF6</t>
  </si>
  <si>
    <t>WF7</t>
  </si>
  <si>
    <t>WF8</t>
  </si>
  <si>
    <t>WF9</t>
  </si>
  <si>
    <t>WF90</t>
  </si>
  <si>
    <t>WN1</t>
  </si>
  <si>
    <t>WN2</t>
  </si>
  <si>
    <t>WN3</t>
  </si>
  <si>
    <t>WN4</t>
  </si>
  <si>
    <t>WN5</t>
  </si>
  <si>
    <t>WN6</t>
  </si>
  <si>
    <t>WN7</t>
  </si>
  <si>
    <t>WN8</t>
  </si>
  <si>
    <t>WR1</t>
  </si>
  <si>
    <t>WR10</t>
  </si>
  <si>
    <t>WR11</t>
  </si>
  <si>
    <t>WR12</t>
  </si>
  <si>
    <t>WR13</t>
  </si>
  <si>
    <t>WR14</t>
  </si>
  <si>
    <t>WR15</t>
  </si>
  <si>
    <t>WR2</t>
  </si>
  <si>
    <t>WR3</t>
  </si>
  <si>
    <t>WR4</t>
  </si>
  <si>
    <t>WR5</t>
  </si>
  <si>
    <t>WR6</t>
  </si>
  <si>
    <t>WR7</t>
  </si>
  <si>
    <t>WR8</t>
  </si>
  <si>
    <t>WR9</t>
  </si>
  <si>
    <t>WR99</t>
  </si>
  <si>
    <t>WS1</t>
  </si>
  <si>
    <t>WS10</t>
  </si>
  <si>
    <t>WS11</t>
  </si>
  <si>
    <t>WS12</t>
  </si>
  <si>
    <t>WS13</t>
  </si>
  <si>
    <t>WS14</t>
  </si>
  <si>
    <t>WS15</t>
  </si>
  <si>
    <t>WS2</t>
  </si>
  <si>
    <t>WS3</t>
  </si>
  <si>
    <t>WS4</t>
  </si>
  <si>
    <t>WS5</t>
  </si>
  <si>
    <t>WS6</t>
  </si>
  <si>
    <t>WS7</t>
  </si>
  <si>
    <t>WS8</t>
  </si>
  <si>
    <t>WS9</t>
  </si>
  <si>
    <t>WV1</t>
  </si>
  <si>
    <t>WV10</t>
  </si>
  <si>
    <t>WV11</t>
  </si>
  <si>
    <t>WV12</t>
  </si>
  <si>
    <t>WV13</t>
  </si>
  <si>
    <t>WV14</t>
  </si>
  <si>
    <t>WV15</t>
  </si>
  <si>
    <t>WV16</t>
  </si>
  <si>
    <t>WV2</t>
  </si>
  <si>
    <t>WV3</t>
  </si>
  <si>
    <t>WV4</t>
  </si>
  <si>
    <t>WV5</t>
  </si>
  <si>
    <t>WV6</t>
  </si>
  <si>
    <t>WV7</t>
  </si>
  <si>
    <t>WV8</t>
  </si>
  <si>
    <t>WV9</t>
  </si>
  <si>
    <t>WV98</t>
  </si>
  <si>
    <t>WV99</t>
  </si>
  <si>
    <t>YO1</t>
  </si>
  <si>
    <t>YO10</t>
  </si>
  <si>
    <t>YO11</t>
  </si>
  <si>
    <t>YO12</t>
  </si>
  <si>
    <t>YO13</t>
  </si>
  <si>
    <t>YO14</t>
  </si>
  <si>
    <t>YO15</t>
  </si>
  <si>
    <t>YO16</t>
  </si>
  <si>
    <t>YO17</t>
  </si>
  <si>
    <t>YO18</t>
  </si>
  <si>
    <t>YO19</t>
  </si>
  <si>
    <t>YO21</t>
  </si>
  <si>
    <t>YO22</t>
  </si>
  <si>
    <t>YO23</t>
  </si>
  <si>
    <t>YO24</t>
  </si>
  <si>
    <t>YO25</t>
  </si>
  <si>
    <t>YO26</t>
  </si>
  <si>
    <t>YO30</t>
  </si>
  <si>
    <t>YO31</t>
  </si>
  <si>
    <t>YO32</t>
  </si>
  <si>
    <t>YO41</t>
  </si>
  <si>
    <t>YO42</t>
  </si>
  <si>
    <t>YO43</t>
  </si>
  <si>
    <t>YO51</t>
  </si>
  <si>
    <t>YO60</t>
  </si>
  <si>
    <t>YO61</t>
  </si>
  <si>
    <t>YO62</t>
  </si>
  <si>
    <t>YO7</t>
  </si>
  <si>
    <t>YO8</t>
  </si>
  <si>
    <t>YO90</t>
  </si>
  <si>
    <t>ZE1</t>
  </si>
  <si>
    <t>ZE2</t>
  </si>
  <si>
    <t>ZE3</t>
  </si>
  <si>
    <t>Average Speed (km/h)</t>
  </si>
  <si>
    <t>What is the size of your residence?</t>
  </si>
  <si>
    <t>Flat or Small house</t>
  </si>
  <si>
    <t>(1-2 Bedrooms, 1 Bathroom)</t>
  </si>
  <si>
    <t>Medium house</t>
  </si>
  <si>
    <t>(2-3 Bedrooms, 1 Bathroom)</t>
  </si>
  <si>
    <t>Large house</t>
  </si>
  <si>
    <t>(4+ Bedrooms, 2+ Bathrooms)</t>
  </si>
  <si>
    <t>Emission of PM2.5 [g/GJ]</t>
  </si>
  <si>
    <t>Non-Defra approved / Conventional stove</t>
  </si>
  <si>
    <t>Not sure</t>
  </si>
  <si>
    <t>New Table 9 Option A</t>
  </si>
  <si>
    <t>Output Rating</t>
  </si>
  <si>
    <t>Winter</t>
  </si>
  <si>
    <t>GJ</t>
  </si>
  <si>
    <t>Summer</t>
  </si>
  <si>
    <t>g/GJ</t>
  </si>
  <si>
    <t>wks</t>
  </si>
  <si>
    <t>Total hours of use per appliance (annual)</t>
  </si>
  <si>
    <t>hrs</t>
  </si>
  <si>
    <t>Efficiency</t>
  </si>
  <si>
    <t>New Table 10</t>
  </si>
  <si>
    <t>Q25</t>
  </si>
  <si>
    <t>New Table 11</t>
  </si>
  <si>
    <t>Electricity</t>
  </si>
  <si>
    <t>Q24</t>
  </si>
  <si>
    <t>Type of Wood Burning</t>
  </si>
  <si>
    <t>Table 9 Summary Panel</t>
  </si>
  <si>
    <t>Ave operations (winter)</t>
  </si>
  <si>
    <t>Ave operations (summer)</t>
  </si>
  <si>
    <t>Ave season (winter)</t>
  </si>
  <si>
    <t>Ave season (summer)</t>
  </si>
  <si>
    <t>g/GJ net</t>
  </si>
  <si>
    <t>New Table 12</t>
  </si>
  <si>
    <t>Table 10 Summary Panel</t>
  </si>
  <si>
    <t>Table 11 Summary Panel</t>
  </si>
  <si>
    <t>Type of Fuel</t>
  </si>
  <si>
    <t>Type of Residence</t>
  </si>
  <si>
    <t>Delivery</t>
  </si>
  <si>
    <t>Combustion Efficiency</t>
  </si>
  <si>
    <t>Emission of NOx [g/GJ]</t>
  </si>
  <si>
    <t>Q26</t>
  </si>
  <si>
    <t>Section 3: Domestic Heating &amp; Electricity Consumption</t>
  </si>
  <si>
    <t>DH &amp; EC: Background Info</t>
  </si>
  <si>
    <t>DH &amp; EC: Wood Burning Stove</t>
  </si>
  <si>
    <t>DH &amp; EC: Gas Boiler</t>
  </si>
  <si>
    <t>DH &amp; EC: Electric Heat Pump</t>
  </si>
  <si>
    <t>Delivery: Parcels</t>
  </si>
  <si>
    <t>Delivery: Grocery</t>
  </si>
  <si>
    <t>New Table 13</t>
  </si>
  <si>
    <t>New Table 14</t>
  </si>
  <si>
    <t>Table 13 Summary Panel</t>
  </si>
  <si>
    <t>Table 14 Summary Panel</t>
  </si>
  <si>
    <t>Table 15 Summary Panel</t>
  </si>
  <si>
    <t>PM2.5 Emission per parcel</t>
  </si>
  <si>
    <t>NOx Emission per parcel</t>
  </si>
  <si>
    <t>No. of parcel delivered per year</t>
  </si>
  <si>
    <t>parcels</t>
  </si>
  <si>
    <t>Table 16 Summary Panel</t>
  </si>
  <si>
    <t>Section 4: Delivery</t>
  </si>
  <si>
    <t>Emission (£)</t>
  </si>
  <si>
    <t>Heating &amp; Electricity</t>
  </si>
  <si>
    <t>Commuting &amp; Leisure</t>
  </si>
  <si>
    <t>**Note: Please consider activities such as food shopping, clothes shopping, meeting up with family and friends, etc.</t>
  </si>
  <si>
    <t>Do you shop for grocery online (E.g. Sainsbury, Ocado, Asda, etc.)?</t>
  </si>
  <si>
    <t>Table 12 Summary Panel</t>
  </si>
  <si>
    <t>Emission per parcel (g)</t>
  </si>
  <si>
    <t>PM2.5 emission per parcel [g]</t>
  </si>
  <si>
    <t>NOx emission per parcel [g]</t>
  </si>
  <si>
    <t>Emission per delivery (g)</t>
  </si>
  <si>
    <t>New Table 15</t>
  </si>
  <si>
    <t>Table 16</t>
  </si>
  <si>
    <t>Summary</t>
  </si>
  <si>
    <t>T9</t>
  </si>
  <si>
    <t>T10</t>
  </si>
  <si>
    <t>T11</t>
  </si>
  <si>
    <t>T12</t>
  </si>
  <si>
    <t>T13</t>
  </si>
  <si>
    <t>T14</t>
  </si>
  <si>
    <t>T15</t>
  </si>
  <si>
    <t>T16</t>
  </si>
  <si>
    <t>Electricity: Consumption</t>
  </si>
  <si>
    <t>Heating: Wood Burning Stove</t>
  </si>
  <si>
    <t>Heating: Gas Boiler</t>
  </si>
  <si>
    <t>Heating: Electric Heat Pump</t>
  </si>
  <si>
    <t>Delivery: Online Parcels</t>
  </si>
  <si>
    <t>Delivery: Online Food Shop</t>
  </si>
  <si>
    <t>Output Rating [GJ]</t>
  </si>
  <si>
    <t>Source: Table 12</t>
  </si>
  <si>
    <t>Source: Table 13</t>
  </si>
  <si>
    <t>Source: Table 9</t>
  </si>
  <si>
    <t>Calculate</t>
  </si>
  <si>
    <t>Ave Season (winter) [wks]</t>
  </si>
  <si>
    <t>Ave Season (summer) [wks]</t>
  </si>
  <si>
    <t>hr/wk</t>
  </si>
  <si>
    <t>Source: Table 10</t>
  </si>
  <si>
    <t>Source: Table 11</t>
  </si>
  <si>
    <t>EF NOx [g/GJ]</t>
  </si>
  <si>
    <t>EF PM2.5 [g/GJ]</t>
  </si>
  <si>
    <t>Total hrs of use per appliance (annual)</t>
  </si>
  <si>
    <t>Source: Table 14</t>
  </si>
  <si>
    <t>NOx Emission per parcel [g]</t>
  </si>
  <si>
    <t>PM2.5 Emission per parcel [g]</t>
  </si>
  <si>
    <t>Q27</t>
  </si>
  <si>
    <t>Personal Air Pollution Calculator Iteration II</t>
  </si>
  <si>
    <t>Road Transport - Buses (Include Rural Driving, Urban Driving, Motorway Driving)</t>
  </si>
  <si>
    <t>Residential: Stationary - Domestic Combustion</t>
  </si>
  <si>
    <t>Power Stations</t>
  </si>
  <si>
    <t>Road Transport - Light Duty Vehicles</t>
  </si>
  <si>
    <t>General Road Transport</t>
  </si>
  <si>
    <t>Q28</t>
  </si>
  <si>
    <t>Domestic Combustion</t>
  </si>
  <si>
    <t>Source: Table 15</t>
  </si>
  <si>
    <t>Average Usage Calculation</t>
  </si>
  <si>
    <t>What is the type of your boiler fuel?</t>
  </si>
  <si>
    <t>Questions</t>
  </si>
  <si>
    <t>Q#</t>
  </si>
  <si>
    <t>Technology specific output rating for wood burning stoves</t>
  </si>
  <si>
    <t>Technology specific emission factors for boilers</t>
  </si>
  <si>
    <t>Technology specific output rating for boilers</t>
  </si>
  <si>
    <t>Emission factors for electricity consumption</t>
  </si>
  <si>
    <t>Output rating for electricity consumption</t>
  </si>
  <si>
    <t>Emission per online parcel</t>
  </si>
  <si>
    <t>Damage costs for domestic combustion</t>
  </si>
  <si>
    <t>Damage costs for general road transportation</t>
  </si>
  <si>
    <t>Q29</t>
  </si>
  <si>
    <t>Please enter the outward postcode (First 3-4 characters of your postcode) of the area in which your residence is located.</t>
  </si>
  <si>
    <t>Iteration II - Air Pollution Calculator</t>
  </si>
  <si>
    <t>BEIS</t>
  </si>
  <si>
    <t>NAEI</t>
  </si>
  <si>
    <t>RBKC / Sainsbury</t>
  </si>
  <si>
    <t>DEFRA (LAQM)</t>
  </si>
  <si>
    <t>OFGEM (TDCV values)</t>
  </si>
  <si>
    <t>Type of fuel</t>
  </si>
  <si>
    <t>Size of residence</t>
  </si>
  <si>
    <t>EEA &amp; GOV.UK</t>
  </si>
  <si>
    <t>Outward Postcode</t>
  </si>
  <si>
    <t>Table 1:</t>
  </si>
  <si>
    <t>Reference:</t>
  </si>
  <si>
    <t>EEA Guidebook 2019 Appendix 4</t>
  </si>
  <si>
    <t>EEA</t>
  </si>
  <si>
    <t>EEA Guidebook 2019 1.A.3.B.i-iv Road Transport 2019</t>
  </si>
  <si>
    <t>Table 8 :</t>
  </si>
  <si>
    <t>https://assets.publishing.service.gov.uk/government/uploads/system/uploads/attachment_data/file/716487/national-transport-model-implementation-report.pdf</t>
  </si>
  <si>
    <t>https://www.eea.europa.eu/publications/emep-eea-guidebook-2019/part-b-sectoral-guidance-chapters/1-energy/1-a-combustion/road-transport-appendix-4-emission/view</t>
  </si>
  <si>
    <t>https://www.eea.europa.eu/publications/emep-eea-guidebook-2019/part-b-sectoral-guidance-chapters/1-energy/1-a-combustion/1-a-3-b-i/view</t>
  </si>
  <si>
    <t>https://data.gov.uk/dataset/11bc7aaf-ddf6-4133-a91d-84e6f20a663e/national-trip-end-model-ntem</t>
  </si>
  <si>
    <t>http://randd.defra.gov.uk/Document.aspx?Document=EP01013_4724_FRP.pdf</t>
  </si>
  <si>
    <t>https://uk-air.defra.gov.uk/assets/documents/reports/cat09/1902271109_Damage_cost_update_2018_FINAL_Issue_2_publication.pdf</t>
  </si>
  <si>
    <t>AEA Technology Environment - Defra| ED48796: Damage Costs for Air Pollution - Issue 4 - 2006 (original damage cost documentation)</t>
  </si>
  <si>
    <t>Department for Transport | National Trip End Model (NTEM)</t>
  </si>
  <si>
    <t>https://geoportal.statistics.gov.uk/datasets/b8920bf40db14e04a59c331d1663d26e</t>
  </si>
  <si>
    <t>Office for National Statistics | ONS Postcode Directory (ONSPD) for the United Kingdom as at February 2021</t>
  </si>
  <si>
    <t>ATKINS - DfT | NTM Future Model Development: NTMv2 Recalibration - Appendix C</t>
  </si>
  <si>
    <t>Table NTS9910: Average trip length by main mode, region and Rural-Urban Classification: England, 2018/2019</t>
  </si>
  <si>
    <t>Table NTS0303: Average trip time by main mode: England, from 2002 - 2019</t>
  </si>
  <si>
    <t>Table CNG0501b: Average speed on local 'A' roads by local authority in England: annual from 2015 - 2019</t>
  </si>
  <si>
    <t>https://assets.publishing.service.gov.uk/government/uploads/system/uploads/attachment_data/file/964516/cgn0501.ods</t>
  </si>
  <si>
    <t>https://assets.publishing.service.gov.uk/government/uploads/system/uploads/attachment_data/file/906068/nts9910.ods</t>
  </si>
  <si>
    <t>https://assets.publishing.service.gov.uk/government/uploads/system/uploads/attachment_data/file/905948/nts0303.ods</t>
  </si>
  <si>
    <t>Table 4 :</t>
  </si>
  <si>
    <t>Table 3 :</t>
  </si>
  <si>
    <t>Table 2 :</t>
  </si>
  <si>
    <t>Table 5:</t>
  </si>
  <si>
    <t>References:</t>
  </si>
  <si>
    <t>Table 6:</t>
  </si>
  <si>
    <t>Table 7:</t>
  </si>
  <si>
    <t>Table 9:</t>
  </si>
  <si>
    <t>Table 10:</t>
  </si>
  <si>
    <t>Table 11:</t>
  </si>
  <si>
    <t>Table 12:</t>
  </si>
  <si>
    <t>Table 13:</t>
  </si>
  <si>
    <t>Table 14:</t>
  </si>
  <si>
    <t>Table 15:</t>
  </si>
  <si>
    <t>Table 16:</t>
  </si>
  <si>
    <t>Technology specific emission factors for wood burning stove</t>
  </si>
  <si>
    <t>EF of NOx [g/GJ]</t>
  </si>
  <si>
    <t>EF of PM2.5 [g/GJ]</t>
  </si>
  <si>
    <t>Emission per food shop delivery</t>
  </si>
  <si>
    <t>Unit</t>
  </si>
  <si>
    <t>£</t>
  </si>
  <si>
    <t>£/t</t>
  </si>
  <si>
    <t>Transport</t>
  </si>
  <si>
    <t>Car &amp; Motorbike</t>
  </si>
  <si>
    <t>Wood Burning Stoves</t>
  </si>
  <si>
    <t>Boilers</t>
  </si>
  <si>
    <t>Electricity Consumption</t>
  </si>
  <si>
    <t>Online Parcel Delivery</t>
  </si>
  <si>
    <t>Online Food Shop</t>
  </si>
  <si>
    <t>Emission Factor</t>
  </si>
  <si>
    <t>Damage Cost</t>
  </si>
  <si>
    <t>Vehicle Speed</t>
  </si>
  <si>
    <t>Bus Speed</t>
  </si>
  <si>
    <t>Emission</t>
  </si>
  <si>
    <t>https://www.ofgem.gov.uk/electricity/retail-market/monitoring-data-and-statistics/typical-domestic-consumption-values</t>
  </si>
  <si>
    <t>Typical Domestic Consumption Values</t>
  </si>
  <si>
    <t>Defra - Local Air Quality Management (LAQM) | Emission Factors for Small Combustion Appliances</t>
  </si>
  <si>
    <t>https://laqm.defra.gov.uk/review-and-assessment/tools/combustion-emission-factors.html</t>
  </si>
  <si>
    <t>Ricardo - Defra | Air Quality damage cost update 2019, Table 20 &amp; Table 21</t>
  </si>
  <si>
    <t>https://assets.publishing.service.gov.uk/government/uploads/system/uploads/attachment_data/file/833061/Summary_results_of_the_domestic_wood_use_survey_.pdf</t>
  </si>
  <si>
    <t>Department for Business, Energy &amp; Industrial Strategy | Summary results of the domestic wood use survey</t>
  </si>
  <si>
    <t>https://naei.beis.gov.uk/data/data-selector-results?q=143989</t>
  </si>
  <si>
    <t>https://naei.beis.gov.uk/data/data-selector-results?q=143990</t>
  </si>
  <si>
    <t>National Atmospheric Emissions Inventory (NAEI)</t>
  </si>
  <si>
    <t>Deutsche Post DHL Group 2019 Sustainability Report</t>
  </si>
  <si>
    <t>https://www.dhl.com/content/dam/dhl/global/core/documents/pdf/sustainability-report.pdf</t>
  </si>
  <si>
    <t>Royal Borough of Kensington and Chelsea (RBKC) - Sainsabury | Sainsbury’s Grocery Online Vehicle Management Plan</t>
  </si>
  <si>
    <t>https://www.rbkc.gov.uk/idoxWAM/doc/Revision%20Content-2427130.pdf?extension=.pdf&amp;id=2427130&amp;location=VOLUME2&amp;contentType=application/pdf&amp;pageCount=1</t>
  </si>
  <si>
    <t>Department for Business, Energy &amp; Industrial Strategy | Heat in Building, Boiler Plus</t>
  </si>
  <si>
    <t>https://assets.publishing.service.gov.uk/government/uploads/system/uploads/attachment_data/file/651853/Boiler_Plus_final_policy_and_consultation_response.pdf</t>
  </si>
  <si>
    <t>N/A</t>
  </si>
  <si>
    <t>General Road Transport / Delivery</t>
  </si>
  <si>
    <t>Emission per household per year [kg/year]</t>
  </si>
  <si>
    <t>Emission factor [g/GJ]</t>
  </si>
  <si>
    <t>Table: BUS0301</t>
  </si>
  <si>
    <t>Table BUS0301: Passenger distance travelled (miles and kilometres) on local bus services: Great Britain</t>
  </si>
  <si>
    <t>https://assets.publishing.service.gov.uk/government/uploads/system/uploads/attachment_data/file/929583/bus0301.ods</t>
  </si>
  <si>
    <t>DEFRA, NAEI &amp; GOV.UK</t>
  </si>
  <si>
    <t>Instructions: Please only click/type on the white boxes</t>
  </si>
  <si>
    <t>Excluding food and takeaway deliveries, do you make online purchases (E.g. Clothing, Beauty, Technology, etc.)?</t>
  </si>
  <si>
    <t>Pcd</t>
  </si>
  <si>
    <t>Driving hrs</t>
  </si>
  <si>
    <t>No. of ppl in car</t>
  </si>
  <si>
    <t>Bus hrs</t>
  </si>
  <si>
    <t>Type of boiler fuel</t>
  </si>
  <si>
    <t>No. onine food shop</t>
  </si>
  <si>
    <t>No. online purchases</t>
  </si>
  <si>
    <t>No. of ppl in house</t>
  </si>
  <si>
    <t>Variable</t>
  </si>
  <si>
    <t>Answers</t>
  </si>
  <si>
    <t>Scoring Page - Interactive Dashboard</t>
  </si>
  <si>
    <t>Adjustments</t>
  </si>
  <si>
    <t>Instructions: Please do NOT edit anything on this page</t>
  </si>
  <si>
    <t>NOx [g]</t>
  </si>
  <si>
    <t>PM2.5 [g]</t>
  </si>
  <si>
    <t>NOx [£]</t>
  </si>
  <si>
    <t>PM2.5 [£]</t>
  </si>
  <si>
    <t>Total</t>
  </si>
  <si>
    <t>Breakdown Analysis</t>
  </si>
  <si>
    <t>Increase</t>
  </si>
  <si>
    <t>Decrease</t>
  </si>
  <si>
    <t>NOx [kt]</t>
  </si>
  <si>
    <t>PM2.5 [kt]</t>
  </si>
  <si>
    <t>Total UK Emission [g]</t>
  </si>
  <si>
    <t>Source: Defra</t>
  </si>
  <si>
    <t>Emissions [g]</t>
  </si>
  <si>
    <t>Damage Costs [£/t]</t>
  </si>
  <si>
    <t>Ave NOx [g]</t>
  </si>
  <si>
    <t>Total NOx [kt]</t>
  </si>
  <si>
    <t>Total PM2.5 [kt]</t>
  </si>
  <si>
    <t>Ave PM2.5 [g]</t>
  </si>
  <si>
    <t>UK average damage costs [£]</t>
  </si>
  <si>
    <t>Domestic</t>
  </si>
  <si>
    <t>Section 1 Road Transport (Commuting)</t>
  </si>
  <si>
    <t>Section 2 Road Transport (Leisure)</t>
  </si>
  <si>
    <t>Section 3 Domestic Heating &amp; Electricity Consumption</t>
  </si>
  <si>
    <t>Section 4 Delivery</t>
  </si>
  <si>
    <t>PM2.5 DC</t>
  </si>
  <si>
    <t>For Pie Chart</t>
  </si>
  <si>
    <t>NOx DC</t>
  </si>
  <si>
    <t>Adjustments NOx DC</t>
  </si>
  <si>
    <t>Adjustments PM2.5 DC</t>
  </si>
  <si>
    <t>Air Pollution Calculator (Iteration II)</t>
  </si>
  <si>
    <t>**Note: If your job scope includes driving, please consider your total driving hours, inclusive for work</t>
  </si>
  <si>
    <t>Instructions:</t>
  </si>
  <si>
    <t>Department of Civil and Environmental Engineering, Imperial College London</t>
  </si>
  <si>
    <r>
      <rPr>
        <b/>
        <sz val="12"/>
        <color theme="1"/>
        <rFont val="Calibri"/>
        <family val="2"/>
        <scheme val="minor"/>
      </rPr>
      <t>Module</t>
    </r>
    <r>
      <rPr>
        <sz val="12"/>
        <color theme="1"/>
        <rFont val="Calibri"/>
        <family val="2"/>
        <scheme val="minor"/>
      </rPr>
      <t>: CIVE97003 Individual Research Project</t>
    </r>
  </si>
  <si>
    <r>
      <rPr>
        <b/>
        <sz val="12"/>
        <color theme="1"/>
        <rFont val="Calibri"/>
        <family val="2"/>
        <scheme val="minor"/>
      </rPr>
      <t>Project Title</t>
    </r>
    <r>
      <rPr>
        <sz val="12"/>
        <color theme="1"/>
        <rFont val="Calibri"/>
        <family val="2"/>
        <scheme val="minor"/>
      </rPr>
      <t>: Development of A Personal Air Pollution Footprint Calculator</t>
    </r>
  </si>
  <si>
    <r>
      <rPr>
        <b/>
        <sz val="12"/>
        <color theme="1"/>
        <rFont val="Calibri"/>
        <family val="2"/>
        <scheme val="minor"/>
      </rPr>
      <t>Project Supervisor</t>
    </r>
    <r>
      <rPr>
        <sz val="12"/>
        <color theme="1"/>
        <rFont val="Calibri"/>
        <family val="2"/>
        <scheme val="minor"/>
      </rPr>
      <t>: Dr. Marc Stettler</t>
    </r>
  </si>
  <si>
    <t>*Instructions: If answer chosen is not option A (i.e., Car), please hover horizontally</t>
  </si>
  <si>
    <t>Next -&gt;</t>
  </si>
  <si>
    <t>*Please Proceed to Q20</t>
  </si>
  <si>
    <t>If No, please proceed to Q16</t>
  </si>
  <si>
    <t>If Yes, please proceed to Q12</t>
  </si>
  <si>
    <t>If No, please proceed to Q18</t>
  </si>
  <si>
    <t>If Yes, please proceed to Q17</t>
  </si>
  <si>
    <t>Please proceed to Q18</t>
  </si>
  <si>
    <t>Please proceed to Q16</t>
  </si>
  <si>
    <t>Please proceed to Q11</t>
  </si>
  <si>
    <t>If No, please proceed to Q23</t>
  </si>
  <si>
    <t>If Yes, please proceed to Q21</t>
  </si>
  <si>
    <t>*Please Proceed to Q23</t>
  </si>
  <si>
    <t>If Yes, please proceed to Q24</t>
  </si>
  <si>
    <t>If No, please proceed to Q25</t>
  </si>
  <si>
    <t>*Please Proceed to Q25</t>
  </si>
  <si>
    <t>*Please Proceed to Q26</t>
  </si>
  <si>
    <t>If No, please proceed to Q28</t>
  </si>
  <si>
    <t>If Yes, please proceed to Q27</t>
  </si>
  <si>
    <t>*Please Proceed to Q28</t>
  </si>
  <si>
    <t>*Please Proceed here</t>
  </si>
  <si>
    <t>Summary of Results</t>
  </si>
  <si>
    <t>Click Here</t>
  </si>
  <si>
    <t>Scoring Page Interactive Dashboard Simulation</t>
  </si>
  <si>
    <t>Note:</t>
  </si>
  <si>
    <t>Aim:</t>
  </si>
  <si>
    <t>Privacy Policy</t>
  </si>
  <si>
    <t>Last update: May 05, 2021</t>
  </si>
  <si>
    <t>This Privacy Policy describes Our policies and procedures on the collection, use and disclosure of Your information when You use the Service and tells You about Your privacy right and how the law protects You.</t>
  </si>
  <si>
    <t>Interpretation and Definitions</t>
  </si>
  <si>
    <t>Interpretation</t>
  </si>
  <si>
    <t>The words of which the initial letter is capitalized have meanings defined under the following conditions. The following definitions shall have the same meaning regardless of whether they appear in singular or in plural.</t>
  </si>
  <si>
    <t>Definitions</t>
  </si>
  <si>
    <t>For the purposes of this Privacy Policy:</t>
  </si>
  <si>
    <t>What is the purpose of this spreadsheet?</t>
  </si>
  <si>
    <t>This spreadsheet is a simulation of the Personal Air Pollution Calculator, used to work out an individual's contribution to air pollution in the UK.</t>
  </si>
  <si>
    <t>Air Pollution Calculator (Iteration I)</t>
  </si>
  <si>
    <t>Iteration I of the calculator can be found here.</t>
  </si>
  <si>
    <r>
      <t xml:space="preserve">1. Please only input your answers by </t>
    </r>
    <r>
      <rPr>
        <b/>
        <sz val="12"/>
        <color theme="1"/>
        <rFont val="Calibri"/>
        <family val="2"/>
        <scheme val="minor"/>
      </rPr>
      <t>clicking</t>
    </r>
    <r>
      <rPr>
        <sz val="12"/>
        <color theme="1"/>
        <rFont val="Calibri"/>
        <family val="2"/>
        <scheme val="minor"/>
      </rPr>
      <t xml:space="preserve"> or </t>
    </r>
    <r>
      <rPr>
        <b/>
        <sz val="12"/>
        <color theme="1"/>
        <rFont val="Calibri"/>
        <family val="2"/>
        <scheme val="minor"/>
      </rPr>
      <t>typing</t>
    </r>
    <r>
      <rPr>
        <sz val="12"/>
        <color theme="1"/>
        <rFont val="Calibri"/>
        <family val="2"/>
        <scheme val="minor"/>
      </rPr>
      <t xml:space="preserve"> on the </t>
    </r>
    <r>
      <rPr>
        <b/>
        <sz val="12"/>
        <color theme="1"/>
        <rFont val="Calibri"/>
        <family val="2"/>
        <scheme val="minor"/>
      </rPr>
      <t>white</t>
    </r>
    <r>
      <rPr>
        <sz val="12"/>
        <color theme="1"/>
        <rFont val="Calibri"/>
        <family val="2"/>
        <scheme val="minor"/>
      </rPr>
      <t xml:space="preserve"> </t>
    </r>
    <r>
      <rPr>
        <b/>
        <sz val="12"/>
        <color theme="1"/>
        <rFont val="Calibri"/>
        <family val="2"/>
        <scheme val="minor"/>
      </rPr>
      <t>boxes</t>
    </r>
    <r>
      <rPr>
        <sz val="12"/>
        <color theme="1"/>
        <rFont val="Calibri"/>
        <family val="2"/>
        <scheme val="minor"/>
      </rPr>
      <t xml:space="preserve"> under the "Iteration II Simulation Tab".</t>
    </r>
  </si>
  <si>
    <r>
      <t xml:space="preserve">2. The </t>
    </r>
    <r>
      <rPr>
        <b/>
        <sz val="12"/>
        <color theme="1"/>
        <rFont val="Calibri"/>
        <family val="2"/>
        <scheme val="minor"/>
      </rPr>
      <t>yellow</t>
    </r>
    <r>
      <rPr>
        <sz val="12"/>
        <color theme="1"/>
        <rFont val="Calibri"/>
        <family val="2"/>
        <scheme val="minor"/>
      </rPr>
      <t xml:space="preserve"> </t>
    </r>
    <r>
      <rPr>
        <b/>
        <sz val="12"/>
        <color theme="1"/>
        <rFont val="Calibri"/>
        <family val="2"/>
        <scheme val="minor"/>
      </rPr>
      <t>notes</t>
    </r>
    <r>
      <rPr>
        <sz val="12"/>
        <color theme="1"/>
        <rFont val="Calibri"/>
        <family val="2"/>
        <scheme val="minor"/>
      </rPr>
      <t xml:space="preserve"> are designed to help you </t>
    </r>
    <r>
      <rPr>
        <b/>
        <sz val="12"/>
        <color theme="1"/>
        <rFont val="Calibri"/>
        <family val="2"/>
        <scheme val="minor"/>
      </rPr>
      <t>navigate</t>
    </r>
    <r>
      <rPr>
        <sz val="12"/>
        <color theme="1"/>
        <rFont val="Calibri"/>
        <family val="2"/>
        <scheme val="minor"/>
      </rPr>
      <t xml:space="preserve"> through the simulation.</t>
    </r>
  </si>
  <si>
    <r>
      <rPr>
        <b/>
        <sz val="12"/>
        <color theme="1"/>
        <rFont val="Calibri"/>
        <family val="2"/>
        <scheme val="minor"/>
      </rPr>
      <t>Prepared by</t>
    </r>
    <r>
      <rPr>
        <sz val="12"/>
        <color theme="1"/>
        <rFont val="Calibri"/>
        <family val="2"/>
        <scheme val="minor"/>
      </rPr>
      <t>: Jing-Yuan Wie, jing.wie17@imperial.ac.uk</t>
    </r>
  </si>
  <si>
    <t>This spreadsheet is a simulation of the Second Iteration of the Personal Air Pollution Calculator and is created to simulate improved methodologies and new features. The distribution of this spreadsheet is to conduct a user feedback exercise to aid the development of the Air Pollution Calculator (Iteration II).</t>
  </si>
  <si>
    <t>Directory for Iteration II Simulation Tab:</t>
  </si>
  <si>
    <t>By participating in this study, you understand that this spreadsheet is designed to conduct a user feedback exercise to aid the development of the Air Pollution Calculator (Iteration II). Your participation is voluntary and that the data provided will be anonymised, with information destroyed at the end of this study.</t>
  </si>
  <si>
    <r>
      <t xml:space="preserve">We use Your Personal data to provide and improve the Service. By using the Service, You agree to the use of information in accordance with this Privacy Policy. This Privacy Policy has been created with the helped of the </t>
    </r>
    <r>
      <rPr>
        <b/>
        <u/>
        <sz val="12"/>
        <color theme="1"/>
        <rFont val="Calibri (Body)"/>
      </rPr>
      <t>Privacy Policy Generator.</t>
    </r>
  </si>
  <si>
    <t>Collecting and Using Your Personal Data</t>
  </si>
  <si>
    <r>
      <t xml:space="preserve">• </t>
    </r>
    <r>
      <rPr>
        <b/>
        <sz val="12"/>
        <color theme="1"/>
        <rFont val="Calibri"/>
        <family val="2"/>
        <scheme val="minor"/>
      </rPr>
      <t>You</t>
    </r>
    <r>
      <rPr>
        <sz val="12"/>
        <color theme="1"/>
        <rFont val="Calibri"/>
        <family val="2"/>
        <scheme val="minor"/>
      </rPr>
      <t xml:space="preserve"> means the individual accessing or using the Service, or the company, or other legal entity on behalf of which such individual is accessing or using the Service, as applicable.</t>
    </r>
  </si>
  <si>
    <r>
      <t xml:space="preserve">• </t>
    </r>
    <r>
      <rPr>
        <b/>
        <sz val="12"/>
        <color theme="1"/>
        <rFont val="Calibri"/>
        <family val="2"/>
        <scheme val="minor"/>
      </rPr>
      <t>Personal Data</t>
    </r>
    <r>
      <rPr>
        <sz val="12"/>
        <color theme="1"/>
        <rFont val="Calibri"/>
        <family val="2"/>
        <scheme val="minor"/>
      </rPr>
      <t xml:space="preserve"> is any information that relates to an identified or identifiable individual</t>
    </r>
  </si>
  <si>
    <r>
      <t xml:space="preserve">•  </t>
    </r>
    <r>
      <rPr>
        <b/>
        <sz val="12"/>
        <color theme="1"/>
        <rFont val="Calibri"/>
        <family val="2"/>
        <scheme val="minor"/>
      </rPr>
      <t>Outward</t>
    </r>
    <r>
      <rPr>
        <sz val="12"/>
        <color theme="1"/>
        <rFont val="Calibri"/>
        <family val="2"/>
        <scheme val="minor"/>
      </rPr>
      <t xml:space="preserve"> </t>
    </r>
    <r>
      <rPr>
        <b/>
        <sz val="12"/>
        <color theme="1"/>
        <rFont val="Calibri"/>
        <family val="2"/>
        <scheme val="minor"/>
      </rPr>
      <t>Postcode</t>
    </r>
    <r>
      <rPr>
        <sz val="12"/>
        <color theme="1"/>
        <rFont val="Calibri"/>
        <family val="2"/>
        <scheme val="minor"/>
      </rPr>
      <t xml:space="preserve"> (i.e. the first 3 or 4 characters of your residence postcode)</t>
    </r>
  </si>
  <si>
    <t>Use of Your Personal Data</t>
  </si>
  <si>
    <t>The Company will use Personal Data for the following purposes only:</t>
  </si>
  <si>
    <t>While using Our Service, We may ask You to provide Us with certain personally information. Personal information  includes and is limited to:</t>
  </si>
  <si>
    <t>Types of Data Collected: Personal Data</t>
  </si>
  <si>
    <t>Retention of Your Data</t>
  </si>
  <si>
    <t>Agreement</t>
  </si>
  <si>
    <r>
      <rPr>
        <b/>
        <sz val="12"/>
        <color theme="1"/>
        <rFont val="Calibri"/>
        <family val="2"/>
        <scheme val="minor"/>
      </rPr>
      <t>Date</t>
    </r>
    <r>
      <rPr>
        <sz val="12"/>
        <color theme="1"/>
        <rFont val="Calibri"/>
        <family val="2"/>
        <scheme val="minor"/>
      </rPr>
      <t>: 05 May 2021</t>
    </r>
  </si>
  <si>
    <t>Compared Against Values</t>
  </si>
  <si>
    <r>
      <t xml:space="preserve">1. The </t>
    </r>
    <r>
      <rPr>
        <b/>
        <sz val="12"/>
        <color theme="1"/>
        <rFont val="Calibri"/>
        <family val="2"/>
        <scheme val="minor"/>
      </rPr>
      <t>Air Pollution Calculator (Iteration II)</t>
    </r>
    <r>
      <rPr>
        <sz val="12"/>
        <color theme="1"/>
        <rFont val="Calibri"/>
        <family val="2"/>
        <scheme val="minor"/>
      </rPr>
      <t xml:space="preserve"> starts at </t>
    </r>
    <r>
      <rPr>
        <b/>
        <sz val="12"/>
        <color theme="1"/>
        <rFont val="Calibri"/>
        <family val="2"/>
        <scheme val="minor"/>
      </rPr>
      <t>Cell D11</t>
    </r>
  </si>
  <si>
    <t>3. The spreadsheets are protected with a password to avoid any accidental changes.</t>
  </si>
  <si>
    <t>1. Detailed methodologies and derivation of tables and values are not included in this version of the calculator.</t>
  </si>
  <si>
    <r>
      <t xml:space="preserve">• </t>
    </r>
    <r>
      <rPr>
        <b/>
        <sz val="12"/>
        <color theme="1"/>
        <rFont val="Calibri"/>
        <family val="2"/>
        <scheme val="minor"/>
      </rPr>
      <t>University</t>
    </r>
    <r>
      <rPr>
        <sz val="12"/>
        <color theme="1"/>
        <rFont val="Calibri"/>
        <family val="2"/>
        <scheme val="minor"/>
      </rPr>
      <t xml:space="preserve"> (referred to as either "the Company", "We", "Us" or "Our" in this Agreement) refers to </t>
    </r>
    <r>
      <rPr>
        <sz val="12"/>
        <color theme="1"/>
        <rFont val="Calibri (Body)"/>
      </rPr>
      <t>Imperial College London</t>
    </r>
  </si>
  <si>
    <t>The University will only retain Data for internal analysis purposes.</t>
  </si>
  <si>
    <r>
      <t>•  As a data directory: T</t>
    </r>
    <r>
      <rPr>
        <sz val="12"/>
        <color theme="1"/>
        <rFont val="Calibri"/>
        <family val="2"/>
        <scheme val="minor"/>
      </rPr>
      <t>o match and extract relevant information from the data tables.</t>
    </r>
  </si>
  <si>
    <t>*These are presented for the simulation to be functional in Excel</t>
  </si>
  <si>
    <t>How to use this table?</t>
  </si>
  <si>
    <t>Units</t>
  </si>
  <si>
    <t>Table</t>
  </si>
  <si>
    <t>Based on</t>
  </si>
  <si>
    <t>1)</t>
  </si>
  <si>
    <t>[Q3] Type of Car</t>
  </si>
  <si>
    <t>2)</t>
  </si>
  <si>
    <t>[Q4] Age of Car</t>
  </si>
  <si>
    <t>3)</t>
  </si>
  <si>
    <t>[T3] Ave car speed</t>
  </si>
  <si>
    <t xml:space="preserve"> Extract these parameters from Table 1 based on Input1 &amp; Input2</t>
  </si>
  <si>
    <t>Min Speed</t>
  </si>
  <si>
    <t>Max Speed</t>
  </si>
  <si>
    <t>4)</t>
  </si>
  <si>
    <t>5)</t>
  </si>
  <si>
    <t>6)</t>
  </si>
  <si>
    <t>7)</t>
  </si>
  <si>
    <t>8)</t>
  </si>
  <si>
    <t>9)</t>
  </si>
  <si>
    <t>10)</t>
  </si>
  <si>
    <t>Reduction Factor</t>
  </si>
  <si>
    <t>Check the value of average speed</t>
  </si>
  <si>
    <t>Check</t>
  </si>
  <si>
    <t>Extract 1 &lt; Input 3 &lt; Extract 2</t>
  </si>
  <si>
    <t>Input 3</t>
  </si>
  <si>
    <t>Input 3 &lt; Extract 1</t>
  </si>
  <si>
    <t>Extract 1</t>
  </si>
  <si>
    <t>Input 3 &gt; Extract 2</t>
  </si>
  <si>
    <t>Extract 2</t>
  </si>
  <si>
    <t>Calculate Emission Factor [g/km]</t>
  </si>
  <si>
    <t>[Q8] Type of Motorbike</t>
  </si>
  <si>
    <t>Q8</t>
  </si>
  <si>
    <t>[Q8a] Age of Motorbike</t>
  </si>
  <si>
    <t>Q8a</t>
  </si>
  <si>
    <t>[T3] Ave motorbike speed</t>
  </si>
  <si>
    <t>Q1: Which of the following best describes the area in which you live?</t>
  </si>
  <si>
    <t>A: London</t>
  </si>
  <si>
    <t>B: Another City</t>
  </si>
  <si>
    <t>C: Town</t>
  </si>
  <si>
    <t>D: Rural</t>
  </si>
  <si>
    <t>Tables Update</t>
  </si>
  <si>
    <t>*Note: Detailed information on how to use this table is presented in the respective tab</t>
  </si>
  <si>
    <t>T7 - No Changes</t>
  </si>
  <si>
    <t>*Note: No changes</t>
  </si>
  <si>
    <t>*Note: Detailed information of how to use this table is presented in the respective tab</t>
  </si>
  <si>
    <t>To include an extra option of Euro 6 d</t>
  </si>
  <si>
    <t>ITERATION II UPDATES [09 MAY 2021]</t>
  </si>
  <si>
    <t>Emission Factor for Buses</t>
  </si>
  <si>
    <t>T6 - No Changes</t>
  </si>
  <si>
    <t>How do you usually commute to work, college or school?</t>
  </si>
  <si>
    <t>What type of car do you have?</t>
  </si>
  <si>
    <t>How old is your car?</t>
  </si>
  <si>
    <t>How many people usually travel with you to the same place of work, college or school?</t>
  </si>
  <si>
    <t>How many people are usually with you in the car at the same time?</t>
  </si>
  <si>
    <t>What is your motorbike's engine type and size?</t>
  </si>
  <si>
    <t>How old is your motorbike?</t>
  </si>
  <si>
    <t>New Question - Iteration II - Question 9: How old is your motorbike?</t>
  </si>
  <si>
    <t>What type of wood-burning stove do you have?</t>
  </si>
  <si>
    <t>On average, what is the total number of hours you operate your wood burning stove each week?</t>
  </si>
  <si>
    <t>On average, how many hours do you usually spend on bus for commuting each week?</t>
  </si>
  <si>
    <t>On average, how many hours do you usually spend on a motorbike for commuting each week?</t>
  </si>
  <si>
    <t>On average, how many hours do you usually spend on a bus outside of commuting each week?</t>
  </si>
  <si>
    <t>On average, how many hours do you usually spend in your car outside of commuting each week?</t>
  </si>
  <si>
    <t>On average, how many hours do you usually spend in your car for commuting each week?</t>
  </si>
  <si>
    <t>How many adults do you live with?</t>
  </si>
  <si>
    <t>List of Questions</t>
  </si>
  <si>
    <t>Tables</t>
  </si>
  <si>
    <t>New Table</t>
  </si>
  <si>
    <t>New Sections - Iteration II - Section 3 &amp; 4</t>
  </si>
  <si>
    <t>New Option - Question 4 &amp; Question 13</t>
  </si>
  <si>
    <t>(After Q8 and before Q9 of Iteration I) under Section 1</t>
  </si>
  <si>
    <t>Update - Question 1 - Postcode Consideration</t>
  </si>
  <si>
    <t>DEFRA - Domestic Combustion</t>
  </si>
  <si>
    <t>Section 3</t>
  </si>
  <si>
    <t>Section 4</t>
  </si>
  <si>
    <t>Section 1 &amp; 2</t>
  </si>
  <si>
    <t>Calculation for emissions and monetary costs - Commuting by car</t>
  </si>
  <si>
    <t>Emission Factors</t>
  </si>
  <si>
    <t>Q3 &amp; Q4</t>
  </si>
  <si>
    <t>Average car speed</t>
  </si>
  <si>
    <t>Time</t>
  </si>
  <si>
    <t>h</t>
  </si>
  <si>
    <t>No. of people in the car</t>
  </si>
  <si>
    <t>No. of weeks per year</t>
  </si>
  <si>
    <t>weeks</t>
  </si>
  <si>
    <t>Table 2</t>
  </si>
  <si>
    <t>Emission of NOx [g]</t>
  </si>
  <si>
    <t>=</t>
  </si>
  <si>
    <t>Emission of PM2.5 [g]</t>
  </si>
  <si>
    <t>Monetary cost of NOx [£]</t>
  </si>
  <si>
    <t>Output 1 * Input 6/ 10^6</t>
  </si>
  <si>
    <t>Monetary cost of PM2.5 [£]</t>
  </si>
  <si>
    <t>Output 2 * Input 6/ 10^6</t>
  </si>
  <si>
    <t>Input 1 * Input 2 * Input 3 * 52 / (Input 4 + 1)</t>
  </si>
  <si>
    <t>Input 1 * Input 2 * Input 3 * Input 5 / (Input 4 + 1)</t>
  </si>
  <si>
    <t>Calculation for emissions and monetary costs - Commuting by bus</t>
  </si>
  <si>
    <t>Average bus speed</t>
  </si>
  <si>
    <t>Q7</t>
  </si>
  <si>
    <t>Input 1 * Input 2 * Input 3 * Input 4</t>
  </si>
  <si>
    <t>Input 1 * Input 2 * Input 3 * 52</t>
  </si>
  <si>
    <t>Output 1 * Input 5/ 10^6</t>
  </si>
  <si>
    <t>Output 2 * Input 5/ 10^6</t>
  </si>
  <si>
    <t>Calculation for emissions and monetary costs - Commuting by motorbike</t>
  </si>
  <si>
    <t>Average motorbike speed</t>
  </si>
  <si>
    <t>Q8 &amp; Q9</t>
  </si>
  <si>
    <t>Calculation for emissions and monetary costs - Commuting by train, walk/cycle, x</t>
  </si>
  <si>
    <t>*Assume no emissions related to these commuting modes</t>
  </si>
  <si>
    <t>Q12 &amp; Q13</t>
  </si>
  <si>
    <t>Calculation for emissions and monetary costs - Electricity Consumption</t>
  </si>
  <si>
    <t>No. of people that you live with</t>
  </si>
  <si>
    <t>Table 12</t>
  </si>
  <si>
    <t>Table 13</t>
  </si>
  <si>
    <t>Input 1 * Input 2 / (Input 3 + 1)</t>
  </si>
  <si>
    <t>Output 1 * Input 4/ 10^6</t>
  </si>
  <si>
    <t>Output 2 * Input 4/ 10^6</t>
  </si>
  <si>
    <t>Table 5</t>
  </si>
  <si>
    <t>Table 9</t>
  </si>
  <si>
    <t>Average Season Length (Winter)</t>
  </si>
  <si>
    <t>Average Season Length (Summer)</t>
  </si>
  <si>
    <t>Input 1 * Input 2 * [(Input 3 * Input 5) + (Input 4 * Input 6)] / (Input 7 + 1)</t>
  </si>
  <si>
    <t>Input 1 * Input 2 * [(Input 3 * 21) + (Input 4 * 32)] / (Input 7 + 1)</t>
  </si>
  <si>
    <t>Output 1 * Input 8/ 10^6</t>
  </si>
  <si>
    <t>Output 2 * Input 8/ 10^6</t>
  </si>
  <si>
    <t>No. of operating hrs (Winter)</t>
  </si>
  <si>
    <t>No. of operating hrs (Summer)</t>
  </si>
  <si>
    <t>Calculation for emissions and monetary costs - Wood Burning Stove</t>
  </si>
  <si>
    <t>Calculation for emissions and monetary costs - Gas Boiler</t>
  </si>
  <si>
    <t>Table 10</t>
  </si>
  <si>
    <t>Table 11</t>
  </si>
  <si>
    <t>Input 1 * Input 2 *Input 3 / (Input 4 + 1)</t>
  </si>
  <si>
    <t>Calculation for emissions and monetary costs - Parcels</t>
  </si>
  <si>
    <t>Table 14</t>
  </si>
  <si>
    <t>Output 1 * Input 3/ 10^6</t>
  </si>
  <si>
    <t>Output 2 * Input 3/ 10^6</t>
  </si>
  <si>
    <t>Calculation for emissions and monetary costs - Grocery</t>
  </si>
  <si>
    <t>Table 15</t>
  </si>
  <si>
    <t>No. of grocery delivery</t>
  </si>
  <si>
    <t>delivery</t>
  </si>
  <si>
    <t>No. of parcel delivery</t>
  </si>
  <si>
    <t>Calculation for emissions and monetary costs</t>
  </si>
  <si>
    <t>•</t>
  </si>
  <si>
    <t>The finalised version of methodologies and tables of the Air Pollution Calculator (Iteration II).</t>
  </si>
  <si>
    <t>2. This Excel contains</t>
  </si>
  <si>
    <t>*IMPORTANT NOTE: Please Refer to "Formula" Tab for changes of formulas used to Calculate Emissions and Monetary Costs</t>
  </si>
  <si>
    <t xml:space="preserve">You produce the greatest air pollution from the following sources:
</t>
  </si>
  <si>
    <t>DC</t>
  </si>
  <si>
    <t>Results:</t>
  </si>
  <si>
    <t>Show Summary</t>
  </si>
  <si>
    <t>Hide Summary</t>
  </si>
  <si>
    <t>Show Compared Against Values</t>
  </si>
  <si>
    <t>Hide Compared Against Values</t>
  </si>
  <si>
    <t>Show Breakdown Analysis</t>
  </si>
  <si>
    <t>Hide Breakdown Analysis</t>
  </si>
  <si>
    <t>Type of Motorbike</t>
  </si>
  <si>
    <t>Motorbike driving hrs</t>
  </si>
  <si>
    <t>Type of Wood Burning Stove</t>
  </si>
  <si>
    <t>Additional Information</t>
  </si>
  <si>
    <t>Finalised Tables</t>
  </si>
  <si>
    <t>SpreadSheet Tabs</t>
  </si>
  <si>
    <t>Formulas used to calculate Emissions and Monetary Costs</t>
  </si>
  <si>
    <t>Feedback Form</t>
  </si>
  <si>
    <t>Q1:</t>
  </si>
  <si>
    <t>4. *Please keep in mind that the official calculator will NOT be implemented in Excel.</t>
  </si>
  <si>
    <t>Hence, the questions below are designed to collect your feedback on the questions asked, range of options, activities considered and the new feature of the interactive dashboard.</t>
  </si>
  <si>
    <t>When answering this feedback form, please feel free to elaborate your answers. There is no word limit.</t>
  </si>
  <si>
    <t>If No, what are the activities you would like the calculator to have considered?</t>
  </si>
  <si>
    <t>If Yes, is there anything in particular that you liked about the questions?</t>
  </si>
  <si>
    <t>If No, which question did you find difficulty in answering?</t>
  </si>
  <si>
    <t>If Yes, is there anything in particular that you liked about the options provided?</t>
  </si>
  <si>
    <t>If No, which questions in particular did you find the insufficient range of options? What were the options you were looking for?</t>
  </si>
  <si>
    <t>If Yes, is there an activity in particular that caught your attention?</t>
  </si>
  <si>
    <t>If Yes, is there any feature in particular that was appealing?</t>
  </si>
  <si>
    <t>If No, what about the format of presentation did you find lacking?</t>
  </si>
  <si>
    <t>What are your general thoughts on this Air Pollution Calculator?</t>
  </si>
  <si>
    <t>Were the questions easy to answer?</t>
  </si>
  <si>
    <t>Are the range of options provided sufficient?</t>
  </si>
  <si>
    <t>This Air Pollution Calculator considers 4 activites (i.e. commuting travels, leisure travels, domestic heating and electricity consumption, delivery). In your opinion, did you feel that these activities represented your lifestyle well?</t>
  </si>
  <si>
    <t>Did you like the way the results were presented to you? (i.e. the percentage in comparison to an average person in the UK and the breakdown pie chart)</t>
  </si>
  <si>
    <t>Did the interactive dashboard feature allow you to better understand the changes you can make to your current lifestyle to reduce your contribution to air pollution? Please elaborate your thoughts if possible.</t>
  </si>
  <si>
    <t>Please feel free to leave any other comments you have here.</t>
  </si>
  <si>
    <t>Q2:</t>
  </si>
  <si>
    <t>Q3:</t>
  </si>
  <si>
    <t>Q4:</t>
  </si>
  <si>
    <t>Q5:</t>
  </si>
  <si>
    <t>Q6:</t>
  </si>
  <si>
    <t>Q7:</t>
  </si>
  <si>
    <t>Thank you for your time!</t>
  </si>
  <si>
    <t>For Users</t>
  </si>
  <si>
    <t>For Web Developers</t>
  </si>
  <si>
    <r>
      <t xml:space="preserve">2. The </t>
    </r>
    <r>
      <rPr>
        <b/>
        <sz val="12"/>
        <color theme="1"/>
        <rFont val="Calibri"/>
        <family val="2"/>
        <scheme val="minor"/>
      </rPr>
      <t>Summary of Results</t>
    </r>
    <r>
      <rPr>
        <sz val="12"/>
        <color theme="1"/>
        <rFont val="Calibri"/>
        <family val="2"/>
        <scheme val="minor"/>
      </rPr>
      <t xml:space="preserve"> is located at </t>
    </r>
    <r>
      <rPr>
        <b/>
        <sz val="12"/>
        <color theme="1"/>
        <rFont val="Calibri"/>
        <family val="2"/>
        <scheme val="minor"/>
      </rPr>
      <t>Cell L186</t>
    </r>
  </si>
  <si>
    <r>
      <t xml:space="preserve">3. The </t>
    </r>
    <r>
      <rPr>
        <b/>
        <sz val="12"/>
        <color theme="1"/>
        <rFont val="Calibri"/>
        <family val="2"/>
        <scheme val="minor"/>
      </rPr>
      <t>Compared Against Values</t>
    </r>
    <r>
      <rPr>
        <sz val="12"/>
        <color theme="1"/>
        <rFont val="Calibri"/>
        <family val="2"/>
        <scheme val="minor"/>
      </rPr>
      <t xml:space="preserve"> at </t>
    </r>
    <r>
      <rPr>
        <b/>
        <sz val="12"/>
        <color theme="1"/>
        <rFont val="Calibri"/>
        <family val="2"/>
        <scheme val="minor"/>
      </rPr>
      <t>Cell S186</t>
    </r>
  </si>
  <si>
    <r>
      <t xml:space="preserve">4. The </t>
    </r>
    <r>
      <rPr>
        <b/>
        <sz val="12"/>
        <color theme="1"/>
        <rFont val="Calibri"/>
        <family val="2"/>
        <scheme val="minor"/>
      </rPr>
      <t>Interactive Dashboard Simulation</t>
    </r>
    <r>
      <rPr>
        <sz val="12"/>
        <color theme="1"/>
        <rFont val="Calibri"/>
        <family val="2"/>
        <scheme val="minor"/>
      </rPr>
      <t xml:space="preserve"> is located at </t>
    </r>
    <r>
      <rPr>
        <b/>
        <sz val="12"/>
        <color theme="1"/>
        <rFont val="Calibri"/>
        <family val="2"/>
        <scheme val="minor"/>
      </rPr>
      <t>Cell B215</t>
    </r>
  </si>
  <si>
    <r>
      <t xml:space="preserve">5. The </t>
    </r>
    <r>
      <rPr>
        <b/>
        <sz val="12"/>
        <color theme="1"/>
        <rFont val="Calibri"/>
        <family val="2"/>
        <scheme val="minor"/>
      </rPr>
      <t>Breakdown Analysis</t>
    </r>
    <r>
      <rPr>
        <sz val="12"/>
        <color theme="1"/>
        <rFont val="Calibri"/>
        <family val="2"/>
        <scheme val="minor"/>
      </rPr>
      <t xml:space="preserve"> is located at </t>
    </r>
    <r>
      <rPr>
        <b/>
        <sz val="12"/>
        <color theme="1"/>
        <rFont val="Calibri"/>
        <family val="2"/>
        <scheme val="minor"/>
      </rPr>
      <t>Cell B253</t>
    </r>
  </si>
  <si>
    <t>On average, how many online purchases do you make each week?</t>
  </si>
  <si>
    <t>On average, how many grocery shops delivery do you make each week?</t>
  </si>
  <si>
    <t>Input 1 * Input 2 * 52</t>
  </si>
  <si>
    <t>Operative hrs (Winter)</t>
  </si>
  <si>
    <t>Operative hrs (Summer)</t>
  </si>
  <si>
    <r>
      <t xml:space="preserve">This feedback form is for users to provide thoughts on the Air Pollution Calculator Simulation (Iteration II). It is important to note that the official calculator will </t>
    </r>
    <r>
      <rPr>
        <b/>
        <sz val="12"/>
        <color rgb="FFC00000"/>
        <rFont val="Calibri (Body)"/>
      </rPr>
      <t>NOT</t>
    </r>
    <r>
      <rPr>
        <sz val="12"/>
        <color theme="1"/>
        <rFont val="Calibri"/>
        <family val="2"/>
        <scheme val="minor"/>
      </rPr>
      <t xml:space="preserve"> be implemented in Excel.</t>
    </r>
  </si>
  <si>
    <t>Annual Usage</t>
  </si>
  <si>
    <t>Technology specific annual usage for boilers</t>
  </si>
  <si>
    <t>Annual usage for electricity consumption</t>
  </si>
  <si>
    <t>Annual usage [GJ]</t>
  </si>
  <si>
    <t>Weekly usage [GJ]</t>
  </si>
  <si>
    <t>Hourly Usage</t>
  </si>
  <si>
    <t>92% ErP</t>
  </si>
  <si>
    <t>89% ErP</t>
  </si>
  <si>
    <t>No. of weeks in a year</t>
  </si>
  <si>
    <t>Activity 1: Road Transportation Activities for commuting</t>
  </si>
  <si>
    <t>Activity 2: Road Transportation Activities for Leisure</t>
  </si>
  <si>
    <t>Activity 3: Domestic Heating &amp; Electricity Consumption</t>
  </si>
  <si>
    <t>Activity 4: Delivery</t>
  </si>
  <si>
    <t>Participant A</t>
  </si>
  <si>
    <t>Participant B</t>
  </si>
  <si>
    <t>Participant C</t>
  </si>
  <si>
    <t>Participant D</t>
  </si>
  <si>
    <t>Type of M</t>
  </si>
  <si>
    <t>Age of M</t>
  </si>
  <si>
    <t>M driving hrs</t>
  </si>
  <si>
    <t>Type of WBS</t>
  </si>
  <si>
    <t>Usage hrs</t>
  </si>
  <si>
    <t>Average</t>
  </si>
  <si>
    <t>Section 1</t>
  </si>
  <si>
    <t>Section 2</t>
  </si>
  <si>
    <t>&lt; Avg</t>
  </si>
  <si>
    <t>&gt; Avg</t>
  </si>
  <si>
    <t>*Please only adjust this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</si>
</sst>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RM&quot;#,##0_);[Red]\(&quot;RM&quot;#,##0\)"/>
    <numFmt numFmtId="164" formatCode="#,##0.0000"/>
    <numFmt numFmtId="165" formatCode="0.0000000"/>
    <numFmt numFmtId="166" formatCode="[$£-809]#,##0"/>
    <numFmt numFmtId="167" formatCode="_-[$£-809]* #,##0.00_-;\-[$£-809]* #,##0.00_-;_-[$£-809]* &quot;-&quot;??_-;_-@_-"/>
    <numFmt numFmtId="168" formatCode="_-[$£-809]* #,##0_-;\-[$£-809]* #,##0_-;_-[$£-809]* &quot;-&quot;_-;_-@_-"/>
    <numFmt numFmtId="169" formatCode="[&gt;0.5]#,##0;[&lt;0]&quot;-&quot;#,##0;&quot;-&quot;"/>
    <numFmt numFmtId="170" formatCode="[$£-809]#,##0.00"/>
    <numFmt numFmtId="171" formatCode="0.0000000000"/>
    <numFmt numFmtId="172" formatCode="0.000000000000000"/>
    <numFmt numFmtId="173" formatCode="0.0000"/>
  </numFmts>
  <fonts count="84">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sz val="12"/>
      <color theme="1"/>
      <name val="Calibri (Body)"/>
    </font>
    <font>
      <sz val="11"/>
      <name val="Calibri"/>
      <family val="2"/>
    </font>
    <font>
      <sz val="12"/>
      <name val="Calibri"/>
      <family val="2"/>
    </font>
    <font>
      <sz val="10"/>
      <name val="Arial"/>
      <family val="2"/>
    </font>
    <font>
      <b/>
      <sz val="11"/>
      <color rgb="FF000000"/>
      <name val="Calibri"/>
      <family val="2"/>
    </font>
    <font>
      <sz val="12"/>
      <name val="Calibri (Body)"/>
    </font>
    <font>
      <sz val="12"/>
      <color rgb="FF000000"/>
      <name val="Calibri"/>
      <family val="2"/>
      <charset val="161"/>
    </font>
    <font>
      <sz val="11"/>
      <color rgb="FF000000"/>
      <name val="Calibri"/>
      <family val="2"/>
      <charset val="161"/>
    </font>
    <font>
      <sz val="12"/>
      <name val="Arial"/>
      <family val="2"/>
    </font>
    <font>
      <u/>
      <sz val="12"/>
      <color theme="10"/>
      <name val="Calibri"/>
      <family val="2"/>
      <scheme val="minor"/>
    </font>
    <font>
      <sz val="12"/>
      <color rgb="FFC00000"/>
      <name val="Calibri"/>
      <family val="2"/>
      <scheme val="minor"/>
    </font>
    <font>
      <i/>
      <sz val="12"/>
      <color theme="1"/>
      <name val="Calibri"/>
      <family val="2"/>
      <scheme val="minor"/>
    </font>
    <font>
      <sz val="11"/>
      <color rgb="FF000000"/>
      <name val="Calibri"/>
      <family val="2"/>
    </font>
    <font>
      <sz val="12"/>
      <color rgb="FF000000"/>
      <name val="Calibri (Body)"/>
    </font>
    <font>
      <sz val="18"/>
      <color theme="1"/>
      <name val="Calibri"/>
      <family val="2"/>
      <scheme val="minor"/>
    </font>
    <font>
      <b/>
      <sz val="24"/>
      <color theme="1"/>
      <name val="Calibri"/>
      <family val="2"/>
      <scheme val="minor"/>
    </font>
    <font>
      <sz val="28"/>
      <color theme="1"/>
      <name val="Calibri"/>
      <family val="2"/>
      <scheme val="minor"/>
    </font>
    <font>
      <sz val="12"/>
      <color theme="1"/>
      <name val="Calibri"/>
      <family val="2"/>
    </font>
    <font>
      <b/>
      <sz val="12"/>
      <color rgb="FF000000"/>
      <name val="Calibri"/>
      <family val="2"/>
    </font>
    <font>
      <sz val="10"/>
      <color rgb="FF000000"/>
      <name val="Arial"/>
      <family val="2"/>
    </font>
    <font>
      <sz val="10"/>
      <color rgb="FF000000"/>
      <name val="Times New Roman"/>
      <family val="1"/>
    </font>
    <font>
      <sz val="10"/>
      <color rgb="FF000000"/>
      <name val="Arial1"/>
    </font>
    <font>
      <sz val="18"/>
      <name val="Arial"/>
      <family val="2"/>
    </font>
    <font>
      <sz val="12"/>
      <color rgb="FF000000"/>
      <name val="Calibri"/>
      <family val="2"/>
    </font>
    <font>
      <sz val="18"/>
      <color rgb="FF000000"/>
      <name val="Arial"/>
      <family val="2"/>
    </font>
    <font>
      <b/>
      <sz val="12"/>
      <color rgb="FF7A8C8E"/>
      <name val="Calibri"/>
      <family val="2"/>
    </font>
    <font>
      <b/>
      <sz val="11"/>
      <color theme="1"/>
      <name val="Calibri"/>
      <family val="2"/>
    </font>
    <font>
      <b/>
      <sz val="20"/>
      <color theme="1"/>
      <name val="Calibri"/>
      <family val="2"/>
      <scheme val="minor"/>
    </font>
    <font>
      <b/>
      <sz val="12"/>
      <color theme="1"/>
      <name val="Calibri"/>
      <family val="2"/>
    </font>
    <font>
      <b/>
      <sz val="12"/>
      <color theme="0"/>
      <name val="Calibri"/>
      <family val="2"/>
    </font>
    <font>
      <sz val="17"/>
      <color theme="1"/>
      <name val="Calibri"/>
      <family val="2"/>
      <scheme val="minor"/>
    </font>
    <font>
      <b/>
      <sz val="14"/>
      <color theme="1"/>
      <name val="Calibri"/>
      <family val="2"/>
      <scheme val="minor"/>
    </font>
    <font>
      <b/>
      <sz val="26"/>
      <color theme="1"/>
      <name val="Calibri"/>
      <family val="2"/>
      <scheme val="minor"/>
    </font>
    <font>
      <sz val="12"/>
      <color theme="8" tint="0.79998168889431442"/>
      <name val="Calibri"/>
      <family val="2"/>
      <scheme val="minor"/>
    </font>
    <font>
      <b/>
      <sz val="36"/>
      <color theme="1"/>
      <name val="Calibri"/>
      <family val="2"/>
      <scheme val="minor"/>
    </font>
    <font>
      <sz val="22"/>
      <color theme="0"/>
      <name val="Calibri"/>
      <family val="2"/>
      <scheme val="minor"/>
    </font>
    <font>
      <sz val="12"/>
      <name val="Calibri"/>
      <family val="2"/>
      <scheme val="minor"/>
    </font>
    <font>
      <sz val="9"/>
      <color theme="1"/>
      <name val="Calibri"/>
      <family val="2"/>
      <scheme val="minor"/>
    </font>
    <font>
      <b/>
      <sz val="14"/>
      <color theme="0"/>
      <name val="Calibri"/>
      <family val="2"/>
      <scheme val="minor"/>
    </font>
    <font>
      <b/>
      <sz val="11"/>
      <name val="Calibri"/>
      <family val="2"/>
    </font>
    <font>
      <sz val="11"/>
      <name val="Calibri"/>
      <family val="2"/>
      <charset val="161"/>
    </font>
    <font>
      <sz val="11"/>
      <name val="Calibri"/>
      <family val="2"/>
      <charset val="161"/>
      <scheme val="minor"/>
    </font>
    <font>
      <sz val="12"/>
      <name val="Calibri"/>
      <family val="2"/>
      <charset val="161"/>
    </font>
    <font>
      <sz val="12"/>
      <name val="Calibri"/>
      <family val="2"/>
      <charset val="161"/>
      <scheme val="minor"/>
    </font>
    <font>
      <b/>
      <sz val="18"/>
      <color theme="1"/>
      <name val="Calibri"/>
      <family val="2"/>
      <scheme val="minor"/>
    </font>
    <font>
      <b/>
      <sz val="16"/>
      <color theme="1"/>
      <name val="Calibri"/>
      <family val="2"/>
      <scheme val="minor"/>
    </font>
    <font>
      <sz val="16"/>
      <color theme="1"/>
      <name val="Calibri"/>
      <family val="2"/>
      <scheme val="minor"/>
    </font>
    <font>
      <sz val="18"/>
      <color theme="0"/>
      <name val="Calibri"/>
      <family val="2"/>
      <scheme val="minor"/>
    </font>
    <font>
      <b/>
      <sz val="12"/>
      <color rgb="FF0070C0"/>
      <name val="Calibri"/>
      <family val="2"/>
      <scheme val="minor"/>
    </font>
    <font>
      <sz val="12"/>
      <color rgb="FF000000"/>
      <name val="Calibri"/>
      <family val="2"/>
      <scheme val="minor"/>
    </font>
    <font>
      <sz val="24"/>
      <color theme="1"/>
      <name val="Calibri"/>
      <family val="2"/>
      <scheme val="minor"/>
    </font>
    <font>
      <sz val="48"/>
      <color theme="1"/>
      <name val="Calibri"/>
      <family val="2"/>
      <scheme val="minor"/>
    </font>
    <font>
      <b/>
      <u/>
      <sz val="12"/>
      <color theme="1"/>
      <name val="Calibri (Body)"/>
    </font>
    <font>
      <b/>
      <u/>
      <sz val="12"/>
      <color theme="1"/>
      <name val="Calibri"/>
      <family val="2"/>
      <scheme val="minor"/>
    </font>
    <font>
      <b/>
      <sz val="14"/>
      <color rgb="FFC00000"/>
      <name val="Calibri"/>
      <family val="2"/>
    </font>
    <font>
      <b/>
      <sz val="12"/>
      <color theme="1"/>
      <name val="Calibri (Body)"/>
    </font>
    <font>
      <b/>
      <sz val="16"/>
      <color theme="0"/>
      <name val="Calibri"/>
      <family val="2"/>
      <scheme val="minor"/>
    </font>
    <font>
      <sz val="14"/>
      <color theme="0"/>
      <name val="Calibri"/>
      <family val="2"/>
      <scheme val="minor"/>
    </font>
    <font>
      <sz val="16"/>
      <color theme="0"/>
      <name val="Calibri"/>
      <family val="2"/>
      <scheme val="minor"/>
    </font>
    <font>
      <b/>
      <sz val="14"/>
      <color theme="9"/>
      <name val="Calibri"/>
      <family val="2"/>
    </font>
    <font>
      <sz val="14"/>
      <color theme="1"/>
      <name val="Calibri"/>
      <family val="2"/>
      <scheme val="minor"/>
    </font>
    <font>
      <b/>
      <sz val="12"/>
      <color rgb="FF000000"/>
      <name val="Calibri"/>
      <family val="2"/>
      <scheme val="minor"/>
    </font>
    <font>
      <sz val="36"/>
      <color theme="1"/>
      <name val="Calibri"/>
      <family val="2"/>
      <scheme val="minor"/>
    </font>
    <font>
      <sz val="12"/>
      <color theme="0" tint="-4.9989318521683403E-2"/>
      <name val="Calibri"/>
      <family val="2"/>
      <scheme val="minor"/>
    </font>
    <font>
      <sz val="28"/>
      <color theme="0" tint="-4.9989318521683403E-2"/>
      <name val="Calibri"/>
      <family val="2"/>
      <scheme val="minor"/>
    </font>
    <font>
      <sz val="12"/>
      <color theme="0" tint="-0.249977111117893"/>
      <name val="Calibri"/>
      <family val="2"/>
      <scheme val="minor"/>
    </font>
    <font>
      <sz val="20"/>
      <color theme="1"/>
      <name val="Calibri"/>
      <family val="2"/>
      <scheme val="minor"/>
    </font>
    <font>
      <sz val="22"/>
      <color theme="1"/>
      <name val="Calibri"/>
      <family val="2"/>
      <scheme val="minor"/>
    </font>
    <font>
      <b/>
      <sz val="12"/>
      <color rgb="FFC00000"/>
      <name val="Calibri (Body)"/>
    </font>
    <font>
      <sz val="12"/>
      <color rgb="FF006100"/>
      <name val="Calibri"/>
      <family val="2"/>
      <scheme val="minor"/>
    </font>
    <font>
      <sz val="12"/>
      <color rgb="FF9C0006"/>
      <name val="Calibri"/>
      <family val="2"/>
      <scheme val="minor"/>
    </font>
    <font>
      <sz val="12"/>
      <color rgb="FF3F3F76"/>
      <name val="Calibri"/>
      <family val="2"/>
      <scheme val="minor"/>
    </font>
    <font>
      <sz val="12"/>
      <color rgb="FFFF0000"/>
      <name val="Calibri"/>
      <family val="2"/>
      <scheme val="minor"/>
    </font>
    <font>
      <sz val="10"/>
      <color theme="1"/>
      <name val="Arial"/>
      <family val="2"/>
    </font>
    <font>
      <b/>
      <i/>
      <sz val="12"/>
      <color theme="0"/>
      <name val="Calibri"/>
      <family val="2"/>
      <scheme val="minor"/>
    </font>
    <font>
      <b/>
      <sz val="12"/>
      <color rgb="FFC00000"/>
      <name val="Calibri"/>
      <family val="2"/>
      <scheme val="minor"/>
    </font>
    <font>
      <i/>
      <sz val="12"/>
      <color rgb="FFC00000"/>
      <name val="Calibri"/>
      <family val="2"/>
      <scheme val="minor"/>
    </font>
    <font>
      <i/>
      <sz val="12"/>
      <color rgb="FF9C0006"/>
      <name val="Calibri"/>
      <family val="2"/>
      <scheme val="minor"/>
    </font>
    <font>
      <i/>
      <sz val="12"/>
      <color rgb="FF006100"/>
      <name val="Calibri"/>
      <family val="2"/>
      <scheme val="minor"/>
    </font>
  </fonts>
  <fills count="49">
    <fill>
      <patternFill patternType="none"/>
    </fill>
    <fill>
      <patternFill patternType="gray125"/>
    </fill>
    <fill>
      <patternFill patternType="solid">
        <fgColor theme="7" tint="0.59999389629810485"/>
        <bgColor indexed="65"/>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FF"/>
      </patternFill>
    </fill>
    <fill>
      <patternFill patternType="solid">
        <fgColor theme="5" tint="0.79998168889431442"/>
        <bgColor indexed="64"/>
      </patternFill>
    </fill>
    <fill>
      <patternFill patternType="solid">
        <fgColor rgb="FFF0F5FF"/>
      </patternFill>
    </fill>
    <fill>
      <patternFill patternType="solid">
        <fgColor theme="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2"/>
        <bgColor indexed="64"/>
      </patternFill>
    </fill>
    <fill>
      <patternFill patternType="solid">
        <fgColor theme="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DBDFF3"/>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rgb="FFFDE9E9"/>
        <bgColor indexed="64"/>
      </patternFill>
    </fill>
    <fill>
      <patternFill patternType="solid">
        <fgColor rgb="FFFDCACA"/>
        <bgColor indexed="64"/>
      </patternFill>
    </fill>
    <fill>
      <patternFill patternType="solid">
        <fgColor rgb="FFFDE4E4"/>
        <bgColor indexed="64"/>
      </patternFill>
    </fill>
    <fill>
      <patternFill patternType="solid">
        <fgColor rgb="FFDADFF3"/>
        <bgColor indexed="64"/>
      </patternFill>
    </fill>
    <fill>
      <patternFill patternType="solid">
        <fgColor rgb="FFFAE9E8"/>
        <bgColor indexed="64"/>
      </patternFill>
    </fill>
    <fill>
      <patternFill patternType="solid">
        <fgColor theme="2" tint="-0.749992370372631"/>
        <bgColor indexed="64"/>
      </patternFill>
    </fill>
    <fill>
      <patternFill patternType="solid">
        <fgColor rgb="FFFDD7D7"/>
        <bgColor indexed="64"/>
      </patternFill>
    </fill>
    <fill>
      <patternFill patternType="solid">
        <fgColor rgb="FFFDE4E4"/>
        <bgColor rgb="FF000000"/>
      </patternFill>
    </fill>
    <fill>
      <patternFill patternType="solid">
        <fgColor theme="6" tint="0.59999389629810485"/>
        <bgColor indexed="64"/>
      </patternFill>
    </fill>
    <fill>
      <patternFill patternType="solid">
        <fgColor theme="6" tint="-0.249977111117893"/>
        <bgColor indexed="64"/>
      </patternFill>
    </fill>
    <fill>
      <patternFill patternType="solid">
        <fgColor theme="3" tint="0.39997558519241921"/>
        <bgColor indexed="64"/>
      </patternFill>
    </fill>
    <fill>
      <patternFill patternType="solid">
        <fgColor rgb="FFF8CCAD"/>
        <bgColor indexed="64"/>
      </patternFill>
    </fill>
    <fill>
      <patternFill patternType="solid">
        <fgColor theme="0" tint="-4.9989318521683403E-2"/>
        <bgColor rgb="FF000000"/>
      </patternFill>
    </fill>
    <fill>
      <patternFill patternType="solid">
        <fgColor rgb="FFD6DCE4"/>
        <bgColor rgb="FF000000"/>
      </patternFill>
    </fill>
    <fill>
      <patternFill patternType="solid">
        <fgColor rgb="FFFAE9E8"/>
        <bgColor rgb="FF000000"/>
      </patternFill>
    </fill>
    <fill>
      <patternFill patternType="solid">
        <fgColor theme="6"/>
        <bgColor indexed="64"/>
      </patternFill>
    </fill>
    <fill>
      <patternFill patternType="solid">
        <fgColor rgb="FFFFC000"/>
        <bgColor indexed="64"/>
      </patternFill>
    </fill>
    <fill>
      <patternFill patternType="solid">
        <fgColor rgb="FFFFFFFF"/>
        <bgColor rgb="FF000000"/>
      </patternFill>
    </fill>
    <fill>
      <patternFill patternType="solid">
        <fgColor rgb="FFC6EFCE"/>
      </patternFill>
    </fill>
    <fill>
      <patternFill patternType="solid">
        <fgColor rgb="FFFFC7CE"/>
      </patternFill>
    </fill>
    <fill>
      <patternFill patternType="solid">
        <fgColor rgb="FFFFCC99"/>
      </patternFill>
    </fill>
    <fill>
      <patternFill patternType="solid">
        <fgColor theme="6" tint="0.79998168889431442"/>
        <bgColor indexed="64"/>
      </patternFill>
    </fill>
  </fills>
  <borders count="180">
    <border>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style="medium">
        <color indexed="64"/>
      </right>
      <top style="medium">
        <color indexed="64"/>
      </top>
      <bottom/>
      <diagonal/>
    </border>
    <border>
      <left style="thin">
        <color rgb="FFDADCDD"/>
      </left>
      <right style="thin">
        <color rgb="FFDADCDD"/>
      </right>
      <top style="thin">
        <color rgb="FFDADCDD"/>
      </top>
      <bottom style="thin">
        <color rgb="FFDADCDD"/>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double">
        <color indexed="64"/>
      </bottom>
      <diagonal/>
    </border>
    <border>
      <left/>
      <right style="thick">
        <color indexed="64"/>
      </right>
      <top/>
      <bottom/>
      <diagonal/>
    </border>
    <border>
      <left/>
      <right/>
      <top style="thick">
        <color indexed="64"/>
      </top>
      <bottom/>
      <diagonal/>
    </border>
    <border>
      <left style="thick">
        <color indexed="64"/>
      </left>
      <right/>
      <top/>
      <bottom style="medium">
        <color indexed="64"/>
      </bottom>
      <diagonal/>
    </border>
    <border>
      <left style="thick">
        <color indexed="64"/>
      </left>
      <right/>
      <top/>
      <bottom/>
      <diagonal/>
    </border>
    <border>
      <left/>
      <right/>
      <top/>
      <bottom style="thick">
        <color indexed="64"/>
      </bottom>
      <diagonal/>
    </border>
    <border>
      <left/>
      <right style="thick">
        <color indexed="64"/>
      </right>
      <top style="thick">
        <color indexed="64"/>
      </top>
      <bottom/>
      <diagonal/>
    </border>
    <border>
      <left style="thick">
        <color indexed="64"/>
      </left>
      <right/>
      <top style="thick">
        <color indexed="64"/>
      </top>
      <bottom style="medium">
        <color indexed="64"/>
      </bottom>
      <diagonal/>
    </border>
    <border>
      <left/>
      <right style="thick">
        <color indexed="64"/>
      </right>
      <top/>
      <bottom style="thick">
        <color indexed="64"/>
      </bottom>
      <diagonal/>
    </border>
    <border>
      <left style="thick">
        <color indexed="64"/>
      </left>
      <right/>
      <top style="thick">
        <color indexed="64"/>
      </top>
      <bottom/>
      <diagonal/>
    </border>
    <border>
      <left style="thick">
        <color indexed="64"/>
      </left>
      <right/>
      <top/>
      <bottom style="thick">
        <color indexed="64"/>
      </bottom>
      <diagonal/>
    </border>
    <border>
      <left/>
      <right style="thick">
        <color indexed="64"/>
      </right>
      <top/>
      <bottom style="medium">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style="medium">
        <color indexed="64"/>
      </bottom>
      <diagonal/>
    </border>
    <border>
      <left/>
      <right/>
      <top/>
      <bottom style="double">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style="thick">
        <color indexed="64"/>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rgb="FF000000"/>
      </right>
      <top style="medium">
        <color indexed="64"/>
      </top>
      <bottom style="medium">
        <color indexed="64"/>
      </bottom>
      <diagonal/>
    </border>
    <border>
      <left/>
      <right style="medium">
        <color rgb="FF000000"/>
      </right>
      <top/>
      <bottom/>
      <diagonal/>
    </border>
    <border>
      <left style="thin">
        <color theme="6"/>
      </left>
      <right style="thin">
        <color theme="6"/>
      </right>
      <top style="thin">
        <color theme="6"/>
      </top>
      <bottom style="thin">
        <color theme="6"/>
      </bottom>
      <diagonal/>
    </border>
    <border>
      <left style="medium">
        <color theme="6"/>
      </left>
      <right style="medium">
        <color theme="6"/>
      </right>
      <top style="medium">
        <color theme="6"/>
      </top>
      <bottom style="medium">
        <color theme="6"/>
      </bottom>
      <diagonal/>
    </border>
    <border>
      <left style="medium">
        <color theme="6"/>
      </left>
      <right style="thin">
        <color theme="6"/>
      </right>
      <top style="medium">
        <color theme="6"/>
      </top>
      <bottom style="thin">
        <color theme="6"/>
      </bottom>
      <diagonal/>
    </border>
    <border>
      <left style="thin">
        <color theme="6"/>
      </left>
      <right style="thin">
        <color theme="6"/>
      </right>
      <top style="medium">
        <color theme="6"/>
      </top>
      <bottom style="thin">
        <color theme="6"/>
      </bottom>
      <diagonal/>
    </border>
    <border>
      <left style="thin">
        <color theme="6"/>
      </left>
      <right style="medium">
        <color theme="6"/>
      </right>
      <top style="medium">
        <color theme="6"/>
      </top>
      <bottom style="thin">
        <color theme="6"/>
      </bottom>
      <diagonal/>
    </border>
    <border>
      <left style="medium">
        <color theme="6"/>
      </left>
      <right style="thin">
        <color theme="6"/>
      </right>
      <top style="thin">
        <color theme="6"/>
      </top>
      <bottom style="thin">
        <color theme="6"/>
      </bottom>
      <diagonal/>
    </border>
    <border>
      <left style="thin">
        <color theme="6"/>
      </left>
      <right style="medium">
        <color theme="6"/>
      </right>
      <top style="thin">
        <color theme="6"/>
      </top>
      <bottom style="thin">
        <color theme="6"/>
      </bottom>
      <diagonal/>
    </border>
    <border>
      <left style="medium">
        <color theme="6"/>
      </left>
      <right style="thin">
        <color theme="6"/>
      </right>
      <top style="thin">
        <color theme="6"/>
      </top>
      <bottom style="medium">
        <color theme="6"/>
      </bottom>
      <diagonal/>
    </border>
    <border>
      <left style="thin">
        <color theme="6"/>
      </left>
      <right style="thin">
        <color theme="6"/>
      </right>
      <top style="thin">
        <color theme="6"/>
      </top>
      <bottom style="medium">
        <color theme="6"/>
      </bottom>
      <diagonal/>
    </border>
    <border>
      <left style="thin">
        <color theme="6"/>
      </left>
      <right style="medium">
        <color theme="6"/>
      </right>
      <top style="thin">
        <color theme="6"/>
      </top>
      <bottom style="medium">
        <color theme="6"/>
      </bottom>
      <diagonal/>
    </border>
    <border>
      <left style="medium">
        <color theme="6"/>
      </left>
      <right style="thin">
        <color theme="6"/>
      </right>
      <top style="medium">
        <color theme="6"/>
      </top>
      <bottom style="medium">
        <color theme="6"/>
      </bottom>
      <diagonal/>
    </border>
    <border>
      <left style="thin">
        <color theme="6"/>
      </left>
      <right style="thin">
        <color theme="6"/>
      </right>
      <top style="medium">
        <color theme="6"/>
      </top>
      <bottom style="medium">
        <color theme="6"/>
      </bottom>
      <diagonal/>
    </border>
    <border>
      <left style="thin">
        <color theme="6"/>
      </left>
      <right style="medium">
        <color theme="6"/>
      </right>
      <top style="medium">
        <color theme="6"/>
      </top>
      <bottom style="medium">
        <color theme="6"/>
      </bottom>
      <diagonal/>
    </border>
    <border>
      <left/>
      <right style="thin">
        <color theme="6"/>
      </right>
      <top style="medium">
        <color theme="6"/>
      </top>
      <bottom style="medium">
        <color theme="6"/>
      </bottom>
      <diagonal/>
    </border>
    <border>
      <left style="medium">
        <color theme="6"/>
      </left>
      <right style="medium">
        <color theme="6"/>
      </right>
      <top style="medium">
        <color theme="6"/>
      </top>
      <bottom style="thin">
        <color theme="6"/>
      </bottom>
      <diagonal/>
    </border>
    <border>
      <left style="medium">
        <color theme="6"/>
      </left>
      <right style="medium">
        <color theme="6"/>
      </right>
      <top style="thin">
        <color theme="6"/>
      </top>
      <bottom style="thin">
        <color theme="6"/>
      </bottom>
      <diagonal/>
    </border>
    <border>
      <left style="medium">
        <color theme="6"/>
      </left>
      <right style="medium">
        <color theme="6"/>
      </right>
      <top style="thin">
        <color theme="6"/>
      </top>
      <bottom style="medium">
        <color theme="6"/>
      </bottom>
      <diagonal/>
    </border>
    <border>
      <left style="medium">
        <color theme="6"/>
      </left>
      <right style="medium">
        <color theme="6"/>
      </right>
      <top style="thin">
        <color theme="6"/>
      </top>
      <bottom/>
      <diagonal/>
    </border>
    <border>
      <left style="medium">
        <color theme="6"/>
      </left>
      <right style="medium">
        <color theme="6"/>
      </right>
      <top/>
      <bottom/>
      <diagonal/>
    </border>
    <border>
      <left style="medium">
        <color theme="6"/>
      </left>
      <right style="medium">
        <color theme="6"/>
      </right>
      <top/>
      <bottom style="thin">
        <color theme="6"/>
      </bottom>
      <diagonal/>
    </border>
    <border>
      <left style="thin">
        <color theme="6"/>
      </left>
      <right/>
      <top style="medium">
        <color theme="6"/>
      </top>
      <bottom style="medium">
        <color theme="6"/>
      </bottom>
      <diagonal/>
    </border>
    <border>
      <left style="thin">
        <color theme="6"/>
      </left>
      <right/>
      <top style="medium">
        <color theme="6"/>
      </top>
      <bottom style="thin">
        <color theme="6"/>
      </bottom>
      <diagonal/>
    </border>
    <border>
      <left style="thin">
        <color theme="6"/>
      </left>
      <right/>
      <top style="thin">
        <color theme="6"/>
      </top>
      <bottom style="thin">
        <color theme="6"/>
      </bottom>
      <diagonal/>
    </border>
    <border>
      <left style="thin">
        <color theme="6"/>
      </left>
      <right/>
      <top style="thin">
        <color theme="6"/>
      </top>
      <bottom style="medium">
        <color theme="6"/>
      </bottom>
      <diagonal/>
    </border>
    <border>
      <left/>
      <right style="medium">
        <color theme="6"/>
      </right>
      <top style="medium">
        <color theme="6"/>
      </top>
      <bottom style="medium">
        <color theme="6"/>
      </bottom>
      <diagonal/>
    </border>
    <border>
      <left/>
      <right style="medium">
        <color theme="6"/>
      </right>
      <top style="medium">
        <color theme="6"/>
      </top>
      <bottom style="thin">
        <color theme="6"/>
      </bottom>
      <diagonal/>
    </border>
    <border>
      <left/>
      <right style="medium">
        <color theme="6"/>
      </right>
      <top style="thin">
        <color theme="6"/>
      </top>
      <bottom style="thin">
        <color theme="6"/>
      </bottom>
      <diagonal/>
    </border>
    <border>
      <left/>
      <right style="medium">
        <color theme="6"/>
      </right>
      <top style="thin">
        <color theme="6"/>
      </top>
      <bottom style="medium">
        <color theme="6"/>
      </bottom>
      <diagonal/>
    </border>
    <border>
      <left style="thin">
        <color theme="6"/>
      </left>
      <right style="medium">
        <color theme="6"/>
      </right>
      <top style="thin">
        <color theme="6"/>
      </top>
      <bottom/>
      <diagonal/>
    </border>
    <border>
      <left style="thin">
        <color theme="6"/>
      </left>
      <right/>
      <top/>
      <bottom style="thin">
        <color theme="6"/>
      </bottom>
      <diagonal/>
    </border>
    <border>
      <left style="medium">
        <color theme="6"/>
      </left>
      <right style="thin">
        <color theme="6"/>
      </right>
      <top style="thin">
        <color theme="6"/>
      </top>
      <bottom/>
      <diagonal/>
    </border>
    <border>
      <left style="medium">
        <color theme="6"/>
      </left>
      <right style="thin">
        <color theme="6"/>
      </right>
      <top/>
      <bottom style="thin">
        <color theme="6"/>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style="thin">
        <color theme="1"/>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top style="medium">
        <color theme="1"/>
      </top>
      <bottom/>
      <diagonal/>
    </border>
    <border>
      <left/>
      <right/>
      <top/>
      <bottom style="medium">
        <color theme="1"/>
      </bottom>
      <diagonal/>
    </border>
    <border>
      <left style="medium">
        <color theme="1"/>
      </left>
      <right/>
      <top style="thin">
        <color theme="1"/>
      </top>
      <bottom style="medium">
        <color theme="1"/>
      </bottom>
      <diagonal/>
    </border>
    <border>
      <left/>
      <right/>
      <top style="thin">
        <color theme="1"/>
      </top>
      <bottom style="medium">
        <color theme="1"/>
      </bottom>
      <diagonal/>
    </border>
    <border>
      <left/>
      <right style="medium">
        <color theme="1"/>
      </right>
      <top style="thin">
        <color theme="1"/>
      </top>
      <bottom style="medium">
        <color theme="1"/>
      </bottom>
      <diagonal/>
    </border>
    <border>
      <left style="thin">
        <color rgb="FF7F7F7F"/>
      </left>
      <right style="thin">
        <color rgb="FF7F7F7F"/>
      </right>
      <top style="thin">
        <color rgb="FF7F7F7F"/>
      </top>
      <bottom style="thin">
        <color rgb="FF7F7F7F"/>
      </bottom>
      <diagonal/>
    </border>
    <border>
      <left style="thin">
        <color theme="1"/>
      </left>
      <right style="thin">
        <color theme="1"/>
      </right>
      <top/>
      <bottom/>
      <diagonal/>
    </border>
    <border>
      <left/>
      <right style="medium">
        <color indexed="64"/>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theme="1"/>
      </right>
      <top style="medium">
        <color theme="1"/>
      </top>
      <bottom/>
      <diagonal/>
    </border>
    <border>
      <left style="medium">
        <color indexed="64"/>
      </left>
      <right style="medium">
        <color theme="1"/>
      </right>
      <top/>
      <bottom style="medium">
        <color indexed="64"/>
      </bottom>
      <diagonal/>
    </border>
    <border>
      <left style="medium">
        <color indexed="64"/>
      </left>
      <right style="medium">
        <color theme="1"/>
      </right>
      <top style="medium">
        <color indexed="64"/>
      </top>
      <bottom/>
      <diagonal/>
    </border>
    <border>
      <left style="thin">
        <color indexed="64"/>
      </left>
      <right/>
      <top style="thin">
        <color theme="1"/>
      </top>
      <bottom style="thin">
        <color indexed="64"/>
      </bottom>
      <diagonal/>
    </border>
    <border>
      <left/>
      <right style="thin">
        <color indexed="64"/>
      </right>
      <top style="thin">
        <color theme="1"/>
      </top>
      <bottom style="thin">
        <color indexed="64"/>
      </bottom>
      <diagonal/>
    </border>
    <border>
      <left/>
      <right style="thin">
        <color theme="1"/>
      </right>
      <top/>
      <bottom style="thin">
        <color indexed="64"/>
      </bottom>
      <diagonal/>
    </border>
    <border>
      <left style="thin">
        <color theme="1"/>
      </left>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top style="medium">
        <color theme="1"/>
      </top>
      <bottom/>
      <diagonal/>
    </border>
    <border>
      <left style="thin">
        <color theme="1"/>
      </left>
      <right style="medium">
        <color theme="1"/>
      </right>
      <top style="medium">
        <color theme="1"/>
      </top>
      <bottom/>
      <diagonal/>
    </border>
    <border>
      <left style="thin">
        <color theme="1"/>
      </left>
      <right style="thin">
        <color theme="1"/>
      </right>
      <top style="medium">
        <color theme="1"/>
      </top>
      <bottom/>
      <diagonal/>
    </border>
    <border>
      <left style="thin">
        <color theme="1"/>
      </left>
      <right style="medium">
        <color theme="1"/>
      </right>
      <top/>
      <bottom/>
      <diagonal/>
    </border>
    <border>
      <left style="medium">
        <color theme="1"/>
      </left>
      <right/>
      <top/>
      <bottom style="thin">
        <color indexed="64"/>
      </bottom>
      <diagonal/>
    </border>
    <border>
      <left style="thin">
        <color theme="1"/>
      </left>
      <right/>
      <top/>
      <bottom style="thin">
        <color indexed="64"/>
      </bottom>
      <diagonal/>
    </border>
    <border>
      <left style="thin">
        <color theme="1"/>
      </left>
      <right style="medium">
        <color theme="1"/>
      </right>
      <top/>
      <bottom style="thin">
        <color indexed="64"/>
      </bottom>
      <diagonal/>
    </border>
    <border>
      <left style="thin">
        <color theme="1"/>
      </left>
      <right style="thin">
        <color theme="1"/>
      </right>
      <top/>
      <bottom style="thin">
        <color indexed="64"/>
      </bottom>
      <diagonal/>
    </border>
    <border>
      <left/>
      <right style="medium">
        <color theme="1"/>
      </right>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theme="1"/>
      </left>
      <right/>
      <top style="thin">
        <color indexed="64"/>
      </top>
      <bottom style="thin">
        <color indexed="64"/>
      </bottom>
      <diagonal/>
    </border>
    <border>
      <left style="thin">
        <color theme="1"/>
      </left>
      <right/>
      <top style="thin">
        <color indexed="64"/>
      </top>
      <bottom style="thin">
        <color indexed="64"/>
      </bottom>
      <diagonal/>
    </border>
    <border>
      <left style="thin">
        <color theme="1"/>
      </left>
      <right style="medium">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right style="medium">
        <color theme="1"/>
      </right>
      <top style="thin">
        <color indexed="64"/>
      </top>
      <bottom style="thin">
        <color indexed="64"/>
      </bottom>
      <diagonal/>
    </border>
    <border>
      <left style="thin">
        <color theme="1"/>
      </left>
      <right/>
      <top/>
      <bottom style="medium">
        <color theme="1"/>
      </bottom>
      <diagonal/>
    </border>
    <border>
      <left style="thin">
        <color theme="1"/>
      </left>
      <right style="medium">
        <color theme="1"/>
      </right>
      <top/>
      <bottom style="medium">
        <color theme="1"/>
      </bottom>
      <diagonal/>
    </border>
    <border>
      <left style="thin">
        <color theme="1"/>
      </left>
      <right style="thin">
        <color theme="1"/>
      </right>
      <top/>
      <bottom style="medium">
        <color theme="1"/>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theme="1"/>
      </left>
      <right/>
      <top style="thin">
        <color indexed="64"/>
      </top>
      <bottom/>
      <diagonal/>
    </border>
    <border>
      <left style="thin">
        <color theme="1"/>
      </left>
      <right style="thin">
        <color theme="1"/>
      </right>
      <top style="thin">
        <color indexed="64"/>
      </top>
      <bottom/>
      <diagonal/>
    </border>
    <border>
      <left style="thin">
        <color theme="1"/>
      </left>
      <right/>
      <top style="thin">
        <color indexed="64"/>
      </top>
      <bottom/>
      <diagonal/>
    </border>
    <border>
      <left style="thin">
        <color theme="1"/>
      </left>
      <right style="medium">
        <color theme="1"/>
      </right>
      <top style="thin">
        <color indexed="64"/>
      </top>
      <bottom/>
      <diagonal/>
    </border>
    <border>
      <left/>
      <right style="medium">
        <color theme="1"/>
      </right>
      <top style="thin">
        <color indexed="64"/>
      </top>
      <bottom/>
      <diagonal/>
    </border>
    <border>
      <left/>
      <right/>
      <top style="thin">
        <color theme="1"/>
      </top>
      <bottom style="thin">
        <color indexed="64"/>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right style="thin">
        <color theme="1"/>
      </right>
      <top style="thin">
        <color indexed="64"/>
      </top>
      <bottom/>
      <diagonal/>
    </border>
    <border>
      <left/>
      <right style="thin">
        <color theme="1"/>
      </right>
      <top style="thin">
        <color indexed="64"/>
      </top>
      <bottom style="thin">
        <color indexed="64"/>
      </bottom>
      <diagonal/>
    </border>
    <border>
      <left/>
      <right style="thin">
        <color indexed="64"/>
      </right>
      <top/>
      <bottom style="thin">
        <color theme="1"/>
      </bottom>
      <diagonal/>
    </border>
    <border>
      <left style="thin">
        <color indexed="64"/>
      </left>
      <right/>
      <top/>
      <bottom style="thin">
        <color theme="1"/>
      </bottom>
      <diagonal/>
    </border>
    <border>
      <left style="thin">
        <color theme="1"/>
      </left>
      <right style="medium">
        <color indexed="64"/>
      </right>
      <top style="thin">
        <color theme="1"/>
      </top>
      <bottom style="thin">
        <color theme="1"/>
      </bottom>
      <diagonal/>
    </border>
  </borders>
  <cellStyleXfs count="17">
    <xf numFmtId="0" fontId="0" fillId="0" borderId="0"/>
    <xf numFmtId="9" fontId="1" fillId="0" borderId="0" applyFont="0" applyFill="0" applyBorder="0" applyAlignment="0" applyProtection="0"/>
    <xf numFmtId="0" fontId="1" fillId="2" borderId="0" applyNumberFormat="0" applyBorder="0" applyAlignment="0" applyProtection="0"/>
    <xf numFmtId="0" fontId="6" fillId="0" borderId="0"/>
    <xf numFmtId="0" fontId="8" fillId="0" borderId="0"/>
    <xf numFmtId="0" fontId="12" fillId="5" borderId="16"/>
    <xf numFmtId="0" fontId="12" fillId="7" borderId="16"/>
    <xf numFmtId="0" fontId="14" fillId="0" borderId="0" applyNumberFormat="0" applyFill="0" applyBorder="0" applyAlignment="0" applyProtection="0"/>
    <xf numFmtId="0" fontId="17" fillId="0" borderId="0"/>
    <xf numFmtId="0" fontId="24" fillId="0" borderId="0" applyNumberFormat="0" applyBorder="0" applyProtection="0"/>
    <xf numFmtId="0" fontId="26" fillId="0" borderId="0"/>
    <xf numFmtId="169" fontId="25" fillId="0" borderId="0" applyBorder="0" applyProtection="0"/>
    <xf numFmtId="0" fontId="13" fillId="0" borderId="0"/>
    <xf numFmtId="0" fontId="74" fillId="45" borderId="0" applyNumberFormat="0" applyBorder="0" applyAlignment="0" applyProtection="0"/>
    <xf numFmtId="0" fontId="75" fillId="46" borderId="0" applyNumberFormat="0" applyBorder="0" applyAlignment="0" applyProtection="0"/>
    <xf numFmtId="0" fontId="76" fillId="47" borderId="131" applyNumberFormat="0" applyAlignment="0" applyProtection="0"/>
    <xf numFmtId="0" fontId="77" fillId="0" borderId="0" applyNumberFormat="0" applyFill="0" applyBorder="0" applyAlignment="0" applyProtection="0"/>
  </cellStyleXfs>
  <cellXfs count="2301">
    <xf numFmtId="0" fontId="0" fillId="0" borderId="0" xfId="0"/>
    <xf numFmtId="0" fontId="9" fillId="3" borderId="4" xfId="4" applyFont="1" applyFill="1" applyBorder="1" applyAlignment="1">
      <alignment horizontal="center" vertical="center" wrapText="1"/>
    </xf>
    <xf numFmtId="0" fontId="8" fillId="3" borderId="6" xfId="4" applyFill="1" applyBorder="1" applyAlignment="1">
      <alignment horizontal="center" vertical="center" wrapText="1"/>
    </xf>
    <xf numFmtId="0" fontId="8" fillId="3" borderId="8" xfId="4" applyFill="1" applyBorder="1" applyAlignment="1">
      <alignment horizontal="center" vertical="center" wrapText="1"/>
    </xf>
    <xf numFmtId="0" fontId="8" fillId="3" borderId="11" xfId="4" applyFill="1" applyBorder="1" applyAlignment="1">
      <alignment horizontal="center" vertical="center" wrapText="1"/>
    </xf>
    <xf numFmtId="0" fontId="7" fillId="4" borderId="10" xfId="3" applyFont="1" applyFill="1" applyBorder="1"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3" borderId="0" xfId="0" applyFill="1"/>
    <xf numFmtId="0" fontId="0" fillId="3" borderId="12" xfId="0" applyFill="1" applyBorder="1"/>
    <xf numFmtId="0" fontId="0" fillId="4" borderId="10"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7" fillId="4" borderId="0" xfId="3" applyFont="1" applyFill="1" applyBorder="1" applyAlignment="1">
      <alignment horizontal="center" vertical="center" wrapText="1"/>
    </xf>
    <xf numFmtId="0" fontId="7" fillId="4" borderId="5" xfId="3" applyFont="1" applyFill="1" applyBorder="1" applyAlignment="1">
      <alignment horizontal="center" vertical="center" wrapText="1"/>
    </xf>
    <xf numFmtId="0" fontId="4" fillId="8" borderId="11" xfId="0" applyFont="1" applyFill="1" applyBorder="1"/>
    <xf numFmtId="0" fontId="4" fillId="8" borderId="10" xfId="0" applyFont="1" applyFill="1" applyBorder="1"/>
    <xf numFmtId="0" fontId="0" fillId="0" borderId="11" xfId="0" applyBorder="1"/>
    <xf numFmtId="0" fontId="0" fillId="0" borderId="10" xfId="0" applyBorder="1"/>
    <xf numFmtId="0" fontId="0" fillId="0" borderId="15" xfId="0" applyBorder="1" applyAlignment="1">
      <alignment horizontal="center" vertical="center"/>
    </xf>
    <xf numFmtId="0" fontId="0" fillId="3" borderId="14" xfId="0" applyFill="1" applyBorder="1" applyAlignment="1">
      <alignment horizontal="center" vertical="center"/>
    </xf>
    <xf numFmtId="0" fontId="0" fillId="0" borderId="5" xfId="0" applyBorder="1"/>
    <xf numFmtId="0" fontId="0" fillId="11" borderId="8" xfId="0" applyFill="1" applyBorder="1"/>
    <xf numFmtId="0" fontId="0" fillId="11" borderId="6" xfId="0" applyFill="1" applyBorder="1"/>
    <xf numFmtId="0" fontId="0" fillId="4" borderId="0" xfId="0" applyFill="1"/>
    <xf numFmtId="0" fontId="0" fillId="3" borderId="0" xfId="0" applyFill="1" applyAlignment="1">
      <alignment horizontal="center" vertical="center"/>
    </xf>
    <xf numFmtId="0" fontId="0" fillId="3" borderId="0" xfId="0" applyFill="1" applyBorder="1" applyAlignment="1">
      <alignment horizontal="center" vertical="center"/>
    </xf>
    <xf numFmtId="0" fontId="0" fillId="11" borderId="7" xfId="0" applyFill="1" applyBorder="1" applyAlignment="1">
      <alignment horizontal="center"/>
    </xf>
    <xf numFmtId="0" fontId="0" fillId="11" borderId="4" xfId="0" applyFill="1" applyBorder="1"/>
    <xf numFmtId="0" fontId="0" fillId="11" borderId="15" xfId="0" applyFill="1" applyBorder="1"/>
    <xf numFmtId="0" fontId="1" fillId="11" borderId="4" xfId="2" applyFill="1" applyBorder="1" applyAlignment="1">
      <alignment horizontal="center" vertical="center"/>
    </xf>
    <xf numFmtId="0" fontId="0" fillId="0" borderId="0" xfId="0" applyAlignment="1">
      <alignment vertical="center"/>
    </xf>
    <xf numFmtId="0" fontId="0" fillId="11" borderId="0" xfId="0" applyFill="1"/>
    <xf numFmtId="0" fontId="0" fillId="11" borderId="0" xfId="0" applyFill="1" applyAlignment="1">
      <alignment horizontal="center" vertical="center"/>
    </xf>
    <xf numFmtId="0" fontId="0" fillId="11" borderId="11" xfId="0" applyFill="1" applyBorder="1" applyAlignment="1">
      <alignment horizontal="left" vertical="center"/>
    </xf>
    <xf numFmtId="0" fontId="0" fillId="11" borderId="15" xfId="0" applyFill="1" applyBorder="1" applyAlignment="1">
      <alignment horizontal="left" vertical="center"/>
    </xf>
    <xf numFmtId="0" fontId="0" fillId="10" borderId="11" xfId="0" applyFill="1" applyBorder="1" applyAlignment="1">
      <alignment horizontal="center"/>
    </xf>
    <xf numFmtId="2" fontId="20" fillId="11" borderId="0" xfId="0" applyNumberFormat="1" applyFont="1" applyFill="1" applyBorder="1" applyAlignment="1">
      <alignment horizontal="center" vertical="center" textRotation="90" wrapText="1"/>
    </xf>
    <xf numFmtId="0" fontId="0" fillId="11" borderId="0" xfId="0" applyFill="1" applyBorder="1" applyAlignment="1">
      <alignment horizontal="center"/>
    </xf>
    <xf numFmtId="0" fontId="0" fillId="11" borderId="14" xfId="0" applyFill="1" applyBorder="1" applyAlignment="1">
      <alignment horizontal="left"/>
    </xf>
    <xf numFmtId="0" fontId="0" fillId="11" borderId="13" xfId="0" applyFill="1" applyBorder="1" applyAlignment="1">
      <alignment horizontal="left"/>
    </xf>
    <xf numFmtId="0" fontId="9" fillId="11" borderId="19" xfId="4" applyFont="1" applyFill="1" applyBorder="1" applyAlignment="1">
      <alignment horizontal="center" vertical="center"/>
    </xf>
    <xf numFmtId="0" fontId="0" fillId="11" borderId="0" xfId="0" applyFill="1" applyBorder="1" applyAlignment="1">
      <alignment horizontal="center" vertical="center"/>
    </xf>
    <xf numFmtId="0" fontId="0" fillId="11" borderId="18" xfId="0" applyFill="1" applyBorder="1" applyAlignment="1">
      <alignment horizontal="center" vertical="center"/>
    </xf>
    <xf numFmtId="0" fontId="0" fillId="11" borderId="23" xfId="0" applyFill="1" applyBorder="1" applyAlignment="1">
      <alignment horizontal="center" vertical="center"/>
    </xf>
    <xf numFmtId="0" fontId="0" fillId="11" borderId="20" xfId="0" applyFill="1" applyBorder="1"/>
    <xf numFmtId="0" fontId="0" fillId="11" borderId="22" xfId="0" applyFill="1" applyBorder="1"/>
    <xf numFmtId="0" fontId="0" fillId="11" borderId="21" xfId="0" applyFill="1" applyBorder="1"/>
    <xf numFmtId="165" fontId="0" fillId="11" borderId="18" xfId="0" applyNumberFormat="1" applyFill="1" applyBorder="1" applyAlignment="1">
      <alignment horizontal="center" vertical="center"/>
    </xf>
    <xf numFmtId="165" fontId="0" fillId="11" borderId="23" xfId="0" applyNumberFormat="1" applyFill="1" applyBorder="1" applyAlignment="1">
      <alignment horizontal="center" vertical="center"/>
    </xf>
    <xf numFmtId="165" fontId="0" fillId="11" borderId="0" xfId="0" applyNumberFormat="1" applyFill="1" applyBorder="1" applyAlignment="1">
      <alignment horizontal="center" vertical="center"/>
    </xf>
    <xf numFmtId="165" fontId="0" fillId="11" borderId="25" xfId="0" applyNumberFormat="1" applyFill="1" applyBorder="1" applyAlignment="1">
      <alignment horizontal="center" vertical="center"/>
    </xf>
    <xf numFmtId="0" fontId="0" fillId="11" borderId="25" xfId="0" applyFill="1" applyBorder="1" applyAlignment="1">
      <alignment horizontal="center"/>
    </xf>
    <xf numFmtId="0" fontId="0" fillId="11" borderId="17" xfId="0" applyFill="1" applyBorder="1" applyAlignment="1">
      <alignment horizontal="center"/>
    </xf>
    <xf numFmtId="0" fontId="0" fillId="11" borderId="26" xfId="0" applyFill="1" applyBorder="1" applyAlignment="1">
      <alignment horizontal="center"/>
    </xf>
    <xf numFmtId="0" fontId="0" fillId="11" borderId="18" xfId="0" applyFill="1" applyBorder="1" applyAlignment="1">
      <alignment horizontal="center"/>
    </xf>
    <xf numFmtId="0" fontId="0" fillId="11" borderId="23" xfId="0" applyFill="1" applyBorder="1" applyAlignment="1">
      <alignment horizontal="center"/>
    </xf>
    <xf numFmtId="165" fontId="0" fillId="11" borderId="0" xfId="0" applyNumberFormat="1" applyFill="1" applyBorder="1" applyAlignment="1">
      <alignment horizontal="center"/>
    </xf>
    <xf numFmtId="165" fontId="0" fillId="11" borderId="25" xfId="0" applyNumberFormat="1" applyFill="1" applyBorder="1" applyAlignment="1">
      <alignment horizontal="center"/>
    </xf>
    <xf numFmtId="165" fontId="0" fillId="11" borderId="17" xfId="0" applyNumberFormat="1" applyFill="1" applyBorder="1" applyAlignment="1">
      <alignment horizontal="center"/>
    </xf>
    <xf numFmtId="165" fontId="0" fillId="11" borderId="26" xfId="0" applyNumberFormat="1" applyFill="1" applyBorder="1" applyAlignment="1">
      <alignment horizontal="center"/>
    </xf>
    <xf numFmtId="0" fontId="3" fillId="11" borderId="11" xfId="0" applyFont="1" applyFill="1" applyBorder="1" applyAlignment="1">
      <alignment horizontal="left" vertical="center"/>
    </xf>
    <xf numFmtId="0" fontId="3" fillId="11" borderId="15" xfId="0" applyFont="1" applyFill="1" applyBorder="1" applyAlignment="1">
      <alignment horizontal="left" vertical="center"/>
    </xf>
    <xf numFmtId="0" fontId="2" fillId="8" borderId="4" xfId="0" applyFont="1" applyFill="1" applyBorder="1" applyAlignment="1">
      <alignment horizontal="center" vertical="center"/>
    </xf>
    <xf numFmtId="0" fontId="2" fillId="8" borderId="2" xfId="0" applyFont="1" applyFill="1" applyBorder="1" applyAlignment="1">
      <alignment horizontal="center" vertical="center"/>
    </xf>
    <xf numFmtId="0" fontId="2" fillId="8" borderId="1" xfId="0" applyFont="1" applyFill="1" applyBorder="1" applyAlignment="1">
      <alignment horizontal="center" vertical="center"/>
    </xf>
    <xf numFmtId="3" fontId="0" fillId="0" borderId="11" xfId="0" applyNumberFormat="1" applyBorder="1" applyAlignment="1">
      <alignment horizontal="center" vertical="center"/>
    </xf>
    <xf numFmtId="0" fontId="2" fillId="8" borderId="3" xfId="0" applyFont="1" applyFill="1" applyBorder="1" applyAlignment="1">
      <alignment horizontal="center" vertical="center"/>
    </xf>
    <xf numFmtId="168" fontId="0" fillId="0" borderId="11" xfId="0" applyNumberFormat="1" applyBorder="1"/>
    <xf numFmtId="168" fontId="0" fillId="0" borderId="15" xfId="0" applyNumberFormat="1" applyBorder="1"/>
    <xf numFmtId="0" fontId="0" fillId="0" borderId="0" xfId="0" applyAlignment="1">
      <alignment horizontal="right"/>
    </xf>
    <xf numFmtId="0" fontId="0" fillId="11" borderId="11" xfId="0" applyFill="1" applyBorder="1"/>
    <xf numFmtId="0" fontId="0" fillId="11" borderId="10" xfId="0" applyFill="1" applyBorder="1" applyAlignment="1">
      <alignment horizontal="center" vertical="center"/>
    </xf>
    <xf numFmtId="167" fontId="0" fillId="11" borderId="5" xfId="0" applyNumberFormat="1" applyFill="1" applyBorder="1" applyAlignment="1">
      <alignment horizontal="center" vertical="center"/>
    </xf>
    <xf numFmtId="0" fontId="0" fillId="11" borderId="4" xfId="0" applyFill="1" applyBorder="1" applyAlignment="1"/>
    <xf numFmtId="0" fontId="3" fillId="11" borderId="8" xfId="0" applyFont="1" applyFill="1" applyBorder="1" applyAlignment="1">
      <alignment horizontal="left" vertical="center"/>
    </xf>
    <xf numFmtId="0" fontId="3" fillId="11" borderId="0" xfId="0" applyFont="1" applyFill="1" applyBorder="1" applyAlignment="1">
      <alignment horizontal="left" vertical="center"/>
    </xf>
    <xf numFmtId="0" fontId="0" fillId="3" borderId="6" xfId="0" applyFill="1" applyBorder="1"/>
    <xf numFmtId="0" fontId="0" fillId="3" borderId="10" xfId="0" applyFill="1" applyBorder="1" applyAlignment="1">
      <alignment horizontal="center" vertical="center"/>
    </xf>
    <xf numFmtId="0" fontId="0" fillId="3" borderId="15" xfId="0" applyFill="1" applyBorder="1" applyAlignment="1">
      <alignment horizontal="center" vertical="center"/>
    </xf>
    <xf numFmtId="167" fontId="0" fillId="3" borderId="5" xfId="0" applyNumberFormat="1" applyFill="1" applyBorder="1" applyAlignment="1">
      <alignment horizontal="center" vertical="center"/>
    </xf>
    <xf numFmtId="167" fontId="0" fillId="3" borderId="13" xfId="0" applyNumberFormat="1" applyFill="1" applyBorder="1" applyAlignment="1">
      <alignment horizontal="center" vertical="center"/>
    </xf>
    <xf numFmtId="0" fontId="3" fillId="3" borderId="8" xfId="0" applyFont="1" applyFill="1" applyBorder="1" applyAlignment="1">
      <alignment horizontal="left" vertical="center"/>
    </xf>
    <xf numFmtId="0" fontId="3" fillId="3" borderId="0" xfId="0" applyFont="1" applyFill="1" applyBorder="1" applyAlignment="1">
      <alignment horizontal="left" vertical="center"/>
    </xf>
    <xf numFmtId="0" fontId="0" fillId="4" borderId="11" xfId="0" applyFill="1" applyBorder="1"/>
    <xf numFmtId="0" fontId="0" fillId="4" borderId="3" xfId="0" applyFill="1" applyBorder="1"/>
    <xf numFmtId="0" fontId="0" fillId="4" borderId="8" xfId="0" applyFill="1" applyBorder="1"/>
    <xf numFmtId="0" fontId="0" fillId="4" borderId="15" xfId="0" applyFill="1" applyBorder="1" applyAlignment="1">
      <alignment horizontal="center"/>
    </xf>
    <xf numFmtId="0" fontId="0" fillId="4" borderId="14" xfId="0" applyFill="1" applyBorder="1" applyAlignment="1">
      <alignment horizontal="center"/>
    </xf>
    <xf numFmtId="0" fontId="0" fillId="12" borderId="3" xfId="0" applyFill="1" applyBorder="1" applyAlignment="1"/>
    <xf numFmtId="0" fontId="0" fillId="12" borderId="1" xfId="0" applyFill="1" applyBorder="1" applyAlignment="1"/>
    <xf numFmtId="0" fontId="0" fillId="12" borderId="0" xfId="0" applyFill="1" applyBorder="1" applyAlignment="1">
      <alignment vertical="center" wrapText="1"/>
    </xf>
    <xf numFmtId="0" fontId="0" fillId="12" borderId="12" xfId="0" applyFill="1" applyBorder="1" applyAlignment="1">
      <alignment horizontal="center" vertical="center"/>
    </xf>
    <xf numFmtId="0" fontId="0" fillId="12" borderId="6" xfId="0" applyFill="1" applyBorder="1"/>
    <xf numFmtId="0" fontId="0" fillId="12" borderId="4" xfId="0" applyFill="1" applyBorder="1" applyAlignment="1">
      <alignment horizontal="center" vertical="center"/>
    </xf>
    <xf numFmtId="0" fontId="0" fillId="11" borderId="9" xfId="0" applyFill="1" applyBorder="1" applyAlignment="1">
      <alignment horizontal="center" vertical="center"/>
    </xf>
    <xf numFmtId="0" fontId="1" fillId="11" borderId="7" xfId="2" applyFill="1" applyBorder="1" applyAlignment="1">
      <alignment horizontal="center" vertical="center"/>
    </xf>
    <xf numFmtId="0" fontId="1" fillId="11" borderId="9" xfId="2" applyFill="1" applyBorder="1" applyAlignment="1">
      <alignment horizontal="center" vertical="center"/>
    </xf>
    <xf numFmtId="0" fontId="5" fillId="0" borderId="0" xfId="0" applyFont="1" applyFill="1" applyBorder="1" applyAlignment="1">
      <alignment horizontal="center" vertical="center"/>
    </xf>
    <xf numFmtId="0" fontId="0" fillId="11" borderId="11" xfId="0" applyFill="1" applyBorder="1" applyAlignment="1">
      <alignment horizontal="center" vertical="center"/>
    </xf>
    <xf numFmtId="0" fontId="0" fillId="11" borderId="8" xfId="0" applyFill="1" applyBorder="1" applyAlignment="1">
      <alignment horizontal="center" vertical="center"/>
    </xf>
    <xf numFmtId="0" fontId="0" fillId="11" borderId="6" xfId="0" applyFill="1" applyBorder="1" applyAlignment="1">
      <alignment horizontal="center" vertical="center"/>
    </xf>
    <xf numFmtId="0" fontId="5" fillId="0" borderId="0" xfId="0" applyFont="1" applyFill="1" applyBorder="1" applyAlignment="1">
      <alignment horizontal="center"/>
    </xf>
    <xf numFmtId="3" fontId="0" fillId="0" borderId="10" xfId="0" applyNumberFormat="1" applyBorder="1" applyAlignment="1">
      <alignment horizontal="center" vertical="center"/>
    </xf>
    <xf numFmtId="0" fontId="0" fillId="12" borderId="0" xfId="0" applyFill="1"/>
    <xf numFmtId="0" fontId="0" fillId="12" borderId="0" xfId="0" applyFill="1" applyBorder="1"/>
    <xf numFmtId="0" fontId="0" fillId="12" borderId="0" xfId="0" applyFill="1" applyAlignment="1">
      <alignment horizontal="center"/>
    </xf>
    <xf numFmtId="0" fontId="0" fillId="12" borderId="28" xfId="0" applyFill="1" applyBorder="1"/>
    <xf numFmtId="0" fontId="0" fillId="12" borderId="29" xfId="0" applyFill="1" applyBorder="1"/>
    <xf numFmtId="0" fontId="0" fillId="12" borderId="30" xfId="0" applyFill="1" applyBorder="1"/>
    <xf numFmtId="0" fontId="0" fillId="12" borderId="31" xfId="0" applyFill="1" applyBorder="1"/>
    <xf numFmtId="0" fontId="0" fillId="12" borderId="32" xfId="0" applyFill="1" applyBorder="1"/>
    <xf numFmtId="0" fontId="0" fillId="12" borderId="33" xfId="0" applyFill="1" applyBorder="1"/>
    <xf numFmtId="0" fontId="0" fillId="12" borderId="0" xfId="0" applyFill="1" applyAlignment="1"/>
    <xf numFmtId="0" fontId="0" fillId="12" borderId="0" xfId="0" applyFill="1" applyAlignment="1">
      <alignment vertical="center" wrapText="1"/>
    </xf>
    <xf numFmtId="0" fontId="0" fillId="12" borderId="0" xfId="0" applyFill="1" applyBorder="1" applyAlignment="1"/>
    <xf numFmtId="0" fontId="0" fillId="3" borderId="13" xfId="0" applyFill="1" applyBorder="1" applyAlignment="1">
      <alignment horizontal="center"/>
    </xf>
    <xf numFmtId="0" fontId="0" fillId="12" borderId="0" xfId="0" applyFill="1" applyBorder="1" applyAlignment="1">
      <alignment horizontal="center"/>
    </xf>
    <xf numFmtId="0" fontId="0" fillId="12" borderId="0" xfId="0" applyFill="1" applyBorder="1" applyAlignment="1">
      <alignment horizontal="right"/>
    </xf>
    <xf numFmtId="0" fontId="3" fillId="12" borderId="0" xfId="0" applyFont="1" applyFill="1" applyBorder="1"/>
    <xf numFmtId="0" fontId="0" fillId="12" borderId="34" xfId="0" applyFill="1" applyBorder="1"/>
    <xf numFmtId="0" fontId="0" fillId="4" borderId="15" xfId="0" applyFill="1" applyBorder="1" applyAlignment="1">
      <alignment horizontal="left"/>
    </xf>
    <xf numFmtId="0" fontId="0" fillId="4" borderId="14" xfId="0" applyFill="1" applyBorder="1" applyAlignment="1">
      <alignment horizontal="left"/>
    </xf>
    <xf numFmtId="0" fontId="0" fillId="23" borderId="14" xfId="0" applyFill="1" applyBorder="1" applyAlignment="1">
      <alignment horizontal="center"/>
    </xf>
    <xf numFmtId="0" fontId="0" fillId="23" borderId="13" xfId="0" applyFill="1" applyBorder="1" applyAlignment="1">
      <alignment horizontal="center"/>
    </xf>
    <xf numFmtId="0" fontId="0" fillId="12" borderId="32" xfId="0" applyFill="1" applyBorder="1" applyAlignment="1"/>
    <xf numFmtId="0" fontId="3" fillId="12" borderId="0" xfId="0" applyFont="1" applyFill="1" applyBorder="1" applyAlignment="1">
      <alignment horizontal="left" vertical="center"/>
    </xf>
    <xf numFmtId="0" fontId="0" fillId="12" borderId="35" xfId="0" applyFill="1" applyBorder="1"/>
    <xf numFmtId="0" fontId="0" fillId="12" borderId="36" xfId="0" applyFill="1" applyBorder="1"/>
    <xf numFmtId="0" fontId="0" fillId="12" borderId="0" xfId="0" applyFill="1" applyBorder="1" applyAlignment="1">
      <alignment horizontal="left"/>
    </xf>
    <xf numFmtId="0" fontId="0" fillId="12" borderId="37" xfId="0" applyFill="1" applyBorder="1"/>
    <xf numFmtId="0" fontId="2" fillId="12" borderId="0" xfId="0" applyFont="1" applyFill="1" applyBorder="1"/>
    <xf numFmtId="0" fontId="2" fillId="18" borderId="7" xfId="0" applyFont="1" applyFill="1" applyBorder="1"/>
    <xf numFmtId="168" fontId="0" fillId="12" borderId="0" xfId="0" applyNumberFormat="1" applyFill="1" applyBorder="1" applyAlignment="1">
      <alignment horizontal="center"/>
    </xf>
    <xf numFmtId="0" fontId="0" fillId="12" borderId="0" xfId="0" applyFill="1" applyBorder="1" applyAlignment="1">
      <alignment horizontal="center" vertical="center"/>
    </xf>
    <xf numFmtId="167" fontId="2" fillId="18" borderId="7" xfId="0" applyNumberFormat="1" applyFont="1" applyFill="1" applyBorder="1"/>
    <xf numFmtId="167" fontId="2" fillId="18" borderId="7" xfId="0" applyNumberFormat="1" applyFont="1" applyFill="1" applyBorder="1" applyAlignment="1">
      <alignment horizontal="center"/>
    </xf>
    <xf numFmtId="0" fontId="2" fillId="18" borderId="9" xfId="0" applyFont="1" applyFill="1" applyBorder="1"/>
    <xf numFmtId="0" fontId="2" fillId="12" borderId="0" xfId="0" applyFont="1" applyFill="1" applyBorder="1" applyAlignment="1"/>
    <xf numFmtId="0" fontId="0" fillId="3" borderId="9" xfId="0" applyFill="1" applyBorder="1" applyAlignment="1"/>
    <xf numFmtId="0" fontId="0" fillId="12" borderId="29" xfId="0" applyFill="1" applyBorder="1" applyAlignment="1">
      <alignment vertical="center" wrapText="1"/>
    </xf>
    <xf numFmtId="0" fontId="0" fillId="12" borderId="38" xfId="0" applyFill="1" applyBorder="1"/>
    <xf numFmtId="0" fontId="0" fillId="12" borderId="32" xfId="0" applyFill="1" applyBorder="1" applyAlignment="1">
      <alignment horizontal="center"/>
    </xf>
    <xf numFmtId="0" fontId="0" fillId="12" borderId="31" xfId="0" applyFill="1" applyBorder="1" applyAlignment="1"/>
    <xf numFmtId="0" fontId="0" fillId="12" borderId="29" xfId="0" applyFill="1" applyBorder="1" applyAlignment="1"/>
    <xf numFmtId="0" fontId="0" fillId="19" borderId="36" xfId="0" applyFill="1" applyBorder="1" applyAlignment="1">
      <alignment horizontal="left"/>
    </xf>
    <xf numFmtId="0" fontId="0" fillId="19" borderId="33" xfId="0" applyFill="1" applyBorder="1" applyAlignment="1">
      <alignment horizontal="left"/>
    </xf>
    <xf numFmtId="0" fontId="0" fillId="3" borderId="12" xfId="0" applyFill="1" applyBorder="1" applyAlignment="1">
      <alignment horizontal="right" vertical="center"/>
    </xf>
    <xf numFmtId="0" fontId="2" fillId="18" borderId="9" xfId="0" applyFont="1" applyFill="1" applyBorder="1" applyAlignment="1">
      <alignment horizontal="right" vertical="center"/>
    </xf>
    <xf numFmtId="167" fontId="2" fillId="18" borderId="7" xfId="0" applyNumberFormat="1" applyFont="1" applyFill="1" applyBorder="1" applyAlignment="1">
      <alignment horizontal="right" vertical="center"/>
    </xf>
    <xf numFmtId="0" fontId="0" fillId="23" borderId="0" xfId="0" applyFill="1"/>
    <xf numFmtId="0" fontId="0" fillId="12" borderId="41" xfId="0" applyFill="1" applyBorder="1"/>
    <xf numFmtId="0" fontId="0" fillId="4" borderId="1" xfId="0" applyFill="1" applyBorder="1" applyAlignment="1">
      <alignment horizontal="center"/>
    </xf>
    <xf numFmtId="0" fontId="0" fillId="12" borderId="3" xfId="0" applyFill="1" applyBorder="1" applyAlignment="1">
      <alignment horizontal="center"/>
    </xf>
    <xf numFmtId="0" fontId="0" fillId="12" borderId="3" xfId="0" applyFill="1" applyBorder="1" applyAlignment="1">
      <alignment horizontal="center" vertical="center"/>
    </xf>
    <xf numFmtId="0" fontId="0" fillId="12" borderId="0" xfId="0" applyFill="1" applyAlignment="1">
      <alignment horizontal="center" vertical="center"/>
    </xf>
    <xf numFmtId="0" fontId="1" fillId="11" borderId="12" xfId="2" applyFill="1" applyBorder="1" applyAlignment="1">
      <alignment horizontal="center" vertical="center"/>
    </xf>
    <xf numFmtId="0" fontId="0" fillId="12" borderId="12" xfId="0" applyFill="1" applyBorder="1" applyAlignment="1">
      <alignment horizontal="center"/>
    </xf>
    <xf numFmtId="0" fontId="11" fillId="4" borderId="0" xfId="5" applyFont="1" applyFill="1" applyBorder="1" applyAlignment="1">
      <alignment horizontal="center" vertical="center" wrapText="1"/>
    </xf>
    <xf numFmtId="0" fontId="0" fillId="4" borderId="1" xfId="0" applyFill="1" applyBorder="1" applyAlignment="1">
      <alignment horizontal="left"/>
    </xf>
    <xf numFmtId="0" fontId="0" fillId="4" borderId="3" xfId="0" applyFill="1" applyBorder="1" applyAlignment="1">
      <alignment horizontal="left"/>
    </xf>
    <xf numFmtId="0" fontId="0" fillId="3" borderId="7" xfId="0" applyFill="1" applyBorder="1" applyAlignment="1"/>
    <xf numFmtId="168" fontId="0" fillId="3" borderId="7" xfId="0" applyNumberFormat="1" applyFill="1" applyBorder="1" applyAlignment="1">
      <alignment horizontal="right" vertical="center"/>
    </xf>
    <xf numFmtId="168" fontId="0" fillId="3" borderId="7" xfId="0" applyNumberFormat="1" applyFill="1" applyBorder="1" applyAlignment="1"/>
    <xf numFmtId="168" fontId="0" fillId="3" borderId="7" xfId="0" applyNumberFormat="1" applyFill="1" applyBorder="1" applyAlignment="1">
      <alignment horizontal="center"/>
    </xf>
    <xf numFmtId="0" fontId="0" fillId="3" borderId="3" xfId="0" applyFill="1" applyBorder="1" applyAlignment="1">
      <alignment vertical="center"/>
    </xf>
    <xf numFmtId="0" fontId="0" fillId="12" borderId="4" xfId="0" applyFill="1" applyBorder="1" applyAlignment="1">
      <alignment horizontal="center"/>
    </xf>
    <xf numFmtId="0" fontId="0" fillId="4" borderId="2" xfId="0" applyFill="1" applyBorder="1"/>
    <xf numFmtId="0" fontId="0" fillId="3" borderId="4" xfId="0" applyFill="1" applyBorder="1" applyAlignment="1"/>
    <xf numFmtId="168" fontId="0" fillId="3" borderId="4" xfId="0" applyNumberFormat="1" applyFill="1" applyBorder="1" applyAlignment="1"/>
    <xf numFmtId="168" fontId="0" fillId="3" borderId="4" xfId="0" applyNumberFormat="1" applyFill="1" applyBorder="1" applyAlignment="1">
      <alignment horizontal="center"/>
    </xf>
    <xf numFmtId="0" fontId="0" fillId="11" borderId="0" xfId="0" applyFill="1" applyAlignment="1">
      <alignment vertical="center"/>
    </xf>
    <xf numFmtId="0" fontId="0" fillId="0" borderId="0" xfId="0" applyAlignment="1">
      <alignment horizontal="center" vertical="center"/>
    </xf>
    <xf numFmtId="0" fontId="0" fillId="4" borderId="1" xfId="0" applyFill="1" applyBorder="1" applyAlignment="1">
      <alignment horizontal="center"/>
    </xf>
    <xf numFmtId="0" fontId="0" fillId="0" borderId="0" xfId="0" applyAlignment="1">
      <alignment horizontal="center"/>
    </xf>
    <xf numFmtId="0" fontId="0" fillId="12" borderId="0" xfId="0" applyFill="1"/>
    <xf numFmtId="0" fontId="0" fillId="0" borderId="0" xfId="0" applyAlignment="1">
      <alignment horizontal="center" vertical="center"/>
    </xf>
    <xf numFmtId="0" fontId="32" fillId="0" borderId="0" xfId="0" applyFont="1"/>
    <xf numFmtId="0" fontId="0" fillId="0" borderId="0" xfId="1"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xf numFmtId="0" fontId="0" fillId="4" borderId="15" xfId="0" applyFill="1" applyBorder="1" applyAlignment="1">
      <alignment horizontal="center" vertical="center"/>
    </xf>
    <xf numFmtId="0" fontId="0" fillId="4" borderId="14" xfId="0" applyFill="1" applyBorder="1" applyAlignment="1">
      <alignment horizontal="center" vertical="center"/>
    </xf>
    <xf numFmtId="0" fontId="0" fillId="0" borderId="0" xfId="1" applyNumberFormat="1" applyFont="1" applyFill="1"/>
    <xf numFmtId="172" fontId="0" fillId="0" borderId="0" xfId="0" applyNumberFormat="1"/>
    <xf numFmtId="166" fontId="0" fillId="0" borderId="0" xfId="0" applyNumberFormat="1"/>
    <xf numFmtId="167" fontId="0" fillId="0" borderId="0" xfId="0" applyNumberFormat="1"/>
    <xf numFmtId="0" fontId="0" fillId="12" borderId="12" xfId="0" applyFill="1" applyBorder="1" applyAlignment="1">
      <alignment horizontal="center" vertical="center"/>
    </xf>
    <xf numFmtId="0" fontId="0" fillId="4" borderId="10" xfId="0" applyFill="1" applyBorder="1" applyAlignment="1">
      <alignment horizontal="left"/>
    </xf>
    <xf numFmtId="0" fontId="0" fillId="11" borderId="14" xfId="0" applyFill="1" applyBorder="1" applyAlignment="1">
      <alignment horizontal="center" vertical="center"/>
    </xf>
    <xf numFmtId="0" fontId="0" fillId="11" borderId="13" xfId="0" applyFill="1" applyBorder="1" applyAlignment="1">
      <alignment horizontal="center" vertical="center"/>
    </xf>
    <xf numFmtId="0" fontId="0" fillId="19" borderId="0" xfId="0" applyFill="1" applyAlignment="1">
      <alignment horizontal="center" vertical="center"/>
    </xf>
    <xf numFmtId="0" fontId="0" fillId="12" borderId="3" xfId="0" applyFill="1" applyBorder="1" applyAlignment="1">
      <alignment horizontal="center"/>
    </xf>
    <xf numFmtId="0" fontId="0" fillId="12" borderId="0" xfId="0" applyFill="1" applyBorder="1" applyAlignment="1">
      <alignment horizontal="center"/>
    </xf>
    <xf numFmtId="0" fontId="0" fillId="12" borderId="3" xfId="0" applyFill="1" applyBorder="1" applyAlignment="1">
      <alignment horizontal="center" vertical="center"/>
    </xf>
    <xf numFmtId="0" fontId="0" fillId="12" borderId="1" xfId="0" applyFill="1" applyBorder="1" applyAlignment="1">
      <alignment horizontal="center" vertical="center"/>
    </xf>
    <xf numFmtId="0" fontId="0" fillId="12" borderId="0" xfId="0" applyFill="1" applyBorder="1" applyAlignment="1">
      <alignment horizontal="left"/>
    </xf>
    <xf numFmtId="0" fontId="0" fillId="11" borderId="12" xfId="0" applyFill="1" applyBorder="1" applyAlignment="1">
      <alignment horizontal="center" vertical="center"/>
    </xf>
    <xf numFmtId="0" fontId="0" fillId="11" borderId="7" xfId="0" applyFill="1" applyBorder="1" applyAlignment="1">
      <alignment horizontal="center" vertical="center"/>
    </xf>
    <xf numFmtId="0" fontId="0" fillId="11" borderId="14" xfId="0" applyFill="1" applyBorder="1" applyAlignment="1">
      <alignment horizontal="center"/>
    </xf>
    <xf numFmtId="6" fontId="0" fillId="0" borderId="0" xfId="0" applyNumberFormat="1" applyAlignment="1">
      <alignment horizontal="center" vertical="center"/>
    </xf>
    <xf numFmtId="0" fontId="33" fillId="9" borderId="11" xfId="8" applyFont="1" applyFill="1" applyBorder="1" applyAlignment="1">
      <alignment horizontal="left"/>
    </xf>
    <xf numFmtId="0" fontId="33" fillId="9" borderId="6" xfId="8" applyFont="1" applyFill="1" applyBorder="1" applyAlignment="1">
      <alignment horizontal="left" vertical="center"/>
    </xf>
    <xf numFmtId="0" fontId="0" fillId="11" borderId="9" xfId="0" applyFill="1" applyBorder="1" applyAlignment="1">
      <alignment horizontal="left" vertical="center"/>
    </xf>
    <xf numFmtId="0" fontId="0" fillId="11" borderId="7" xfId="0" applyFill="1" applyBorder="1" applyAlignment="1">
      <alignment horizontal="left" vertical="center"/>
    </xf>
    <xf numFmtId="0" fontId="0" fillId="3" borderId="7" xfId="0" applyFill="1" applyBorder="1" applyAlignment="1">
      <alignment horizontal="center"/>
    </xf>
    <xf numFmtId="0" fontId="0" fillId="3" borderId="0" xfId="0" applyFill="1" applyAlignment="1">
      <alignment vertical="center"/>
    </xf>
    <xf numFmtId="0" fontId="33" fillId="22" borderId="11" xfId="8" applyFont="1" applyFill="1" applyBorder="1" applyAlignment="1">
      <alignment horizontal="left"/>
    </xf>
    <xf numFmtId="0" fontId="22" fillId="22" borderId="10" xfId="8" applyFont="1" applyFill="1" applyBorder="1" applyAlignment="1">
      <alignment horizontal="left"/>
    </xf>
    <xf numFmtId="0" fontId="14" fillId="22" borderId="15" xfId="7" applyFill="1" applyBorder="1" applyAlignment="1">
      <alignment horizontal="left"/>
    </xf>
    <xf numFmtId="0" fontId="2" fillId="18" borderId="0" xfId="0" applyFont="1" applyFill="1" applyAlignment="1">
      <alignment horizontal="right" vertical="center" wrapText="1"/>
    </xf>
    <xf numFmtId="0" fontId="2" fillId="18" borderId="0" xfId="0" applyFont="1" applyFill="1" applyAlignment="1">
      <alignment vertical="center"/>
    </xf>
    <xf numFmtId="0" fontId="35" fillId="19" borderId="0" xfId="0" applyFont="1" applyFill="1" applyBorder="1" applyAlignment="1">
      <alignment vertical="center"/>
    </xf>
    <xf numFmtId="0" fontId="0" fillId="19" borderId="0" xfId="0" applyFill="1" applyAlignment="1">
      <alignment vertical="center"/>
    </xf>
    <xf numFmtId="0" fontId="0" fillId="19" borderId="0" xfId="0" applyFill="1" applyAlignment="1">
      <alignment horizontal="left" vertical="center"/>
    </xf>
    <xf numFmtId="0" fontId="0" fillId="19" borderId="0" xfId="0" applyFont="1" applyFill="1" applyBorder="1" applyAlignment="1">
      <alignment horizontal="center" vertical="center"/>
    </xf>
    <xf numFmtId="0" fontId="0" fillId="19" borderId="0" xfId="0" applyFill="1" applyBorder="1" applyAlignment="1">
      <alignment horizontal="center" vertical="center"/>
    </xf>
    <xf numFmtId="167" fontId="0" fillId="19" borderId="0" xfId="0" applyNumberFormat="1" applyFont="1" applyFill="1" applyBorder="1" applyAlignment="1">
      <alignment horizontal="center" vertical="center"/>
    </xf>
    <xf numFmtId="168" fontId="0" fillId="25" borderId="5" xfId="0" applyNumberFormat="1" applyFill="1" applyBorder="1" applyAlignment="1">
      <alignment horizontal="center" vertical="center"/>
    </xf>
    <xf numFmtId="168" fontId="0" fillId="25" borderId="13" xfId="0" applyNumberFormat="1" applyFill="1" applyBorder="1" applyAlignment="1">
      <alignment horizontal="center" vertical="center"/>
    </xf>
    <xf numFmtId="0" fontId="37" fillId="19" borderId="0" xfId="0" applyFont="1" applyFill="1" applyBorder="1" applyAlignment="1">
      <alignment horizontal="center" vertical="center" textRotation="90"/>
    </xf>
    <xf numFmtId="0" fontId="0" fillId="25" borderId="11" xfId="0" applyFill="1" applyBorder="1" applyAlignment="1">
      <alignment horizontal="center" vertical="center"/>
    </xf>
    <xf numFmtId="0" fontId="0" fillId="25" borderId="8" xfId="0" applyFill="1" applyBorder="1" applyAlignment="1">
      <alignment horizontal="center" vertical="center"/>
    </xf>
    <xf numFmtId="0" fontId="0" fillId="19" borderId="8" xfId="0" applyFill="1" applyBorder="1" applyAlignment="1">
      <alignment horizontal="center" vertical="center"/>
    </xf>
    <xf numFmtId="0" fontId="0" fillId="19" borderId="10" xfId="0" applyFill="1" applyBorder="1" applyAlignment="1">
      <alignment horizontal="center" vertical="center"/>
    </xf>
    <xf numFmtId="0" fontId="0" fillId="19" borderId="15" xfId="0" applyFill="1" applyBorder="1" applyAlignment="1">
      <alignment horizontal="center" vertical="center"/>
    </xf>
    <xf numFmtId="0" fontId="0" fillId="19" borderId="14" xfId="0" applyFill="1" applyBorder="1" applyAlignment="1">
      <alignment horizontal="center" vertical="center"/>
    </xf>
    <xf numFmtId="167" fontId="0" fillId="19" borderId="5" xfId="0" applyNumberFormat="1" applyFill="1" applyBorder="1" applyAlignment="1">
      <alignment horizontal="center" vertical="center"/>
    </xf>
    <xf numFmtId="167" fontId="0" fillId="19" borderId="13" xfId="0" applyNumberFormat="1" applyFill="1" applyBorder="1" applyAlignment="1">
      <alignment horizontal="center" vertical="center"/>
    </xf>
    <xf numFmtId="0" fontId="2" fillId="26" borderId="8" xfId="0" applyFont="1" applyFill="1" applyBorder="1" applyAlignment="1">
      <alignment horizontal="center" vertical="center"/>
    </xf>
    <xf numFmtId="170" fontId="0" fillId="0" borderId="0" xfId="0" applyNumberFormat="1"/>
    <xf numFmtId="0" fontId="0" fillId="11" borderId="0" xfId="0" applyFill="1" applyBorder="1" applyAlignment="1">
      <alignment vertical="center"/>
    </xf>
    <xf numFmtId="0" fontId="0" fillId="11" borderId="5" xfId="0" applyFill="1" applyBorder="1" applyAlignment="1">
      <alignment horizontal="center" vertical="center"/>
    </xf>
    <xf numFmtId="0" fontId="0" fillId="11" borderId="3" xfId="0" applyFill="1" applyBorder="1" applyAlignment="1">
      <alignment horizontal="left" vertical="center"/>
    </xf>
    <xf numFmtId="0" fontId="0" fillId="11" borderId="3" xfId="0" applyFill="1" applyBorder="1" applyAlignment="1">
      <alignment horizontal="center" vertical="center"/>
    </xf>
    <xf numFmtId="0" fontId="0" fillId="11" borderId="2" xfId="0" applyFont="1" applyFill="1" applyBorder="1" applyAlignment="1">
      <alignment horizontal="center" vertical="center"/>
    </xf>
    <xf numFmtId="0" fontId="0" fillId="11" borderId="1" xfId="0" applyFont="1" applyFill="1" applyBorder="1" applyAlignment="1">
      <alignment horizontal="center" vertical="center"/>
    </xf>
    <xf numFmtId="0" fontId="3" fillId="11" borderId="11" xfId="0" applyFont="1" applyFill="1" applyBorder="1" applyAlignment="1">
      <alignment vertical="center"/>
    </xf>
    <xf numFmtId="0" fontId="3" fillId="11" borderId="15" xfId="0" applyFont="1" applyFill="1" applyBorder="1" applyAlignment="1">
      <alignment vertical="center"/>
    </xf>
    <xf numFmtId="0" fontId="0" fillId="10" borderId="11" xfId="0" applyFill="1" applyBorder="1" applyAlignment="1">
      <alignment vertical="center"/>
    </xf>
    <xf numFmtId="0" fontId="0" fillId="10" borderId="15" xfId="0" applyFill="1" applyBorder="1" applyAlignment="1">
      <alignment vertical="center"/>
    </xf>
    <xf numFmtId="0" fontId="0" fillId="11" borderId="10" xfId="0" applyFill="1" applyBorder="1" applyAlignment="1">
      <alignment vertical="center"/>
    </xf>
    <xf numFmtId="0" fontId="0" fillId="10" borderId="11" xfId="0" applyFill="1" applyBorder="1" applyAlignment="1">
      <alignment horizontal="left" vertical="center"/>
    </xf>
    <xf numFmtId="0" fontId="0" fillId="10" borderId="15" xfId="0" applyFill="1" applyBorder="1" applyAlignment="1">
      <alignment horizontal="left" vertical="center"/>
    </xf>
    <xf numFmtId="0" fontId="3" fillId="11" borderId="6" xfId="0" applyFont="1" applyFill="1" applyBorder="1" applyAlignment="1">
      <alignment vertical="center"/>
    </xf>
    <xf numFmtId="0" fontId="3" fillId="11" borderId="13" xfId="0" applyFont="1" applyFill="1" applyBorder="1" applyAlignment="1">
      <alignment vertical="center"/>
    </xf>
    <xf numFmtId="0" fontId="0" fillId="13" borderId="6" xfId="0" applyFill="1" applyBorder="1" applyAlignment="1">
      <alignment vertical="center"/>
    </xf>
    <xf numFmtId="0" fontId="0" fillId="11" borderId="13" xfId="0" applyFill="1" applyBorder="1" applyAlignment="1">
      <alignment vertical="center"/>
    </xf>
    <xf numFmtId="0" fontId="0" fillId="11" borderId="5" xfId="0" applyFill="1" applyBorder="1" applyAlignment="1">
      <alignment vertical="center"/>
    </xf>
    <xf numFmtId="0" fontId="0" fillId="11" borderId="3" xfId="0" applyFill="1" applyBorder="1" applyAlignment="1">
      <alignment vertical="center"/>
    </xf>
    <xf numFmtId="0" fontId="0" fillId="11" borderId="2" xfId="0" applyFill="1" applyBorder="1" applyAlignment="1">
      <alignment vertical="center"/>
    </xf>
    <xf numFmtId="0" fontId="0" fillId="11" borderId="1" xfId="0" applyFill="1" applyBorder="1" applyAlignment="1">
      <alignment vertical="center"/>
    </xf>
    <xf numFmtId="0" fontId="0" fillId="10" borderId="8" xfId="0" applyFill="1" applyBorder="1" applyAlignment="1">
      <alignment horizontal="center" vertical="center"/>
    </xf>
    <xf numFmtId="0" fontId="0" fillId="11" borderId="15" xfId="0" applyFill="1" applyBorder="1" applyAlignment="1">
      <alignment vertical="center"/>
    </xf>
    <xf numFmtId="0" fontId="0" fillId="10" borderId="11" xfId="0" applyFill="1" applyBorder="1" applyAlignment="1">
      <alignment horizontal="center" vertical="center"/>
    </xf>
    <xf numFmtId="0" fontId="3" fillId="11" borderId="8" xfId="0" applyFont="1" applyFill="1" applyBorder="1" applyAlignment="1">
      <alignment vertical="center"/>
    </xf>
    <xf numFmtId="0" fontId="3" fillId="11" borderId="0" xfId="0" applyFont="1" applyFill="1" applyBorder="1" applyAlignment="1">
      <alignment vertical="center"/>
    </xf>
    <xf numFmtId="0" fontId="0" fillId="11" borderId="8" xfId="0" applyFill="1" applyBorder="1" applyAlignment="1">
      <alignment vertical="center"/>
    </xf>
    <xf numFmtId="0" fontId="0" fillId="11" borderId="14" xfId="0" applyFill="1" applyBorder="1" applyAlignment="1">
      <alignment vertical="center"/>
    </xf>
    <xf numFmtId="0" fontId="3" fillId="11" borderId="9" xfId="0" applyFont="1" applyFill="1" applyBorder="1" applyAlignment="1">
      <alignment vertical="center"/>
    </xf>
    <xf numFmtId="0" fontId="3" fillId="11" borderId="14" xfId="0" applyFont="1" applyFill="1" applyBorder="1" applyAlignment="1">
      <alignment vertical="center"/>
    </xf>
    <xf numFmtId="0" fontId="3" fillId="11" borderId="7" xfId="0" applyFont="1" applyFill="1" applyBorder="1" applyAlignment="1">
      <alignment vertical="center"/>
    </xf>
    <xf numFmtId="0" fontId="0" fillId="11" borderId="6" xfId="0" applyFill="1" applyBorder="1" applyAlignment="1">
      <alignment vertical="center"/>
    </xf>
    <xf numFmtId="0" fontId="0" fillId="13" borderId="8" xfId="0" applyFill="1" applyBorder="1" applyAlignment="1">
      <alignment vertical="center"/>
    </xf>
    <xf numFmtId="0" fontId="3" fillId="11" borderId="5" xfId="0" applyFont="1" applyFill="1" applyBorder="1" applyAlignment="1">
      <alignment vertical="center"/>
    </xf>
    <xf numFmtId="0" fontId="0" fillId="11" borderId="11" xfId="0" applyFill="1" applyBorder="1" applyAlignment="1">
      <alignment vertical="center"/>
    </xf>
    <xf numFmtId="0" fontId="0" fillId="3" borderId="3" xfId="0" applyFill="1" applyBorder="1" applyAlignment="1">
      <alignment horizontal="center" vertical="center"/>
    </xf>
    <xf numFmtId="0" fontId="0" fillId="3" borderId="2" xfId="0" applyFill="1" applyBorder="1" applyAlignment="1">
      <alignment vertical="center"/>
    </xf>
    <xf numFmtId="0" fontId="0" fillId="3" borderId="1" xfId="0" applyFill="1" applyBorder="1" applyAlignment="1">
      <alignment vertical="center"/>
    </xf>
    <xf numFmtId="0" fontId="0" fillId="3" borderId="3" xfId="0" applyFont="1" applyFill="1" applyBorder="1" applyAlignment="1">
      <alignment vertical="center"/>
    </xf>
    <xf numFmtId="0" fontId="3" fillId="3" borderId="2" xfId="0" applyFont="1" applyFill="1" applyBorder="1" applyAlignment="1">
      <alignment vertical="center"/>
    </xf>
    <xf numFmtId="0" fontId="0" fillId="14" borderId="8" xfId="0" applyFill="1" applyBorder="1" applyAlignment="1">
      <alignment horizontal="center" vertical="center"/>
    </xf>
    <xf numFmtId="0" fontId="0" fillId="3" borderId="15" xfId="0" applyFill="1" applyBorder="1" applyAlignment="1">
      <alignment vertical="center"/>
    </xf>
    <xf numFmtId="0" fontId="3" fillId="3" borderId="11" xfId="0" applyFont="1" applyFill="1" applyBorder="1" applyAlignment="1">
      <alignment vertical="center"/>
    </xf>
    <xf numFmtId="0" fontId="0" fillId="3" borderId="10" xfId="0" applyFill="1" applyBorder="1" applyAlignment="1">
      <alignment vertical="center"/>
    </xf>
    <xf numFmtId="0" fontId="3" fillId="3" borderId="8" xfId="0" applyFont="1" applyFill="1" applyBorder="1" applyAlignment="1">
      <alignment vertical="center"/>
    </xf>
    <xf numFmtId="0" fontId="3" fillId="3" borderId="0" xfId="0" applyFont="1" applyFill="1" applyBorder="1" applyAlignment="1">
      <alignment vertical="center"/>
    </xf>
    <xf numFmtId="0" fontId="0" fillId="3" borderId="8" xfId="0" applyFill="1" applyBorder="1" applyAlignment="1">
      <alignment vertical="center"/>
    </xf>
    <xf numFmtId="0" fontId="0" fillId="3" borderId="14" xfId="0" applyFill="1" applyBorder="1" applyAlignment="1">
      <alignment vertical="center"/>
    </xf>
    <xf numFmtId="0" fontId="3" fillId="3" borderId="6" xfId="0" applyFont="1" applyFill="1" applyBorder="1" applyAlignment="1">
      <alignment vertical="center"/>
    </xf>
    <xf numFmtId="0" fontId="0" fillId="3" borderId="5" xfId="0" applyFill="1" applyBorder="1" applyAlignment="1">
      <alignment vertical="center"/>
    </xf>
    <xf numFmtId="0" fontId="0" fillId="15" borderId="6" xfId="0" applyFill="1" applyBorder="1" applyAlignment="1">
      <alignment vertical="center"/>
    </xf>
    <xf numFmtId="0" fontId="0" fillId="3" borderId="13" xfId="0" applyFill="1" applyBorder="1" applyAlignment="1">
      <alignment vertical="center"/>
    </xf>
    <xf numFmtId="0" fontId="0" fillId="15" borderId="8" xfId="0" applyFill="1" applyBorder="1" applyAlignment="1">
      <alignment vertical="center"/>
    </xf>
    <xf numFmtId="0" fontId="0" fillId="3" borderId="0" xfId="0" applyFill="1" applyBorder="1" applyAlignment="1">
      <alignment vertical="center"/>
    </xf>
    <xf numFmtId="0" fontId="3" fillId="3" borderId="5" xfId="0" applyFont="1" applyFill="1" applyBorder="1" applyAlignment="1">
      <alignment vertical="center"/>
    </xf>
    <xf numFmtId="0" fontId="0" fillId="3" borderId="6" xfId="0" applyFill="1" applyBorder="1" applyAlignment="1">
      <alignment vertical="center"/>
    </xf>
    <xf numFmtId="0" fontId="0" fillId="3" borderId="11" xfId="0" applyFill="1" applyBorder="1" applyAlignment="1">
      <alignment vertical="center"/>
    </xf>
    <xf numFmtId="0" fontId="0" fillId="19" borderId="0" xfId="0" applyFill="1" applyBorder="1" applyAlignment="1">
      <alignment vertical="center"/>
    </xf>
    <xf numFmtId="0" fontId="0" fillId="19" borderId="0" xfId="0" applyFont="1" applyFill="1" applyBorder="1" applyAlignment="1">
      <alignment vertical="center"/>
    </xf>
    <xf numFmtId="0" fontId="2" fillId="18" borderId="0" xfId="0" applyFont="1" applyFill="1" applyBorder="1" applyAlignment="1">
      <alignment vertical="center"/>
    </xf>
    <xf numFmtId="0" fontId="15" fillId="19" borderId="0" xfId="0" applyFont="1" applyFill="1" applyAlignment="1">
      <alignment vertical="center"/>
    </xf>
    <xf numFmtId="0" fontId="2" fillId="18" borderId="0" xfId="0" applyFont="1" applyFill="1" applyAlignment="1">
      <alignment horizontal="left" vertical="center"/>
    </xf>
    <xf numFmtId="0" fontId="2" fillId="18" borderId="0" xfId="0" applyFont="1" applyFill="1" applyBorder="1" applyAlignment="1">
      <alignment horizontal="left" vertical="center"/>
    </xf>
    <xf numFmtId="0" fontId="3" fillId="19" borderId="0" xfId="0" applyFont="1" applyFill="1" applyBorder="1" applyAlignment="1">
      <alignment vertical="center"/>
    </xf>
    <xf numFmtId="0" fontId="0" fillId="19" borderId="0" xfId="0" applyFont="1" applyFill="1" applyBorder="1" applyAlignment="1">
      <alignment horizontal="left" vertical="center"/>
    </xf>
    <xf numFmtId="0" fontId="0" fillId="19" borderId="3" xfId="0" applyFont="1" applyFill="1" applyBorder="1" applyAlignment="1">
      <alignment vertical="center"/>
    </xf>
    <xf numFmtId="0" fontId="3" fillId="19" borderId="2" xfId="0" applyFont="1" applyFill="1" applyBorder="1" applyAlignment="1">
      <alignment vertical="center"/>
    </xf>
    <xf numFmtId="0" fontId="0" fillId="19" borderId="1" xfId="0" applyFill="1" applyBorder="1" applyAlignment="1">
      <alignment vertical="center"/>
    </xf>
    <xf numFmtId="0" fontId="3" fillId="19" borderId="11" xfId="0" applyFont="1" applyFill="1" applyBorder="1" applyAlignment="1">
      <alignment vertical="center"/>
    </xf>
    <xf numFmtId="0" fontId="0" fillId="19" borderId="10" xfId="0" applyFill="1" applyBorder="1" applyAlignment="1">
      <alignment vertical="center"/>
    </xf>
    <xf numFmtId="0" fontId="0" fillId="25" borderId="11" xfId="0" applyFill="1" applyBorder="1" applyAlignment="1">
      <alignment vertical="center"/>
    </xf>
    <xf numFmtId="0" fontId="0" fillId="25" borderId="15" xfId="0" applyFill="1" applyBorder="1" applyAlignment="1">
      <alignment vertical="center"/>
    </xf>
    <xf numFmtId="0" fontId="0" fillId="19" borderId="15" xfId="0" applyFill="1" applyBorder="1" applyAlignment="1">
      <alignment vertical="center"/>
    </xf>
    <xf numFmtId="0" fontId="3" fillId="19" borderId="8" xfId="0" applyFont="1" applyFill="1" applyBorder="1" applyAlignment="1">
      <alignment vertical="center"/>
    </xf>
    <xf numFmtId="0" fontId="4" fillId="26" borderId="8" xfId="0" applyFont="1" applyFill="1" applyBorder="1" applyAlignment="1">
      <alignment horizontal="center" vertical="center"/>
    </xf>
    <xf numFmtId="0" fontId="0" fillId="19" borderId="14" xfId="0" applyFill="1" applyBorder="1" applyAlignment="1">
      <alignment vertical="center"/>
    </xf>
    <xf numFmtId="0" fontId="3" fillId="19" borderId="6" xfId="0" applyFont="1" applyFill="1" applyBorder="1" applyAlignment="1">
      <alignment vertical="center"/>
    </xf>
    <xf numFmtId="0" fontId="3" fillId="19" borderId="5" xfId="0" applyFont="1" applyFill="1" applyBorder="1" applyAlignment="1">
      <alignment vertical="center"/>
    </xf>
    <xf numFmtId="0" fontId="4" fillId="26" borderId="6" xfId="0" applyFont="1" applyFill="1" applyBorder="1" applyAlignment="1">
      <alignment horizontal="center" vertical="center"/>
    </xf>
    <xf numFmtId="0" fontId="0" fillId="19" borderId="13" xfId="0" applyFill="1" applyBorder="1" applyAlignment="1">
      <alignment vertical="center"/>
    </xf>
    <xf numFmtId="0" fontId="3" fillId="19" borderId="14" xfId="0" applyFont="1" applyFill="1" applyBorder="1" applyAlignment="1">
      <alignment vertical="center"/>
    </xf>
    <xf numFmtId="3" fontId="0" fillId="19" borderId="0" xfId="0" applyNumberFormat="1" applyFont="1" applyFill="1" applyBorder="1" applyAlignment="1">
      <alignment vertical="center"/>
    </xf>
    <xf numFmtId="0" fontId="3" fillId="19" borderId="13" xfId="0" applyFont="1" applyFill="1" applyBorder="1" applyAlignment="1">
      <alignment vertical="center"/>
    </xf>
    <xf numFmtId="0" fontId="0" fillId="19" borderId="5" xfId="0" applyFill="1" applyBorder="1" applyAlignment="1">
      <alignment vertical="center"/>
    </xf>
    <xf numFmtId="0" fontId="4" fillId="26" borderId="6" xfId="0" applyFont="1" applyFill="1" applyBorder="1" applyAlignment="1">
      <alignment vertical="center"/>
    </xf>
    <xf numFmtId="0" fontId="0" fillId="19" borderId="2" xfId="0" applyFont="1" applyFill="1" applyBorder="1" applyAlignment="1">
      <alignment vertical="center"/>
    </xf>
    <xf numFmtId="0" fontId="0" fillId="19" borderId="1" xfId="0" applyFont="1" applyFill="1" applyBorder="1" applyAlignment="1">
      <alignment vertical="center"/>
    </xf>
    <xf numFmtId="0" fontId="0" fillId="19" borderId="8" xfId="0" applyFill="1" applyBorder="1" applyAlignment="1">
      <alignment vertical="center"/>
    </xf>
    <xf numFmtId="0" fontId="4" fillId="19" borderId="0" xfId="0" applyFont="1" applyFill="1" applyBorder="1" applyAlignment="1">
      <alignment vertical="center"/>
    </xf>
    <xf numFmtId="0" fontId="0" fillId="19" borderId="11" xfId="0" applyFill="1" applyBorder="1" applyAlignment="1">
      <alignment vertical="center"/>
    </xf>
    <xf numFmtId="0" fontId="0" fillId="19" borderId="6" xfId="0" applyFill="1" applyBorder="1" applyAlignment="1">
      <alignment vertical="center"/>
    </xf>
    <xf numFmtId="0" fontId="3" fillId="24" borderId="0" xfId="0" applyFont="1" applyFill="1" applyAlignment="1">
      <alignment vertical="center"/>
    </xf>
    <xf numFmtId="0" fontId="0" fillId="24" borderId="0" xfId="0" applyFill="1" applyAlignment="1">
      <alignment vertical="center"/>
    </xf>
    <xf numFmtId="0" fontId="0" fillId="27" borderId="0" xfId="0" applyFill="1" applyAlignment="1">
      <alignment vertical="center"/>
    </xf>
    <xf numFmtId="0" fontId="0" fillId="27" borderId="0" xfId="0" applyFont="1" applyFill="1" applyBorder="1" applyAlignment="1">
      <alignment vertical="center"/>
    </xf>
    <xf numFmtId="0" fontId="0" fillId="27" borderId="0" xfId="0" applyFill="1" applyBorder="1" applyAlignment="1">
      <alignment vertical="center"/>
    </xf>
    <xf numFmtId="0" fontId="3" fillId="27" borderId="2" xfId="0" applyFont="1" applyFill="1" applyBorder="1" applyAlignment="1">
      <alignment vertical="center"/>
    </xf>
    <xf numFmtId="0" fontId="3" fillId="27" borderId="11" xfId="0" applyFont="1" applyFill="1" applyBorder="1" applyAlignment="1">
      <alignment vertical="center"/>
    </xf>
    <xf numFmtId="0" fontId="3" fillId="27" borderId="6" xfId="0" applyFont="1" applyFill="1" applyBorder="1" applyAlignment="1">
      <alignment vertical="center"/>
    </xf>
    <xf numFmtId="0" fontId="3" fillId="27" borderId="8" xfId="0" applyFont="1" applyFill="1" applyBorder="1" applyAlignment="1">
      <alignment vertical="center"/>
    </xf>
    <xf numFmtId="0" fontId="36" fillId="27" borderId="0" xfId="0" applyFont="1" applyFill="1" applyBorder="1" applyAlignment="1">
      <alignment vertical="center"/>
    </xf>
    <xf numFmtId="168" fontId="0" fillId="27" borderId="0" xfId="0" applyNumberFormat="1" applyFill="1" applyBorder="1" applyAlignment="1">
      <alignment vertical="center"/>
    </xf>
    <xf numFmtId="168" fontId="0" fillId="27" borderId="0" xfId="0" applyNumberFormat="1" applyFill="1" applyBorder="1" applyAlignment="1">
      <alignment horizontal="center" vertical="center"/>
    </xf>
    <xf numFmtId="0" fontId="3" fillId="27" borderId="3" xfId="0" applyFont="1" applyFill="1" applyBorder="1" applyAlignment="1">
      <alignment vertical="center"/>
    </xf>
    <xf numFmtId="0" fontId="3" fillId="27" borderId="1" xfId="0" applyFont="1" applyFill="1" applyBorder="1" applyAlignment="1">
      <alignment vertical="center"/>
    </xf>
    <xf numFmtId="0" fontId="0" fillId="27" borderId="10" xfId="0" applyFont="1" applyFill="1" applyBorder="1" applyAlignment="1">
      <alignment vertical="center"/>
    </xf>
    <xf numFmtId="0" fontId="0" fillId="27" borderId="5" xfId="0" applyFont="1" applyFill="1" applyBorder="1" applyAlignment="1">
      <alignment vertical="center"/>
    </xf>
    <xf numFmtId="168" fontId="0" fillId="28" borderId="13" xfId="0" applyNumberFormat="1" applyFont="1" applyFill="1" applyBorder="1" applyAlignment="1">
      <alignment horizontal="center" vertical="center"/>
    </xf>
    <xf numFmtId="0" fontId="3" fillId="29" borderId="8" xfId="0" applyFont="1" applyFill="1" applyBorder="1" applyAlignment="1">
      <alignment vertical="center"/>
    </xf>
    <xf numFmtId="0" fontId="3" fillId="29" borderId="6" xfId="0" applyFont="1" applyFill="1" applyBorder="1" applyAlignment="1">
      <alignment vertical="center"/>
    </xf>
    <xf numFmtId="0" fontId="0" fillId="29" borderId="3" xfId="0" applyFont="1" applyFill="1" applyBorder="1" applyAlignment="1">
      <alignment vertical="center"/>
    </xf>
    <xf numFmtId="0" fontId="3" fillId="29" borderId="2" xfId="0" applyFont="1" applyFill="1" applyBorder="1" applyAlignment="1">
      <alignment vertical="center"/>
    </xf>
    <xf numFmtId="0" fontId="0" fillId="29" borderId="1" xfId="0" applyFill="1" applyBorder="1" applyAlignment="1">
      <alignment vertical="center"/>
    </xf>
    <xf numFmtId="0" fontId="3" fillId="29" borderId="11" xfId="0" applyFont="1" applyFill="1" applyBorder="1" applyAlignment="1">
      <alignment vertical="center"/>
    </xf>
    <xf numFmtId="0" fontId="0" fillId="29" borderId="10" xfId="0" applyFill="1" applyBorder="1" applyAlignment="1">
      <alignment vertical="center"/>
    </xf>
    <xf numFmtId="0" fontId="0" fillId="29" borderId="11" xfId="0" applyFill="1" applyBorder="1" applyAlignment="1">
      <alignment vertical="center"/>
    </xf>
    <xf numFmtId="0" fontId="0" fillId="29" borderId="15" xfId="0" applyFill="1" applyBorder="1" applyAlignment="1">
      <alignment vertical="center"/>
    </xf>
    <xf numFmtId="0" fontId="3" fillId="29" borderId="0" xfId="0" applyFont="1" applyFill="1" applyBorder="1" applyAlignment="1">
      <alignment vertical="center"/>
    </xf>
    <xf numFmtId="0" fontId="0" fillId="29" borderId="14" xfId="0" applyFill="1" applyBorder="1" applyAlignment="1">
      <alignment vertical="center"/>
    </xf>
    <xf numFmtId="0" fontId="3" fillId="29" borderId="5" xfId="0" applyFont="1" applyFill="1" applyBorder="1" applyAlignment="1">
      <alignment vertical="center"/>
    </xf>
    <xf numFmtId="0" fontId="0" fillId="29" borderId="13" xfId="0" applyFill="1" applyBorder="1" applyAlignment="1">
      <alignment vertical="center"/>
    </xf>
    <xf numFmtId="0" fontId="0" fillId="29" borderId="11" xfId="0" applyFill="1" applyBorder="1" applyAlignment="1">
      <alignment horizontal="center" vertical="center"/>
    </xf>
    <xf numFmtId="0" fontId="0" fillId="28" borderId="8" xfId="0" applyFont="1" applyFill="1" applyBorder="1" applyAlignment="1">
      <alignment horizontal="center" vertical="center"/>
    </xf>
    <xf numFmtId="0" fontId="0" fillId="28" borderId="6" xfId="0" applyFont="1" applyFill="1" applyBorder="1" applyAlignment="1">
      <alignment horizontal="center" vertical="center"/>
    </xf>
    <xf numFmtId="168" fontId="0" fillId="28" borderId="14" xfId="0" applyNumberFormat="1" applyFont="1" applyFill="1" applyBorder="1" applyAlignment="1">
      <alignment horizontal="center" vertical="center"/>
    </xf>
    <xf numFmtId="0" fontId="0" fillId="29" borderId="10" xfId="0" applyFill="1" applyBorder="1" applyAlignment="1">
      <alignment horizontal="center" vertical="center"/>
    </xf>
    <xf numFmtId="0" fontId="0" fillId="29" borderId="15" xfId="0" applyFill="1" applyBorder="1" applyAlignment="1">
      <alignment horizontal="center" vertical="center"/>
    </xf>
    <xf numFmtId="0" fontId="0" fillId="29" borderId="8" xfId="0" applyFill="1" applyBorder="1" applyAlignment="1">
      <alignment vertical="center"/>
    </xf>
    <xf numFmtId="0" fontId="0" fillId="29" borderId="0" xfId="0" applyFill="1" applyBorder="1" applyAlignment="1">
      <alignment vertical="center"/>
    </xf>
    <xf numFmtId="0" fontId="0" fillId="29" borderId="0" xfId="0" applyFill="1" applyBorder="1" applyAlignment="1">
      <alignment horizontal="center" vertical="center"/>
    </xf>
    <xf numFmtId="0" fontId="0" fillId="29" borderId="14" xfId="0" applyFill="1" applyBorder="1" applyAlignment="1">
      <alignment horizontal="center" vertical="center"/>
    </xf>
    <xf numFmtId="0" fontId="0" fillId="29" borderId="6" xfId="0" applyFill="1" applyBorder="1" applyAlignment="1">
      <alignment vertical="center"/>
    </xf>
    <xf numFmtId="0" fontId="0" fillId="29" borderId="5" xfId="0" applyFill="1" applyBorder="1" applyAlignment="1">
      <alignment vertical="center"/>
    </xf>
    <xf numFmtId="167" fontId="0" fillId="29" borderId="5" xfId="0" applyNumberFormat="1" applyFill="1" applyBorder="1" applyAlignment="1">
      <alignment horizontal="center" vertical="center"/>
    </xf>
    <xf numFmtId="167" fontId="0" fillId="29" borderId="13" xfId="0" applyNumberFormat="1" applyFill="1" applyBorder="1" applyAlignment="1">
      <alignment horizontal="center" vertical="center"/>
    </xf>
    <xf numFmtId="0" fontId="0" fillId="3" borderId="12" xfId="0" applyFill="1" applyBorder="1" applyAlignment="1">
      <alignment horizontal="center" vertical="center"/>
    </xf>
    <xf numFmtId="0" fontId="0" fillId="3" borderId="7" xfId="0" applyFill="1" applyBorder="1" applyAlignment="1">
      <alignment horizontal="center" vertical="center"/>
    </xf>
    <xf numFmtId="0" fontId="0" fillId="30" borderId="0" xfId="0" applyFill="1" applyAlignment="1">
      <alignment vertical="center"/>
    </xf>
    <xf numFmtId="0" fontId="0" fillId="31" borderId="0" xfId="0" applyFill="1" applyAlignment="1">
      <alignment vertical="center"/>
    </xf>
    <xf numFmtId="0" fontId="0" fillId="27" borderId="0" xfId="0" applyFill="1" applyAlignment="1">
      <alignment horizontal="right" vertical="center"/>
    </xf>
    <xf numFmtId="167" fontId="0" fillId="11" borderId="11" xfId="0" applyNumberFormat="1" applyFill="1" applyBorder="1" applyAlignment="1">
      <alignment horizontal="center" vertical="center"/>
    </xf>
    <xf numFmtId="167" fontId="0" fillId="11" borderId="8" xfId="0" applyNumberFormat="1" applyFill="1" applyBorder="1" applyAlignment="1">
      <alignment horizontal="center" vertical="center"/>
    </xf>
    <xf numFmtId="0" fontId="0" fillId="11" borderId="11" xfId="0" applyNumberFormat="1" applyFill="1" applyBorder="1" applyAlignment="1">
      <alignment horizontal="center" vertical="center"/>
    </xf>
    <xf numFmtId="0" fontId="0" fillId="11" borderId="15" xfId="0" applyNumberFormat="1" applyFill="1" applyBorder="1" applyAlignment="1">
      <alignment horizontal="center" vertical="center"/>
    </xf>
    <xf numFmtId="0" fontId="0" fillId="11" borderId="8" xfId="0" applyNumberFormat="1" applyFill="1" applyBorder="1" applyAlignment="1">
      <alignment horizontal="center" vertical="center"/>
    </xf>
    <xf numFmtId="0" fontId="0" fillId="11" borderId="14" xfId="0" applyNumberFormat="1" applyFill="1" applyBorder="1" applyAlignment="1">
      <alignment horizontal="center" vertical="center"/>
    </xf>
    <xf numFmtId="0" fontId="0" fillId="19" borderId="8" xfId="0" applyNumberFormat="1" applyFill="1" applyBorder="1" applyAlignment="1">
      <alignment horizontal="center" vertical="center"/>
    </xf>
    <xf numFmtId="0" fontId="0" fillId="19" borderId="14" xfId="0" applyNumberFormat="1" applyFill="1" applyBorder="1" applyAlignment="1">
      <alignment horizontal="center" vertical="center"/>
    </xf>
    <xf numFmtId="167" fontId="0" fillId="19" borderId="8" xfId="0" applyNumberFormat="1" applyFill="1" applyBorder="1" applyAlignment="1">
      <alignment horizontal="center" vertical="center"/>
    </xf>
    <xf numFmtId="167" fontId="0" fillId="19" borderId="14" xfId="0" applyNumberFormat="1" applyFill="1" applyBorder="1" applyAlignment="1">
      <alignment horizontal="center" vertical="center"/>
    </xf>
    <xf numFmtId="167" fontId="0" fillId="31" borderId="6" xfId="0" applyNumberFormat="1" applyFill="1" applyBorder="1" applyAlignment="1">
      <alignment horizontal="center" vertical="center"/>
    </xf>
    <xf numFmtId="167" fontId="0" fillId="31" borderId="13" xfId="0" applyNumberFormat="1" applyFill="1" applyBorder="1" applyAlignment="1">
      <alignment horizontal="center" vertical="center"/>
    </xf>
    <xf numFmtId="0" fontId="0" fillId="31" borderId="8" xfId="0" applyNumberFormat="1" applyFill="1" applyBorder="1" applyAlignment="1">
      <alignment horizontal="center" vertical="center"/>
    </xf>
    <xf numFmtId="0" fontId="0" fillId="31" borderId="14" xfId="0" applyNumberFormat="1" applyFill="1" applyBorder="1" applyAlignment="1">
      <alignment horizontal="center" vertical="center"/>
    </xf>
    <xf numFmtId="0" fontId="0" fillId="31" borderId="6" xfId="0" applyNumberFormat="1" applyFill="1" applyBorder="1" applyAlignment="1">
      <alignment horizontal="center" vertical="center"/>
    </xf>
    <xf numFmtId="0" fontId="0" fillId="31" borderId="13" xfId="0" applyNumberFormat="1" applyFill="1" applyBorder="1" applyAlignment="1">
      <alignment horizontal="center" vertical="center"/>
    </xf>
    <xf numFmtId="0" fontId="0" fillId="19" borderId="11" xfId="0" applyNumberFormat="1" applyFill="1" applyBorder="1" applyAlignment="1">
      <alignment horizontal="center" vertical="center"/>
    </xf>
    <xf numFmtId="0" fontId="0" fillId="19" borderId="15" xfId="0" applyNumberFormat="1" applyFill="1" applyBorder="1" applyAlignment="1">
      <alignment horizontal="center" vertical="center"/>
    </xf>
    <xf numFmtId="0" fontId="0" fillId="19" borderId="6" xfId="0" applyNumberFormat="1" applyFill="1" applyBorder="1" applyAlignment="1">
      <alignment horizontal="center" vertical="center"/>
    </xf>
    <xf numFmtId="0" fontId="0" fillId="19" borderId="13" xfId="0" applyNumberFormat="1" applyFill="1" applyBorder="1" applyAlignment="1">
      <alignment horizontal="center" vertical="center"/>
    </xf>
    <xf numFmtId="0" fontId="0" fillId="3" borderId="11" xfId="0" applyNumberFormat="1" applyFill="1" applyBorder="1" applyAlignment="1">
      <alignment horizontal="center" vertical="center"/>
    </xf>
    <xf numFmtId="0" fontId="0" fillId="3" borderId="15" xfId="0" applyNumberFormat="1" applyFill="1" applyBorder="1" applyAlignment="1">
      <alignment horizontal="center" vertical="center"/>
    </xf>
    <xf numFmtId="0" fontId="0" fillId="3" borderId="6" xfId="0" applyNumberFormat="1" applyFill="1" applyBorder="1" applyAlignment="1">
      <alignment horizontal="center" vertical="center"/>
    </xf>
    <xf numFmtId="0" fontId="0" fillId="3" borderId="13" xfId="0" applyNumberFormat="1" applyFill="1" applyBorder="1" applyAlignment="1">
      <alignment horizontal="center" vertical="center"/>
    </xf>
    <xf numFmtId="167" fontId="0" fillId="3" borderId="11" xfId="0" applyNumberFormat="1" applyFill="1" applyBorder="1" applyAlignment="1">
      <alignment horizontal="center" vertical="center"/>
    </xf>
    <xf numFmtId="167" fontId="0" fillId="3" borderId="15" xfId="0" applyNumberFormat="1" applyFill="1" applyBorder="1" applyAlignment="1">
      <alignment horizontal="center" vertical="center"/>
    </xf>
    <xf numFmtId="167" fontId="0" fillId="3" borderId="6" xfId="0" applyNumberFormat="1" applyFill="1" applyBorder="1" applyAlignment="1">
      <alignment horizontal="center" vertical="center"/>
    </xf>
    <xf numFmtId="167" fontId="0" fillId="19" borderId="11" xfId="0" applyNumberFormat="1" applyFill="1" applyBorder="1" applyAlignment="1">
      <alignment horizontal="center" vertical="center"/>
    </xf>
    <xf numFmtId="167" fontId="0" fillId="19" borderId="15" xfId="0" applyNumberFormat="1" applyFill="1" applyBorder="1" applyAlignment="1">
      <alignment horizontal="center" vertical="center"/>
    </xf>
    <xf numFmtId="167" fontId="0" fillId="19" borderId="6" xfId="0" applyNumberFormat="1" applyFill="1" applyBorder="1" applyAlignment="1">
      <alignment horizontal="center" vertical="center"/>
    </xf>
    <xf numFmtId="167" fontId="0" fillId="31" borderId="11" xfId="0" applyNumberFormat="1" applyFill="1" applyBorder="1" applyAlignment="1">
      <alignment horizontal="center" vertical="center"/>
    </xf>
    <xf numFmtId="167" fontId="0" fillId="31" borderId="15" xfId="0" applyNumberFormat="1" applyFill="1" applyBorder="1" applyAlignment="1">
      <alignment horizontal="center" vertical="center"/>
    </xf>
    <xf numFmtId="167" fontId="0" fillId="11" borderId="6" xfId="0" applyNumberFormat="1" applyFill="1" applyBorder="1" applyAlignment="1">
      <alignment horizontal="center" vertical="center"/>
    </xf>
    <xf numFmtId="0" fontId="2" fillId="18" borderId="3" xfId="0" applyFont="1" applyFill="1" applyBorder="1" applyAlignment="1">
      <alignment horizontal="center" vertical="center"/>
    </xf>
    <xf numFmtId="0" fontId="0" fillId="11" borderId="2" xfId="0" applyFill="1" applyBorder="1" applyAlignment="1">
      <alignment horizontal="center" vertical="center"/>
    </xf>
    <xf numFmtId="0" fontId="2" fillId="18" borderId="0" xfId="0" applyFont="1" applyFill="1" applyAlignment="1">
      <alignment horizontal="center" vertical="center"/>
    </xf>
    <xf numFmtId="0" fontId="0" fillId="3" borderId="3" xfId="0" applyFill="1" applyBorder="1" applyAlignment="1">
      <alignment horizontal="center" vertical="center"/>
    </xf>
    <xf numFmtId="0" fontId="0" fillId="12" borderId="3" xfId="0" applyFill="1" applyBorder="1" applyAlignment="1">
      <alignment horizontal="center"/>
    </xf>
    <xf numFmtId="0" fontId="0" fillId="19" borderId="0" xfId="0" applyFill="1" applyAlignment="1">
      <alignment horizontal="center" vertical="center" wrapText="1"/>
    </xf>
    <xf numFmtId="0" fontId="0" fillId="12" borderId="0" xfId="0" applyFill="1" applyBorder="1" applyAlignment="1">
      <alignment horizontal="center"/>
    </xf>
    <xf numFmtId="0" fontId="0" fillId="12" borderId="9" xfId="0" applyFill="1" applyBorder="1" applyAlignment="1">
      <alignment horizontal="center" vertical="center"/>
    </xf>
    <xf numFmtId="0" fontId="0" fillId="12" borderId="7" xfId="0" applyFill="1" applyBorder="1" applyAlignment="1">
      <alignment horizontal="center" vertical="center"/>
    </xf>
    <xf numFmtId="0" fontId="0" fillId="11" borderId="14" xfId="0" applyFill="1" applyBorder="1" applyAlignment="1">
      <alignment horizontal="center" vertical="center"/>
    </xf>
    <xf numFmtId="0" fontId="0" fillId="12" borderId="12" xfId="0" applyFill="1" applyBorder="1" applyAlignment="1">
      <alignment horizontal="center" vertical="center"/>
    </xf>
    <xf numFmtId="0" fontId="0" fillId="19" borderId="0" xfId="0" applyFill="1" applyAlignment="1">
      <alignment horizontal="center" vertical="center"/>
    </xf>
    <xf numFmtId="0" fontId="9" fillId="3" borderId="12" xfId="4" applyFont="1" applyFill="1" applyBorder="1" applyAlignment="1">
      <alignment horizontal="center" vertical="center" wrapText="1"/>
    </xf>
    <xf numFmtId="0" fontId="9" fillId="3" borderId="11" xfId="4" applyFont="1" applyFill="1" applyBorder="1" applyAlignment="1">
      <alignment horizontal="center" vertical="center" wrapText="1"/>
    </xf>
    <xf numFmtId="0" fontId="9" fillId="3" borderId="3" xfId="4" applyFont="1" applyFill="1" applyBorder="1" applyAlignment="1">
      <alignment horizontal="center" vertical="center" wrapText="1"/>
    </xf>
    <xf numFmtId="0" fontId="8" fillId="3" borderId="7" xfId="4" applyFill="1" applyBorder="1" applyAlignment="1">
      <alignment horizontal="center" vertical="center" wrapText="1"/>
    </xf>
    <xf numFmtId="0" fontId="0" fillId="11" borderId="12" xfId="0" applyFill="1" applyBorder="1" applyAlignment="1">
      <alignment horizontal="center" vertical="center"/>
    </xf>
    <xf numFmtId="0" fontId="0" fillId="11" borderId="7" xfId="0" applyFill="1" applyBorder="1" applyAlignment="1">
      <alignment horizontal="center" vertical="center"/>
    </xf>
    <xf numFmtId="0" fontId="0" fillId="11" borderId="8" xfId="0" applyFill="1" applyBorder="1" applyAlignment="1">
      <alignment horizontal="center"/>
    </xf>
    <xf numFmtId="0" fontId="0" fillId="11" borderId="9" xfId="0" applyFill="1" applyBorder="1" applyAlignment="1">
      <alignment horizontal="center"/>
    </xf>
    <xf numFmtId="0" fontId="33" fillId="22" borderId="6" xfId="8" applyFont="1" applyFill="1" applyBorder="1" applyAlignment="1">
      <alignment horizontal="left" vertical="center"/>
    </xf>
    <xf numFmtId="0" fontId="33" fillId="22" borderId="5" xfId="8" applyFont="1" applyFill="1" applyBorder="1" applyAlignment="1">
      <alignment horizontal="left" vertical="center"/>
    </xf>
    <xf numFmtId="0" fontId="33" fillId="22" borderId="13" xfId="8" applyFont="1" applyFill="1" applyBorder="1" applyAlignment="1">
      <alignment horizontal="left" vertical="center"/>
    </xf>
    <xf numFmtId="0" fontId="0" fillId="6" borderId="12" xfId="0" applyFill="1" applyBorder="1"/>
    <xf numFmtId="0" fontId="3" fillId="6" borderId="15" xfId="0" applyFont="1" applyFill="1" applyBorder="1" applyAlignment="1">
      <alignment horizontal="center" vertical="center"/>
    </xf>
    <xf numFmtId="0" fontId="0" fillId="6" borderId="4" xfId="0" applyFill="1" applyBorder="1" applyAlignment="1">
      <alignment vertical="center"/>
    </xf>
    <xf numFmtId="0" fontId="0" fillId="6" borderId="4" xfId="0" applyFill="1" applyBorder="1" applyAlignment="1">
      <alignment horizontal="center"/>
    </xf>
    <xf numFmtId="171" fontId="0" fillId="6" borderId="4" xfId="0" applyNumberFormat="1" applyFill="1" applyBorder="1" applyAlignment="1">
      <alignment horizontal="center"/>
    </xf>
    <xf numFmtId="0" fontId="0" fillId="12" borderId="0" xfId="0" applyFill="1" applyAlignment="1">
      <alignment vertical="center"/>
    </xf>
    <xf numFmtId="0" fontId="0" fillId="11" borderId="13" xfId="0" applyFill="1" applyBorder="1" applyAlignment="1">
      <alignment horizontal="center"/>
    </xf>
    <xf numFmtId="0" fontId="0" fillId="10" borderId="3" xfId="0" applyFill="1" applyBorder="1" applyAlignment="1">
      <alignment vertical="center"/>
    </xf>
    <xf numFmtId="0" fontId="0" fillId="10" borderId="1" xfId="0" applyFill="1" applyBorder="1" applyAlignment="1">
      <alignment vertical="center"/>
    </xf>
    <xf numFmtId="2" fontId="32" fillId="11" borderId="0" xfId="0" applyNumberFormat="1" applyFont="1" applyFill="1" applyBorder="1" applyAlignment="1">
      <alignment vertical="center" textRotation="90" wrapText="1"/>
    </xf>
    <xf numFmtId="0" fontId="14" fillId="11" borderId="0" xfId="7" applyFill="1" applyBorder="1" applyAlignment="1">
      <alignment horizontal="center" vertical="center"/>
    </xf>
    <xf numFmtId="0" fontId="2" fillId="11" borderId="0" xfId="0" applyFont="1" applyFill="1" applyBorder="1" applyAlignment="1">
      <alignment horizontal="center" vertical="center"/>
    </xf>
    <xf numFmtId="0" fontId="2" fillId="11" borderId="0" xfId="0" applyFont="1" applyFill="1" applyBorder="1" applyAlignment="1">
      <alignment vertical="center"/>
    </xf>
    <xf numFmtId="0" fontId="0" fillId="11" borderId="4" xfId="0" applyFill="1" applyBorder="1" applyAlignment="1">
      <alignment horizontal="center" vertical="center"/>
    </xf>
    <xf numFmtId="0" fontId="0" fillId="11" borderId="3" xfId="0" applyFont="1" applyFill="1" applyBorder="1" applyAlignment="1">
      <alignment horizontal="left" vertical="center"/>
    </xf>
    <xf numFmtId="0" fontId="0" fillId="10" borderId="2" xfId="0" applyFill="1" applyBorder="1" applyAlignment="1">
      <alignment vertical="center"/>
    </xf>
    <xf numFmtId="2" fontId="32" fillId="11" borderId="0" xfId="0" applyNumberFormat="1" applyFont="1" applyFill="1" applyBorder="1" applyAlignment="1">
      <alignment vertical="center" textRotation="90"/>
    </xf>
    <xf numFmtId="0" fontId="0" fillId="10" borderId="0" xfId="0" applyFill="1" applyAlignment="1">
      <alignment vertical="center"/>
    </xf>
    <xf numFmtId="2" fontId="20" fillId="10" borderId="0" xfId="0" applyNumberFormat="1" applyFont="1" applyFill="1" applyBorder="1" applyAlignment="1">
      <alignment horizontal="center" vertical="center" textRotation="90" wrapText="1"/>
    </xf>
    <xf numFmtId="0" fontId="0" fillId="10" borderId="0" xfId="0" applyFill="1" applyAlignment="1">
      <alignment horizontal="center" vertical="center"/>
    </xf>
    <xf numFmtId="0" fontId="0" fillId="10" borderId="0" xfId="0" applyFill="1" applyBorder="1" applyAlignment="1">
      <alignment vertical="center"/>
    </xf>
    <xf numFmtId="0" fontId="3" fillId="10" borderId="11" xfId="0" applyFont="1" applyFill="1" applyBorder="1" applyAlignment="1">
      <alignment vertical="center"/>
    </xf>
    <xf numFmtId="0" fontId="0" fillId="10" borderId="10" xfId="0" applyFill="1" applyBorder="1" applyAlignment="1">
      <alignment vertical="center"/>
    </xf>
    <xf numFmtId="0" fontId="3" fillId="10" borderId="8" xfId="0" applyFont="1" applyFill="1" applyBorder="1" applyAlignment="1">
      <alignment vertical="center"/>
    </xf>
    <xf numFmtId="0" fontId="3" fillId="10" borderId="6" xfId="0" applyFont="1" applyFill="1" applyBorder="1" applyAlignment="1">
      <alignment vertical="center"/>
    </xf>
    <xf numFmtId="0" fontId="0" fillId="10" borderId="5" xfId="0" applyFill="1" applyBorder="1" applyAlignment="1">
      <alignment vertical="center"/>
    </xf>
    <xf numFmtId="2" fontId="32" fillId="10" borderId="0" xfId="0" applyNumberFormat="1" applyFont="1" applyFill="1" applyBorder="1" applyAlignment="1">
      <alignment vertical="center" textRotation="90" wrapText="1"/>
    </xf>
    <xf numFmtId="168" fontId="4" fillId="13" borderId="14" xfId="0" applyNumberFormat="1" applyFont="1" applyFill="1" applyBorder="1" applyAlignment="1">
      <alignment horizontal="center" vertical="center"/>
    </xf>
    <xf numFmtId="168" fontId="4" fillId="13" borderId="13" xfId="0" applyNumberFormat="1" applyFont="1" applyFill="1" applyBorder="1" applyAlignment="1">
      <alignment horizontal="center" vertical="center"/>
    </xf>
    <xf numFmtId="0" fontId="0" fillId="9" borderId="15" xfId="0" applyFill="1" applyBorder="1" applyAlignment="1">
      <alignment horizontal="center" vertical="center"/>
    </xf>
    <xf numFmtId="0" fontId="0" fillId="11" borderId="0" xfId="0" applyFont="1" applyFill="1" applyBorder="1" applyAlignment="1">
      <alignment horizontal="center" vertical="center"/>
    </xf>
    <xf numFmtId="0" fontId="3" fillId="10" borderId="0" xfId="0" applyFont="1" applyFill="1" applyBorder="1" applyAlignment="1">
      <alignment horizontal="center" vertical="center"/>
    </xf>
    <xf numFmtId="0" fontId="3" fillId="10" borderId="0" xfId="0" applyFont="1" applyFill="1" applyBorder="1" applyAlignment="1">
      <alignment vertical="center"/>
    </xf>
    <xf numFmtId="0" fontId="0" fillId="10" borderId="0" xfId="0" applyFill="1" applyBorder="1" applyAlignment="1">
      <alignment horizontal="center" vertical="center"/>
    </xf>
    <xf numFmtId="0" fontId="2" fillId="18" borderId="1" xfId="0" applyFont="1" applyFill="1" applyBorder="1" applyAlignment="1">
      <alignment vertical="center"/>
    </xf>
    <xf numFmtId="0" fontId="0" fillId="12" borderId="0" xfId="0" applyFill="1" applyBorder="1" applyAlignment="1">
      <alignment horizontal="center" vertical="center"/>
    </xf>
    <xf numFmtId="0" fontId="0" fillId="12" borderId="0" xfId="0" applyFill="1" applyBorder="1" applyAlignment="1">
      <alignment vertical="center"/>
    </xf>
    <xf numFmtId="0" fontId="3" fillId="12" borderId="0" xfId="0" applyFont="1" applyFill="1" applyBorder="1" applyAlignment="1">
      <alignment vertical="center"/>
    </xf>
    <xf numFmtId="0" fontId="0" fillId="4" borderId="15" xfId="0" applyFill="1" applyBorder="1"/>
    <xf numFmtId="0" fontId="0" fillId="4" borderId="5" xfId="0" applyFill="1" applyBorder="1" applyAlignment="1">
      <alignment horizontal="left"/>
    </xf>
    <xf numFmtId="0" fontId="0" fillId="4" borderId="13" xfId="0" applyFill="1" applyBorder="1"/>
    <xf numFmtId="0" fontId="0" fillId="12" borderId="7" xfId="0" applyFill="1" applyBorder="1"/>
    <xf numFmtId="0" fontId="0" fillId="11" borderId="15" xfId="0" applyFill="1" applyBorder="1" applyAlignment="1">
      <alignment horizontal="center" vertical="center"/>
    </xf>
    <xf numFmtId="0" fontId="3" fillId="12" borderId="0" xfId="0" applyFont="1" applyFill="1" applyBorder="1" applyAlignment="1">
      <alignment horizontal="center" vertical="center"/>
    </xf>
    <xf numFmtId="0" fontId="39" fillId="12" borderId="0" xfId="0" applyFont="1" applyFill="1"/>
    <xf numFmtId="0" fontId="0" fillId="4" borderId="10" xfId="0" applyFill="1" applyBorder="1"/>
    <xf numFmtId="0" fontId="0" fillId="4" borderId="1" xfId="0" applyFill="1" applyBorder="1" applyAlignment="1">
      <alignment horizontal="center" vertical="center"/>
    </xf>
    <xf numFmtId="0" fontId="0" fillId="12" borderId="9" xfId="0" applyFill="1" applyBorder="1" applyAlignment="1">
      <alignment vertical="center"/>
    </xf>
    <xf numFmtId="0" fontId="0" fillId="12" borderId="7" xfId="0" applyFill="1" applyBorder="1" applyAlignment="1">
      <alignment vertical="center"/>
    </xf>
    <xf numFmtId="0" fontId="0" fillId="4" borderId="0" xfId="0" applyFill="1" applyBorder="1"/>
    <xf numFmtId="0" fontId="0" fillId="4" borderId="5" xfId="0" applyFill="1" applyBorder="1"/>
    <xf numFmtId="0" fontId="0" fillId="4" borderId="13" xfId="0" applyFill="1" applyBorder="1" applyAlignment="1">
      <alignment horizontal="center"/>
    </xf>
    <xf numFmtId="0" fontId="2" fillId="19" borderId="0" xfId="0" applyFont="1" applyFill="1" applyBorder="1" applyAlignment="1">
      <alignment horizontal="center" vertical="center"/>
    </xf>
    <xf numFmtId="0" fontId="16" fillId="19" borderId="13" xfId="0" applyFont="1" applyFill="1" applyBorder="1" applyAlignment="1">
      <alignment vertical="center"/>
    </xf>
    <xf numFmtId="0" fontId="0" fillId="4" borderId="10" xfId="0" applyFill="1" applyBorder="1" applyAlignment="1">
      <alignment horizontal="left" vertical="center"/>
    </xf>
    <xf numFmtId="0" fontId="0" fillId="4" borderId="0" xfId="0" applyFill="1" applyBorder="1" applyAlignment="1">
      <alignment horizontal="left" vertical="center"/>
    </xf>
    <xf numFmtId="0" fontId="0" fillId="3" borderId="9" xfId="0" applyFill="1" applyBorder="1" applyAlignment="1">
      <alignment horizontal="center" vertical="center"/>
    </xf>
    <xf numFmtId="0" fontId="0" fillId="4" borderId="11" xfId="0" applyFill="1" applyBorder="1" applyAlignment="1">
      <alignment horizontal="left" vertical="center"/>
    </xf>
    <xf numFmtId="0" fontId="0" fillId="4" borderId="8" xfId="0" applyFill="1" applyBorder="1" applyAlignment="1">
      <alignment horizontal="left" vertical="center"/>
    </xf>
    <xf numFmtId="0" fontId="0" fillId="12" borderId="8" xfId="0" applyFill="1" applyBorder="1" applyAlignment="1">
      <alignment vertical="center"/>
    </xf>
    <xf numFmtId="0" fontId="0" fillId="11" borderId="15" xfId="0" applyFill="1" applyBorder="1" applyAlignment="1">
      <alignment horizontal="center"/>
    </xf>
    <xf numFmtId="0" fontId="0" fillId="12" borderId="11" xfId="0" applyFill="1" applyBorder="1" applyAlignment="1">
      <alignment horizontal="center" vertical="center"/>
    </xf>
    <xf numFmtId="168" fontId="0" fillId="3" borderId="4" xfId="0" applyNumberFormat="1" applyFill="1" applyBorder="1" applyAlignment="1">
      <alignment horizontal="center" vertical="center"/>
    </xf>
    <xf numFmtId="167" fontId="2" fillId="18" borderId="7" xfId="0" applyNumberFormat="1" applyFont="1" applyFill="1" applyBorder="1" applyAlignment="1">
      <alignment horizontal="center" vertical="center"/>
    </xf>
    <xf numFmtId="0" fontId="2" fillId="18" borderId="9" xfId="0" applyFont="1" applyFill="1" applyBorder="1" applyAlignment="1">
      <alignment horizontal="center" vertical="center"/>
    </xf>
    <xf numFmtId="167" fontId="0" fillId="11" borderId="13" xfId="0" applyNumberFormat="1" applyFill="1" applyBorder="1" applyAlignment="1">
      <alignment horizontal="center" vertical="center"/>
    </xf>
    <xf numFmtId="0" fontId="0" fillId="12" borderId="11" xfId="0" applyFill="1" applyBorder="1" applyAlignment="1">
      <alignment vertical="center"/>
    </xf>
    <xf numFmtId="0" fontId="0" fillId="12" borderId="10" xfId="0" applyFill="1" applyBorder="1" applyAlignment="1">
      <alignment vertical="center"/>
    </xf>
    <xf numFmtId="0" fontId="0" fillId="12" borderId="6" xfId="0" applyFill="1" applyBorder="1" applyAlignment="1">
      <alignment vertical="center"/>
    </xf>
    <xf numFmtId="0" fontId="0" fillId="12" borderId="5" xfId="0" applyFill="1" applyBorder="1" applyAlignment="1">
      <alignment vertical="center"/>
    </xf>
    <xf numFmtId="0" fontId="3" fillId="12" borderId="3" xfId="0" applyFont="1" applyFill="1" applyBorder="1" applyAlignment="1">
      <alignment horizontal="center" vertical="center"/>
    </xf>
    <xf numFmtId="0" fontId="3" fillId="12" borderId="1" xfId="0" applyFont="1" applyFill="1" applyBorder="1" applyAlignment="1">
      <alignment horizontal="center" vertical="center"/>
    </xf>
    <xf numFmtId="0" fontId="3" fillId="12" borderId="2" xfId="0" applyFont="1" applyFill="1" applyBorder="1" applyAlignment="1">
      <alignment horizontal="center" vertical="center"/>
    </xf>
    <xf numFmtId="3" fontId="0" fillId="12" borderId="0" xfId="0" applyNumberFormat="1" applyFill="1" applyAlignment="1">
      <alignment vertical="center"/>
    </xf>
    <xf numFmtId="0" fontId="0" fillId="12" borderId="27" xfId="0" applyFill="1" applyBorder="1" applyAlignment="1">
      <alignment horizontal="center" vertical="center"/>
    </xf>
    <xf numFmtId="0" fontId="0" fillId="18" borderId="0" xfId="0" applyFill="1" applyAlignment="1">
      <alignment vertical="center"/>
    </xf>
    <xf numFmtId="0" fontId="0" fillId="18" borderId="0" xfId="0" applyFill="1" applyBorder="1" applyAlignment="1">
      <alignment vertical="center"/>
    </xf>
    <xf numFmtId="167" fontId="3" fillId="12" borderId="42" xfId="0" applyNumberFormat="1" applyFont="1" applyFill="1" applyBorder="1" applyAlignment="1">
      <alignment horizontal="center" vertical="center"/>
    </xf>
    <xf numFmtId="0" fontId="40" fillId="18" borderId="0" xfId="0" applyFont="1" applyFill="1" applyAlignment="1">
      <alignment horizontal="center" vertical="center"/>
    </xf>
    <xf numFmtId="0" fontId="3" fillId="12" borderId="42" xfId="0" applyNumberFormat="1" applyFont="1" applyFill="1" applyBorder="1" applyAlignment="1">
      <alignment horizontal="center" vertical="center"/>
    </xf>
    <xf numFmtId="0" fontId="2" fillId="18" borderId="2" xfId="0" applyFont="1" applyFill="1" applyBorder="1" applyAlignment="1">
      <alignment vertical="center"/>
    </xf>
    <xf numFmtId="0" fontId="4" fillId="11" borderId="0" xfId="0" applyFont="1" applyFill="1" applyBorder="1" applyAlignment="1">
      <alignment horizontal="center" vertical="center"/>
    </xf>
    <xf numFmtId="0" fontId="38" fillId="3" borderId="0" xfId="0" applyFont="1" applyFill="1" applyBorder="1" applyAlignment="1">
      <alignment vertical="center"/>
    </xf>
    <xf numFmtId="0" fontId="0" fillId="31" borderId="1" xfId="0" applyFill="1" applyBorder="1" applyAlignment="1">
      <alignment vertical="center"/>
    </xf>
    <xf numFmtId="0" fontId="0" fillId="31" borderId="0" xfId="0" applyFill="1" applyBorder="1" applyAlignment="1">
      <alignment vertical="center"/>
    </xf>
    <xf numFmtId="0" fontId="0" fillId="31" borderId="15" xfId="0" applyFont="1" applyFill="1" applyBorder="1" applyAlignment="1">
      <alignment horizontal="center" vertical="center"/>
    </xf>
    <xf numFmtId="0" fontId="0" fillId="31" borderId="0" xfId="0" applyFill="1" applyBorder="1" applyAlignment="1">
      <alignment horizontal="center" vertical="center"/>
    </xf>
    <xf numFmtId="0" fontId="0" fillId="3" borderId="13" xfId="0" applyFill="1" applyBorder="1" applyAlignment="1">
      <alignment horizontal="center" vertical="center"/>
    </xf>
    <xf numFmtId="0" fontId="0" fillId="12" borderId="2" xfId="0" applyFill="1" applyBorder="1"/>
    <xf numFmtId="0" fontId="36" fillId="19" borderId="10" xfId="0" applyFont="1" applyFill="1" applyBorder="1" applyAlignment="1">
      <alignment vertical="center"/>
    </xf>
    <xf numFmtId="0" fontId="36" fillId="19" borderId="15" xfId="0" applyFont="1" applyFill="1" applyBorder="1" applyAlignment="1">
      <alignment vertical="center"/>
    </xf>
    <xf numFmtId="168" fontId="0" fillId="25" borderId="0" xfId="0" applyNumberFormat="1" applyFill="1" applyBorder="1" applyAlignment="1">
      <alignment vertical="center"/>
    </xf>
    <xf numFmtId="168" fontId="0" fillId="25" borderId="14" xfId="0" applyNumberFormat="1" applyFill="1" applyBorder="1" applyAlignment="1">
      <alignment vertical="center"/>
    </xf>
    <xf numFmtId="0" fontId="0" fillId="4" borderId="3" xfId="0" applyFill="1" applyBorder="1" applyAlignment="1"/>
    <xf numFmtId="0" fontId="0" fillId="4" borderId="6" xfId="0" applyFill="1" applyBorder="1"/>
    <xf numFmtId="0" fontId="0" fillId="14" borderId="11" xfId="0" applyFill="1" applyBorder="1" applyAlignment="1">
      <alignment horizontal="center" vertic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0" fontId="0" fillId="19" borderId="12" xfId="0" applyFill="1" applyBorder="1" applyAlignment="1">
      <alignment horizontal="center" vertical="center"/>
    </xf>
    <xf numFmtId="0" fontId="0" fillId="19" borderId="7" xfId="0" applyFill="1" applyBorder="1" applyAlignment="1">
      <alignment horizontal="center" vertical="center"/>
    </xf>
    <xf numFmtId="0" fontId="0" fillId="19" borderId="9" xfId="0" applyFill="1" applyBorder="1" applyAlignment="1">
      <alignment horizontal="center" vertical="center"/>
    </xf>
    <xf numFmtId="0" fontId="0" fillId="19" borderId="4" xfId="0" applyFill="1" applyBorder="1" applyAlignment="1">
      <alignment horizontal="center" vertical="center"/>
    </xf>
    <xf numFmtId="0" fontId="0" fillId="31" borderId="12" xfId="0" applyFill="1" applyBorder="1" applyAlignment="1">
      <alignment horizontal="center" vertical="center"/>
    </xf>
    <xf numFmtId="0" fontId="0" fillId="31" borderId="7" xfId="0" applyFill="1" applyBorder="1" applyAlignment="1">
      <alignment horizontal="center" vertical="center"/>
    </xf>
    <xf numFmtId="0" fontId="0" fillId="31" borderId="9" xfId="0" applyFill="1" applyBorder="1" applyAlignment="1">
      <alignment horizontal="center" vertical="center"/>
    </xf>
    <xf numFmtId="0" fontId="3" fillId="6" borderId="4" xfId="0" applyFont="1" applyFill="1" applyBorder="1" applyAlignment="1">
      <alignment horizontal="center" vertical="center"/>
    </xf>
    <xf numFmtId="0" fontId="0" fillId="11" borderId="12" xfId="0" applyFill="1" applyBorder="1" applyAlignment="1">
      <alignment horizontal="left" vertical="center"/>
    </xf>
    <xf numFmtId="0" fontId="0" fillId="11" borderId="4" xfId="0" applyFill="1" applyBorder="1" applyAlignment="1">
      <alignment horizontal="left" vertical="center"/>
    </xf>
    <xf numFmtId="0" fontId="0" fillId="3" borderId="12" xfId="0" applyFill="1" applyBorder="1" applyAlignment="1">
      <alignment horizontal="left" vertical="center"/>
    </xf>
    <xf numFmtId="0" fontId="0" fillId="3" borderId="9" xfId="0" applyFill="1" applyBorder="1" applyAlignment="1">
      <alignment horizontal="left" vertical="center"/>
    </xf>
    <xf numFmtId="0" fontId="0" fillId="3" borderId="7" xfId="0" applyFill="1" applyBorder="1" applyAlignment="1">
      <alignment horizontal="left" vertical="center"/>
    </xf>
    <xf numFmtId="0" fontId="0" fillId="19" borderId="12"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9" borderId="4" xfId="0" applyFill="1" applyBorder="1" applyAlignment="1">
      <alignment horizontal="left" vertical="center"/>
    </xf>
    <xf numFmtId="0" fontId="0" fillId="31" borderId="12" xfId="0" applyFill="1" applyBorder="1" applyAlignment="1">
      <alignment horizontal="left" vertical="center"/>
    </xf>
    <xf numFmtId="0" fontId="0" fillId="31" borderId="7" xfId="0" applyFill="1" applyBorder="1" applyAlignment="1">
      <alignment horizontal="left" vertical="center"/>
    </xf>
    <xf numFmtId="0" fontId="0" fillId="31" borderId="9" xfId="0" applyFill="1" applyBorder="1" applyAlignment="1">
      <alignment horizontal="left" vertical="center"/>
    </xf>
    <xf numFmtId="0" fontId="2" fillId="18" borderId="0" xfId="0" applyFont="1" applyFill="1" applyAlignment="1">
      <alignment horizontal="center" vertical="center" wrapText="1"/>
    </xf>
    <xf numFmtId="0" fontId="15" fillId="19" borderId="0" xfId="0" applyFont="1" applyFill="1" applyAlignment="1">
      <alignment horizontal="center" vertical="center"/>
    </xf>
    <xf numFmtId="0" fontId="0" fillId="27" borderId="0" xfId="0" applyFill="1" applyAlignment="1">
      <alignment horizontal="center" vertical="center"/>
    </xf>
    <xf numFmtId="0" fontId="19" fillId="10" borderId="0" xfId="0" applyFont="1" applyFill="1" applyBorder="1" applyAlignment="1">
      <alignment vertical="center"/>
    </xf>
    <xf numFmtId="0" fontId="0" fillId="19" borderId="3" xfId="0" applyFill="1" applyBorder="1" applyAlignment="1">
      <alignment horizontal="center" vertical="center"/>
    </xf>
    <xf numFmtId="0" fontId="0" fillId="19" borderId="1" xfId="0" applyFill="1" applyBorder="1" applyAlignment="1">
      <alignment horizontal="center" vertical="center"/>
    </xf>
    <xf numFmtId="0" fontId="0" fillId="31" borderId="3" xfId="0" applyFill="1" applyBorder="1" applyAlignment="1">
      <alignment horizontal="center" vertical="center"/>
    </xf>
    <xf numFmtId="0" fontId="0" fillId="31" borderId="1" xfId="0" applyFill="1" applyBorder="1" applyAlignment="1">
      <alignment horizontal="center" vertical="center"/>
    </xf>
    <xf numFmtId="0" fontId="0" fillId="31" borderId="3" xfId="0" applyFill="1" applyBorder="1" applyAlignment="1">
      <alignment vertical="center"/>
    </xf>
    <xf numFmtId="0" fontId="42" fillId="0" borderId="0" xfId="0" applyFont="1" applyAlignment="1">
      <alignment horizontal="center" vertical="center"/>
    </xf>
    <xf numFmtId="0" fontId="0" fillId="3" borderId="5" xfId="0" applyFill="1" applyBorder="1" applyAlignment="1">
      <alignment horizontal="center" vertical="center"/>
    </xf>
    <xf numFmtId="0" fontId="0" fillId="3" borderId="1" xfId="0" applyFill="1" applyBorder="1" applyAlignment="1">
      <alignment horizontal="center" vertical="center"/>
    </xf>
    <xf numFmtId="0" fontId="0" fillId="3" borderId="8" xfId="0" applyFill="1" applyBorder="1" applyAlignment="1">
      <alignment horizontal="center" vertical="center"/>
    </xf>
    <xf numFmtId="0" fontId="0" fillId="19" borderId="5" xfId="0" applyFill="1" applyBorder="1" applyAlignment="1">
      <alignment horizontal="center" vertical="center"/>
    </xf>
    <xf numFmtId="0" fontId="0" fillId="19" borderId="13" xfId="0" applyFill="1" applyBorder="1" applyAlignment="1">
      <alignment horizontal="center" vertical="center"/>
    </xf>
    <xf numFmtId="0" fontId="0" fillId="31" borderId="0" xfId="0" applyFill="1" applyAlignment="1">
      <alignment horizontal="center" vertical="center"/>
    </xf>
    <xf numFmtId="0" fontId="0" fillId="31" borderId="13" xfId="0" applyFill="1" applyBorder="1" applyAlignment="1">
      <alignment vertical="center"/>
    </xf>
    <xf numFmtId="0" fontId="0" fillId="31" borderId="5" xfId="0" applyFill="1" applyBorder="1" applyAlignment="1">
      <alignment horizontal="center" vertical="center"/>
    </xf>
    <xf numFmtId="0" fontId="0" fillId="31" borderId="14" xfId="0" applyFill="1" applyBorder="1" applyAlignment="1">
      <alignment horizontal="center" vertical="center"/>
    </xf>
    <xf numFmtId="0" fontId="0" fillId="31" borderId="10" xfId="0" applyFill="1" applyBorder="1" applyAlignment="1">
      <alignment horizontal="center" vertical="center"/>
    </xf>
    <xf numFmtId="0" fontId="0" fillId="31" borderId="8" xfId="0" applyFill="1" applyBorder="1" applyAlignment="1">
      <alignment horizontal="center" vertical="center"/>
    </xf>
    <xf numFmtId="0" fontId="0" fillId="31" borderId="14" xfId="0" applyFill="1" applyBorder="1" applyAlignment="1">
      <alignment vertical="center"/>
    </xf>
    <xf numFmtId="0" fontId="0" fillId="31" borderId="13" xfId="0" applyFill="1" applyBorder="1" applyAlignment="1">
      <alignment horizontal="center" vertical="center"/>
    </xf>
    <xf numFmtId="0" fontId="0" fillId="31" borderId="15" xfId="0" applyFill="1" applyBorder="1" applyAlignment="1">
      <alignment vertical="center"/>
    </xf>
    <xf numFmtId="0" fontId="0" fillId="31" borderId="15" xfId="0" applyFill="1" applyBorder="1" applyAlignment="1">
      <alignment horizontal="center" vertical="center"/>
    </xf>
    <xf numFmtId="0" fontId="0" fillId="31" borderId="6" xfId="0" applyFill="1" applyBorder="1" applyAlignment="1">
      <alignment horizontal="center" vertical="center"/>
    </xf>
    <xf numFmtId="0" fontId="41" fillId="31" borderId="6" xfId="0" applyFont="1" applyFill="1" applyBorder="1" applyAlignment="1">
      <alignment vertical="center"/>
    </xf>
    <xf numFmtId="0" fontId="0" fillId="17" borderId="0" xfId="0" applyFont="1" applyFill="1" applyAlignment="1">
      <alignment horizontal="center" vertical="center"/>
    </xf>
    <xf numFmtId="0" fontId="0" fillId="17" borderId="13" xfId="0" applyFont="1" applyFill="1" applyBorder="1" applyAlignment="1">
      <alignment vertical="center"/>
    </xf>
    <xf numFmtId="0" fontId="0" fillId="17" borderId="0" xfId="0" applyFont="1" applyFill="1" applyBorder="1" applyAlignment="1">
      <alignment vertical="center"/>
    </xf>
    <xf numFmtId="0" fontId="0" fillId="11" borderId="1" xfId="0" applyFill="1" applyBorder="1" applyAlignment="1">
      <alignment horizontal="center" vertical="center"/>
    </xf>
    <xf numFmtId="0" fontId="0" fillId="10" borderId="0" xfId="0" applyFill="1" applyBorder="1" applyAlignment="1">
      <alignment horizontal="center" vertical="center"/>
    </xf>
    <xf numFmtId="0" fontId="0" fillId="11" borderId="2" xfId="0" applyFill="1" applyBorder="1" applyAlignment="1">
      <alignment horizontal="center" vertical="center"/>
    </xf>
    <xf numFmtId="0" fontId="2" fillId="18" borderId="0" xfId="0" applyFont="1" applyFill="1" applyAlignment="1">
      <alignment horizontal="center" vertical="center"/>
    </xf>
    <xf numFmtId="0" fontId="0" fillId="19" borderId="0" xfId="0" applyFill="1" applyAlignment="1">
      <alignment horizontal="center" vertical="center"/>
    </xf>
    <xf numFmtId="0" fontId="0" fillId="19" borderId="0" xfId="0" applyFill="1" applyAlignment="1">
      <alignment horizontal="center" vertical="center" wrapText="1"/>
    </xf>
    <xf numFmtId="0" fontId="0" fillId="11" borderId="15" xfId="0" applyFill="1" applyBorder="1" applyAlignment="1">
      <alignment horizontal="center" vertical="center"/>
    </xf>
    <xf numFmtId="0" fontId="0" fillId="11" borderId="14" xfId="0" applyFill="1" applyBorder="1" applyAlignment="1">
      <alignment horizontal="center" vertical="center"/>
    </xf>
    <xf numFmtId="167" fontId="0" fillId="11" borderId="15" xfId="0" applyNumberFormat="1" applyFill="1" applyBorder="1" applyAlignment="1">
      <alignment horizontal="center" vertical="center"/>
    </xf>
    <xf numFmtId="167" fontId="0" fillId="11" borderId="14" xfId="0" applyNumberFormat="1" applyFill="1" applyBorder="1" applyAlignment="1">
      <alignment horizontal="center" vertical="center"/>
    </xf>
    <xf numFmtId="167" fontId="0" fillId="11" borderId="13" xfId="0" applyNumberFormat="1" applyFill="1" applyBorder="1" applyAlignment="1">
      <alignment horizontal="center" vertical="center"/>
    </xf>
    <xf numFmtId="0" fontId="0" fillId="3" borderId="14" xfId="0" applyFill="1" applyBorder="1" applyAlignment="1">
      <alignment horizontal="left" vertical="center"/>
    </xf>
    <xf numFmtId="0" fontId="0" fillId="0" borderId="0" xfId="0" applyFill="1"/>
    <xf numFmtId="0" fontId="0" fillId="0" borderId="0" xfId="0" applyFill="1" applyAlignment="1">
      <alignment horizontal="center" vertical="center"/>
    </xf>
    <xf numFmtId="0" fontId="0" fillId="0" borderId="0" xfId="0" applyFill="1" applyBorder="1" applyAlignment="1">
      <alignment horizontal="center" vertical="center" wrapText="1"/>
    </xf>
    <xf numFmtId="164" fontId="0" fillId="0" borderId="0" xfId="0" applyNumberFormat="1" applyFill="1" applyBorder="1" applyAlignment="1">
      <alignment horizontal="center" vertical="center" wrapText="1"/>
    </xf>
    <xf numFmtId="0" fontId="0" fillId="0" borderId="0" xfId="0" applyFill="1" applyBorder="1"/>
    <xf numFmtId="0" fontId="18" fillId="0" borderId="0" xfId="5" applyFont="1" applyFill="1" applyBorder="1" applyAlignment="1">
      <alignment horizontal="center" vertical="center"/>
    </xf>
    <xf numFmtId="0" fontId="10" fillId="0" borderId="0" xfId="3" applyFont="1" applyFill="1" applyBorder="1" applyAlignment="1">
      <alignment horizontal="center" vertical="center"/>
    </xf>
    <xf numFmtId="165" fontId="10" fillId="0" borderId="0" xfId="3" applyNumberFormat="1" applyFont="1" applyFill="1" applyBorder="1" applyAlignment="1">
      <alignment horizontal="center" vertical="center"/>
    </xf>
    <xf numFmtId="0" fontId="0" fillId="0" borderId="0" xfId="0" applyFill="1" applyBorder="1" applyAlignment="1">
      <alignment horizontal="center"/>
    </xf>
    <xf numFmtId="165" fontId="5" fillId="0" borderId="0" xfId="0" applyNumberFormat="1" applyFont="1" applyFill="1" applyBorder="1" applyAlignment="1">
      <alignment horizontal="center" vertical="center"/>
    </xf>
    <xf numFmtId="0" fontId="17" fillId="0" borderId="0" xfId="4" applyFont="1" applyFill="1" applyBorder="1" applyAlignment="1">
      <alignment horizontal="left" vertical="center"/>
    </xf>
    <xf numFmtId="165" fontId="5" fillId="0" borderId="0" xfId="0" applyNumberFormat="1" applyFont="1" applyFill="1" applyBorder="1" applyAlignment="1">
      <alignment horizontal="center"/>
    </xf>
    <xf numFmtId="0" fontId="1" fillId="0" borderId="0" xfId="2" applyFill="1" applyBorder="1" applyAlignment="1">
      <alignment horizontal="left" vertical="center"/>
    </xf>
    <xf numFmtId="0" fontId="5" fillId="0" borderId="0" xfId="0" applyFont="1" applyFill="1" applyBorder="1"/>
    <xf numFmtId="0" fontId="1" fillId="0" borderId="0" xfId="2" applyFill="1" applyBorder="1" applyAlignment="1">
      <alignment horizontal="center" vertical="center"/>
    </xf>
    <xf numFmtId="0" fontId="0" fillId="0" borderId="0" xfId="0" applyFill="1" applyBorder="1" applyAlignment="1"/>
    <xf numFmtId="0" fontId="17" fillId="0" borderId="0" xfId="4" applyFont="1" applyFill="1" applyBorder="1" applyAlignment="1">
      <alignment vertical="center"/>
    </xf>
    <xf numFmtId="0" fontId="0" fillId="0" borderId="0" xfId="0" applyFill="1" applyBorder="1" applyAlignment="1">
      <alignment vertical="center"/>
    </xf>
    <xf numFmtId="0" fontId="0" fillId="0" borderId="0" xfId="0" applyFill="1" applyBorder="1" applyAlignment="1">
      <alignment vertical="center" wrapText="1"/>
    </xf>
    <xf numFmtId="0" fontId="17" fillId="0" borderId="0" xfId="4" applyFont="1" applyFill="1" applyBorder="1" applyAlignment="1">
      <alignment vertical="center" wrapText="1"/>
    </xf>
    <xf numFmtId="0" fontId="0" fillId="0" borderId="0" xfId="0" applyFill="1" applyAlignment="1">
      <alignment horizontal="left"/>
    </xf>
    <xf numFmtId="0" fontId="41" fillId="0" borderId="0" xfId="0" applyFont="1" applyFill="1" applyBorder="1" applyAlignment="1">
      <alignment horizontal="center" vertical="center"/>
    </xf>
    <xf numFmtId="0" fontId="7" fillId="0" borderId="0" xfId="3" applyFont="1" applyFill="1" applyBorder="1" applyAlignment="1">
      <alignment horizontal="center" vertical="center"/>
    </xf>
    <xf numFmtId="0" fontId="41" fillId="0" borderId="0" xfId="0" applyFont="1" applyFill="1" applyBorder="1" applyAlignment="1">
      <alignment vertical="center"/>
    </xf>
    <xf numFmtId="0" fontId="44" fillId="0" borderId="0" xfId="4" applyFont="1" applyFill="1" applyBorder="1" applyAlignment="1">
      <alignment vertical="center"/>
    </xf>
    <xf numFmtId="0" fontId="44" fillId="0" borderId="0" xfId="4" applyFont="1" applyFill="1" applyBorder="1" applyAlignment="1">
      <alignment horizontal="center" vertical="center"/>
    </xf>
    <xf numFmtId="0" fontId="8" fillId="0" borderId="0" xfId="4" applyFont="1" applyFill="1" applyBorder="1" applyAlignment="1">
      <alignment horizontal="center" vertical="center"/>
    </xf>
    <xf numFmtId="9" fontId="7" fillId="0" borderId="0" xfId="1" applyFont="1" applyFill="1" applyBorder="1" applyAlignment="1">
      <alignment horizontal="center" vertical="center"/>
    </xf>
    <xf numFmtId="9" fontId="41" fillId="0" borderId="0" xfId="1" applyFont="1" applyFill="1" applyBorder="1" applyAlignment="1">
      <alignment horizontal="center" vertical="center"/>
    </xf>
    <xf numFmtId="0" fontId="47" fillId="0" borderId="0" xfId="5" applyFont="1" applyFill="1" applyBorder="1" applyAlignment="1">
      <alignment horizontal="center" vertical="center"/>
    </xf>
    <xf numFmtId="9" fontId="47" fillId="0" borderId="0" xfId="1" applyFont="1" applyFill="1" applyBorder="1" applyAlignment="1">
      <alignment horizontal="center" vertical="center"/>
    </xf>
    <xf numFmtId="0" fontId="8" fillId="0" borderId="0" xfId="4" applyFont="1" applyFill="1" applyBorder="1" applyAlignment="1">
      <alignment vertical="center"/>
    </xf>
    <xf numFmtId="0" fontId="13" fillId="0" borderId="0" xfId="4" applyFont="1" applyFill="1" applyBorder="1" applyAlignment="1">
      <alignment horizontal="left" vertical="center"/>
    </xf>
    <xf numFmtId="0" fontId="41" fillId="0" borderId="0" xfId="0" applyFont="1" applyFill="1" applyBorder="1" applyAlignment="1">
      <alignment horizontal="left" vertical="center" readingOrder="1"/>
    </xf>
    <xf numFmtId="0" fontId="6" fillId="0" borderId="0" xfId="3" applyAlignment="1">
      <alignment vertical="center"/>
    </xf>
    <xf numFmtId="49" fontId="48" fillId="0" borderId="0" xfId="0" applyNumberFormat="1" applyFont="1" applyFill="1" applyBorder="1" applyAlignment="1">
      <alignment horizontal="left" vertical="center"/>
    </xf>
    <xf numFmtId="0" fontId="45" fillId="0" borderId="0" xfId="5" applyFont="1" applyFill="1" applyBorder="1" applyAlignment="1">
      <alignment vertical="center"/>
    </xf>
    <xf numFmtId="0" fontId="45" fillId="0" borderId="0" xfId="6" applyFont="1" applyFill="1" applyBorder="1" applyAlignment="1">
      <alignment vertical="center"/>
    </xf>
    <xf numFmtId="0" fontId="41" fillId="0" borderId="0" xfId="0" applyFont="1" applyFill="1" applyBorder="1" applyAlignment="1">
      <alignment horizontal="right" vertical="center"/>
    </xf>
    <xf numFmtId="0" fontId="41" fillId="0" borderId="0" xfId="0" applyFont="1" applyFill="1" applyBorder="1" applyAlignment="1">
      <alignment horizontal="left" vertical="center"/>
    </xf>
    <xf numFmtId="49" fontId="46" fillId="0" borderId="0" xfId="0" applyNumberFormat="1" applyFont="1" applyFill="1" applyBorder="1" applyAlignment="1">
      <alignment vertical="center"/>
    </xf>
    <xf numFmtId="0" fontId="5" fillId="12" borderId="0" xfId="0" applyFont="1" applyFill="1" applyBorder="1" applyAlignment="1">
      <alignment horizontal="center" vertical="center"/>
    </xf>
    <xf numFmtId="0" fontId="5" fillId="12" borderId="5" xfId="0" applyFont="1" applyFill="1" applyBorder="1" applyAlignment="1">
      <alignment horizontal="center" vertical="center"/>
    </xf>
    <xf numFmtId="0" fontId="5" fillId="12" borderId="8" xfId="0" applyFont="1" applyFill="1" applyBorder="1" applyAlignment="1">
      <alignment horizontal="center"/>
    </xf>
    <xf numFmtId="0" fontId="5" fillId="12" borderId="6" xfId="0" applyFont="1" applyFill="1" applyBorder="1" applyAlignment="1">
      <alignment horizontal="center"/>
    </xf>
    <xf numFmtId="0" fontId="5" fillId="12" borderId="11" xfId="0" applyFont="1" applyFill="1" applyBorder="1" applyAlignment="1">
      <alignment horizontal="center" vertical="center"/>
    </xf>
    <xf numFmtId="0" fontId="5" fillId="12" borderId="10" xfId="0" applyFont="1" applyFill="1" applyBorder="1" applyAlignment="1">
      <alignment horizontal="center" vertical="center"/>
    </xf>
    <xf numFmtId="0" fontId="5" fillId="12" borderId="8" xfId="0" applyFont="1" applyFill="1" applyBorder="1" applyAlignment="1">
      <alignment horizontal="center" vertical="center"/>
    </xf>
    <xf numFmtId="0" fontId="5" fillId="12" borderId="6" xfId="0" applyFont="1" applyFill="1" applyBorder="1" applyAlignment="1">
      <alignment horizontal="center" vertical="center"/>
    </xf>
    <xf numFmtId="0" fontId="5" fillId="12" borderId="6" xfId="0" applyFont="1" applyFill="1" applyBorder="1"/>
    <xf numFmtId="0" fontId="5" fillId="12" borderId="5" xfId="0" applyFont="1" applyFill="1" applyBorder="1"/>
    <xf numFmtId="165" fontId="5" fillId="12" borderId="13" xfId="0" applyNumberFormat="1" applyFont="1" applyFill="1" applyBorder="1" applyAlignment="1">
      <alignment horizontal="center" vertical="center"/>
    </xf>
    <xf numFmtId="0" fontId="0" fillId="12" borderId="5" xfId="0" applyFill="1" applyBorder="1" applyAlignment="1">
      <alignment horizontal="center" vertical="center"/>
    </xf>
    <xf numFmtId="0" fontId="5" fillId="12" borderId="11" xfId="0" applyFont="1" applyFill="1" applyBorder="1" applyAlignment="1">
      <alignment horizontal="center"/>
    </xf>
    <xf numFmtId="0" fontId="0" fillId="12" borderId="3" xfId="0" applyFill="1" applyBorder="1" applyAlignment="1">
      <alignment horizontal="center" vertical="center" wrapText="1"/>
    </xf>
    <xf numFmtId="0" fontId="0" fillId="12" borderId="2" xfId="0" applyFill="1" applyBorder="1" applyAlignment="1">
      <alignment horizontal="center" vertical="center" wrapText="1"/>
    </xf>
    <xf numFmtId="0" fontId="1" fillId="11" borderId="8" xfId="2" applyFill="1" applyBorder="1" applyAlignment="1">
      <alignment horizontal="center" vertical="center"/>
    </xf>
    <xf numFmtId="0" fontId="1" fillId="11" borderId="6" xfId="2" applyFill="1" applyBorder="1" applyAlignment="1">
      <alignment horizontal="center" vertical="center"/>
    </xf>
    <xf numFmtId="0" fontId="0" fillId="12" borderId="5" xfId="0" applyFill="1" applyBorder="1"/>
    <xf numFmtId="0" fontId="5" fillId="12" borderId="22" xfId="0" applyFont="1" applyFill="1" applyBorder="1" applyAlignment="1">
      <alignment horizontal="center" vertical="center"/>
    </xf>
    <xf numFmtId="0" fontId="5" fillId="12" borderId="43" xfId="0" applyFont="1" applyFill="1" applyBorder="1" applyAlignment="1">
      <alignment horizontal="center" vertical="center"/>
    </xf>
    <xf numFmtId="0" fontId="5" fillId="12" borderId="44" xfId="0" applyFont="1" applyFill="1" applyBorder="1" applyAlignment="1">
      <alignment horizontal="center"/>
    </xf>
    <xf numFmtId="0" fontId="5" fillId="12" borderId="22" xfId="0" applyFont="1" applyFill="1" applyBorder="1" applyAlignment="1">
      <alignment horizontal="center"/>
    </xf>
    <xf numFmtId="0" fontId="5" fillId="12" borderId="43" xfId="0" applyFont="1" applyFill="1" applyBorder="1" applyAlignment="1">
      <alignment horizontal="center"/>
    </xf>
    <xf numFmtId="0" fontId="0" fillId="4" borderId="22" xfId="0" applyFill="1" applyBorder="1" applyAlignment="1">
      <alignment horizontal="center" vertical="center"/>
    </xf>
    <xf numFmtId="0" fontId="0" fillId="4" borderId="43" xfId="0" applyFill="1" applyBorder="1" applyAlignment="1">
      <alignment horizontal="center" vertical="center"/>
    </xf>
    <xf numFmtId="0" fontId="0" fillId="4" borderId="44" xfId="0" applyFill="1" applyBorder="1" applyAlignment="1">
      <alignment horizontal="center" vertical="center"/>
    </xf>
    <xf numFmtId="0" fontId="0" fillId="12" borderId="13" xfId="0" applyFill="1" applyBorder="1" applyAlignment="1">
      <alignment horizontal="center" vertical="center"/>
    </xf>
    <xf numFmtId="0" fontId="0" fillId="12" borderId="45" xfId="0" applyFill="1" applyBorder="1" applyAlignment="1">
      <alignment horizontal="center" vertical="center" wrapText="1"/>
    </xf>
    <xf numFmtId="164" fontId="0" fillId="12" borderId="46" xfId="0" applyNumberFormat="1" applyFill="1" applyBorder="1" applyAlignment="1">
      <alignment horizontal="center" vertical="center" wrapText="1"/>
    </xf>
    <xf numFmtId="0" fontId="5" fillId="12" borderId="44" xfId="0" applyFont="1" applyFill="1" applyBorder="1" applyAlignment="1">
      <alignment horizontal="center" vertical="center"/>
    </xf>
    <xf numFmtId="0" fontId="5" fillId="12" borderId="47" xfId="0" applyFont="1" applyFill="1" applyBorder="1" applyAlignment="1">
      <alignment horizontal="center" vertical="center"/>
    </xf>
    <xf numFmtId="0" fontId="5" fillId="12" borderId="48" xfId="0" applyFont="1" applyFill="1" applyBorder="1" applyAlignment="1">
      <alignment horizontal="center" vertical="center"/>
    </xf>
    <xf numFmtId="0" fontId="5" fillId="12" borderId="49" xfId="0" applyFont="1" applyFill="1" applyBorder="1" applyAlignment="1">
      <alignment horizontal="center" vertical="center"/>
    </xf>
    <xf numFmtId="0" fontId="5" fillId="12" borderId="47" xfId="0" applyFont="1" applyFill="1" applyBorder="1" applyAlignment="1">
      <alignment horizontal="center"/>
    </xf>
    <xf numFmtId="0" fontId="5" fillId="12" borderId="48" xfId="0" applyFont="1" applyFill="1" applyBorder="1" applyAlignment="1">
      <alignment horizontal="center"/>
    </xf>
    <xf numFmtId="0" fontId="5" fillId="12" borderId="49" xfId="0" applyFont="1" applyFill="1" applyBorder="1" applyAlignment="1">
      <alignment horizontal="center"/>
    </xf>
    <xf numFmtId="0" fontId="0" fillId="11" borderId="6" xfId="0" applyFill="1" applyBorder="1" applyAlignment="1">
      <alignment horizontal="center"/>
    </xf>
    <xf numFmtId="0" fontId="1" fillId="11" borderId="11" xfId="2" applyFill="1" applyBorder="1" applyAlignment="1">
      <alignment horizontal="center" vertical="center"/>
    </xf>
    <xf numFmtId="0" fontId="18" fillId="12" borderId="44" xfId="5" applyFont="1" applyFill="1" applyBorder="1" applyAlignment="1">
      <alignment horizontal="center" vertical="center"/>
    </xf>
    <xf numFmtId="0" fontId="18" fillId="12" borderId="22" xfId="5" applyFont="1" applyFill="1" applyBorder="1" applyAlignment="1">
      <alignment horizontal="center" vertical="center"/>
    </xf>
    <xf numFmtId="0" fontId="5" fillId="12" borderId="24" xfId="0" applyFont="1" applyFill="1" applyBorder="1" applyAlignment="1">
      <alignment horizontal="center" vertical="center"/>
    </xf>
    <xf numFmtId="0" fontId="5" fillId="12" borderId="50" xfId="0" applyFont="1" applyFill="1" applyBorder="1" applyAlignment="1">
      <alignment horizontal="center" vertical="center"/>
    </xf>
    <xf numFmtId="0" fontId="5" fillId="12" borderId="51" xfId="0" applyFont="1" applyFill="1" applyBorder="1" applyAlignment="1">
      <alignment horizontal="center" vertical="center"/>
    </xf>
    <xf numFmtId="0" fontId="0" fillId="12" borderId="52" xfId="0" applyFill="1" applyBorder="1" applyAlignment="1">
      <alignment horizontal="center" vertical="center" wrapText="1"/>
    </xf>
    <xf numFmtId="0" fontId="5" fillId="12" borderId="53" xfId="0" applyFont="1" applyFill="1" applyBorder="1" applyAlignment="1">
      <alignment horizontal="center" vertical="center"/>
    </xf>
    <xf numFmtId="165" fontId="5" fillId="12" borderId="48" xfId="0" applyNumberFormat="1" applyFont="1" applyFill="1" applyBorder="1" applyAlignment="1">
      <alignment horizontal="center" vertical="center"/>
    </xf>
    <xf numFmtId="0" fontId="5" fillId="12" borderId="54" xfId="0" applyFont="1" applyFill="1" applyBorder="1" applyAlignment="1">
      <alignment horizontal="center" vertical="center"/>
    </xf>
    <xf numFmtId="165" fontId="5" fillId="12" borderId="49" xfId="0" applyNumberFormat="1" applyFont="1" applyFill="1" applyBorder="1" applyAlignment="1">
      <alignment horizontal="center" vertical="center"/>
    </xf>
    <xf numFmtId="0" fontId="5" fillId="12" borderId="53" xfId="0" applyFont="1" applyFill="1" applyBorder="1" applyAlignment="1">
      <alignment horizontal="center"/>
    </xf>
    <xf numFmtId="165" fontId="5" fillId="12" borderId="48" xfId="0" applyNumberFormat="1" applyFont="1" applyFill="1" applyBorder="1" applyAlignment="1">
      <alignment horizontal="center"/>
    </xf>
    <xf numFmtId="0" fontId="5" fillId="12" borderId="54" xfId="0" applyFont="1" applyFill="1" applyBorder="1" applyAlignment="1">
      <alignment horizontal="center"/>
    </xf>
    <xf numFmtId="165" fontId="5" fillId="12" borderId="49" xfId="0" applyNumberFormat="1" applyFont="1" applyFill="1" applyBorder="1" applyAlignment="1">
      <alignment horizontal="center"/>
    </xf>
    <xf numFmtId="0" fontId="5" fillId="12" borderId="55" xfId="0" applyFont="1" applyFill="1" applyBorder="1" applyAlignment="1">
      <alignment horizontal="center" vertical="center"/>
    </xf>
    <xf numFmtId="165" fontId="5" fillId="12" borderId="47" xfId="0" applyNumberFormat="1" applyFont="1" applyFill="1" applyBorder="1" applyAlignment="1">
      <alignment horizontal="center" vertical="center"/>
    </xf>
    <xf numFmtId="0" fontId="18" fillId="12" borderId="55" xfId="5" applyFont="1" applyFill="1" applyBorder="1" applyAlignment="1">
      <alignment horizontal="center" vertical="center"/>
    </xf>
    <xf numFmtId="165" fontId="10" fillId="12" borderId="47" xfId="3" applyNumberFormat="1" applyFont="1" applyFill="1" applyBorder="1" applyAlignment="1">
      <alignment horizontal="center" vertical="center"/>
    </xf>
    <xf numFmtId="0" fontId="18" fillId="12" borderId="53" xfId="5" applyFont="1" applyFill="1" applyBorder="1" applyAlignment="1">
      <alignment horizontal="center" vertical="center"/>
    </xf>
    <xf numFmtId="165" fontId="10" fillId="12" borderId="48" xfId="3" applyNumberFormat="1" applyFont="1" applyFill="1" applyBorder="1" applyAlignment="1">
      <alignment horizontal="center" vertical="center"/>
    </xf>
    <xf numFmtId="0" fontId="18" fillId="12" borderId="54" xfId="5" applyFont="1" applyFill="1" applyBorder="1" applyAlignment="1">
      <alignment horizontal="center" vertical="center"/>
    </xf>
    <xf numFmtId="0" fontId="18" fillId="12" borderId="43" xfId="5" applyFont="1" applyFill="1" applyBorder="1" applyAlignment="1">
      <alignment horizontal="center" vertical="center"/>
    </xf>
    <xf numFmtId="165" fontId="10" fillId="12" borderId="49" xfId="3" applyNumberFormat="1" applyFont="1" applyFill="1" applyBorder="1" applyAlignment="1">
      <alignment horizontal="center" vertical="center"/>
    </xf>
    <xf numFmtId="0" fontId="0" fillId="11" borderId="4" xfId="0" applyFill="1" applyBorder="1" applyAlignment="1">
      <alignment horizontal="center" vertical="center" wrapText="1"/>
    </xf>
    <xf numFmtId="0" fontId="0" fillId="12" borderId="10" xfId="0" applyFill="1" applyBorder="1" applyAlignment="1">
      <alignment horizontal="center" vertical="center"/>
    </xf>
    <xf numFmtId="0" fontId="0" fillId="3" borderId="11" xfId="0" applyFill="1" applyBorder="1" applyAlignment="1">
      <alignment horizontal="left" vertical="center"/>
    </xf>
    <xf numFmtId="0" fontId="0" fillId="3" borderId="15" xfId="0" applyFill="1" applyBorder="1" applyAlignment="1">
      <alignment horizontal="left" vertical="center"/>
    </xf>
    <xf numFmtId="0" fontId="0" fillId="14" borderId="10" xfId="0" applyFill="1" applyBorder="1" applyAlignment="1">
      <alignment horizontal="center" vertical="center"/>
    </xf>
    <xf numFmtId="0" fontId="0" fillId="3" borderId="0" xfId="0" applyFill="1" applyBorder="1" applyAlignment="1">
      <alignment horizontal="center" vertical="center"/>
    </xf>
    <xf numFmtId="0" fontId="0" fillId="3" borderId="14" xfId="0" applyFill="1" applyBorder="1" applyAlignment="1">
      <alignment horizontal="center" vertical="center"/>
    </xf>
    <xf numFmtId="0" fontId="9" fillId="3" borderId="4" xfId="4" applyFont="1" applyFill="1" applyBorder="1" applyAlignment="1">
      <alignment horizontal="center"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3" borderId="11" xfId="0" applyFill="1" applyBorder="1" applyAlignment="1">
      <alignment horizontal="center" vertical="center"/>
    </xf>
    <xf numFmtId="0" fontId="0" fillId="3" borderId="6" xfId="0" applyFill="1" applyBorder="1" applyAlignment="1">
      <alignment horizontal="center" vertical="center"/>
    </xf>
    <xf numFmtId="0" fontId="4" fillId="32" borderId="12" xfId="0" applyFont="1" applyFill="1" applyBorder="1" applyAlignment="1">
      <alignment horizontal="center" vertical="center"/>
    </xf>
    <xf numFmtId="0" fontId="4" fillId="32" borderId="15" xfId="0" applyFont="1" applyFill="1" applyBorder="1" applyAlignment="1">
      <alignment horizontal="center" vertical="center"/>
    </xf>
    <xf numFmtId="6" fontId="0" fillId="12" borderId="9" xfId="0" applyNumberFormat="1" applyFill="1" applyBorder="1" applyAlignment="1">
      <alignment horizontal="center" vertical="center"/>
    </xf>
    <xf numFmtId="6" fontId="0" fillId="12" borderId="7" xfId="0" applyNumberFormat="1" applyFill="1" applyBorder="1" applyAlignment="1">
      <alignment horizontal="center" vertical="center"/>
    </xf>
    <xf numFmtId="0" fontId="32" fillId="0" borderId="0" xfId="0" applyFont="1" applyFill="1"/>
    <xf numFmtId="0" fontId="4" fillId="0" borderId="0" xfId="0" applyFont="1" applyFill="1" applyAlignment="1">
      <alignment horizontal="center" vertical="center"/>
    </xf>
    <xf numFmtId="0" fontId="4" fillId="0" borderId="0" xfId="0" applyFont="1" applyFill="1"/>
    <xf numFmtId="0" fontId="4" fillId="0" borderId="0" xfId="0" applyFont="1" applyFill="1" applyAlignment="1">
      <alignment vertical="center"/>
    </xf>
    <xf numFmtId="172" fontId="0" fillId="0" borderId="0" xfId="0" applyNumberFormat="1" applyFill="1"/>
    <xf numFmtId="166" fontId="0" fillId="0" borderId="0" xfId="0" applyNumberFormat="1" applyFill="1"/>
    <xf numFmtId="0" fontId="0" fillId="0" borderId="0" xfId="0" applyFill="1" applyAlignment="1">
      <alignment horizontal="center"/>
    </xf>
    <xf numFmtId="167" fontId="0" fillId="0" borderId="0" xfId="0" applyNumberFormat="1" applyFill="1"/>
    <xf numFmtId="170" fontId="2" fillId="32" borderId="4" xfId="0" applyNumberFormat="1" applyFont="1" applyFill="1" applyBorder="1" applyAlignment="1">
      <alignment horizontal="center" vertical="center"/>
    </xf>
    <xf numFmtId="0" fontId="7" fillId="12" borderId="10" xfId="3" applyFont="1" applyFill="1" applyBorder="1" applyAlignment="1">
      <alignment horizontal="center" vertical="center" wrapText="1"/>
    </xf>
    <xf numFmtId="0" fontId="7" fillId="12" borderId="0" xfId="3" applyFont="1" applyFill="1" applyBorder="1" applyAlignment="1">
      <alignment horizontal="center" vertical="center" wrapText="1"/>
    </xf>
    <xf numFmtId="0" fontId="1" fillId="12" borderId="0" xfId="0" applyFont="1" applyFill="1" applyBorder="1" applyAlignment="1">
      <alignment horizontal="center" vertical="center" wrapText="1"/>
    </xf>
    <xf numFmtId="0" fontId="11" fillId="12" borderId="0" xfId="5" applyFont="1" applyFill="1" applyBorder="1" applyAlignment="1">
      <alignment horizontal="center" vertical="center" wrapText="1"/>
    </xf>
    <xf numFmtId="0" fontId="1" fillId="12" borderId="10"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7" fillId="12" borderId="13" xfId="3" applyFont="1" applyFill="1" applyBorder="1" applyAlignment="1">
      <alignment horizontal="center" vertical="center"/>
    </xf>
    <xf numFmtId="0" fontId="7" fillId="12" borderId="5" xfId="3" applyFont="1" applyFill="1" applyBorder="1" applyAlignment="1">
      <alignment horizontal="center" vertical="center" wrapText="1"/>
    </xf>
    <xf numFmtId="0" fontId="7" fillId="12" borderId="44" xfId="3" applyFont="1" applyFill="1" applyBorder="1" applyAlignment="1">
      <alignment horizontal="center" vertical="center" wrapText="1"/>
    </xf>
    <xf numFmtId="0" fontId="7" fillId="12" borderId="22" xfId="3" applyFont="1" applyFill="1" applyBorder="1" applyAlignment="1">
      <alignment horizontal="center" vertical="center" wrapText="1"/>
    </xf>
    <xf numFmtId="0" fontId="1" fillId="12" borderId="22" xfId="0" applyFont="1" applyFill="1" applyBorder="1" applyAlignment="1">
      <alignment horizontal="center" vertical="center" wrapText="1"/>
    </xf>
    <xf numFmtId="0" fontId="11" fillId="12" borderId="22" xfId="5" applyFont="1" applyFill="1" applyBorder="1" applyAlignment="1">
      <alignment horizontal="center" vertical="center" wrapText="1"/>
    </xf>
    <xf numFmtId="0" fontId="1" fillId="12" borderId="44" xfId="0" applyFont="1" applyFill="1" applyBorder="1" applyAlignment="1">
      <alignment horizontal="center" vertical="center" wrapText="1"/>
    </xf>
    <xf numFmtId="9" fontId="7" fillId="12" borderId="44" xfId="1" applyFont="1" applyFill="1" applyBorder="1" applyAlignment="1">
      <alignment horizontal="center" vertical="center" wrapText="1"/>
    </xf>
    <xf numFmtId="9" fontId="7" fillId="12" borderId="22" xfId="1" applyFont="1" applyFill="1" applyBorder="1" applyAlignment="1">
      <alignment horizontal="center" vertical="center" wrapText="1"/>
    </xf>
    <xf numFmtId="9" fontId="1" fillId="12" borderId="22" xfId="1" applyFont="1" applyFill="1" applyBorder="1" applyAlignment="1">
      <alignment horizontal="center" vertical="center" wrapText="1"/>
    </xf>
    <xf numFmtId="9" fontId="11" fillId="12" borderId="22" xfId="1" applyFont="1" applyFill="1" applyBorder="1" applyAlignment="1">
      <alignment horizontal="center" vertical="center" wrapText="1"/>
    </xf>
    <xf numFmtId="9" fontId="1" fillId="12" borderId="44" xfId="1" applyFont="1" applyFill="1" applyBorder="1" applyAlignment="1">
      <alignment horizontal="center" vertical="center" wrapText="1"/>
    </xf>
    <xf numFmtId="0" fontId="0" fillId="12" borderId="55" xfId="0" applyFill="1" applyBorder="1" applyAlignment="1">
      <alignment horizontal="center" vertical="center" wrapText="1"/>
    </xf>
    <xf numFmtId="0" fontId="0" fillId="12" borderId="44" xfId="0" applyFill="1" applyBorder="1" applyAlignment="1">
      <alignment horizontal="center" vertical="center" wrapText="1"/>
    </xf>
    <xf numFmtId="164" fontId="0" fillId="12" borderId="47" xfId="0" applyNumberFormat="1" applyFill="1" applyBorder="1" applyAlignment="1">
      <alignment horizontal="center" vertical="center" wrapText="1"/>
    </xf>
    <xf numFmtId="0" fontId="7" fillId="12" borderId="55" xfId="3" applyFont="1" applyFill="1" applyBorder="1" applyAlignment="1">
      <alignment horizontal="center" vertical="center" wrapText="1"/>
    </xf>
    <xf numFmtId="0" fontId="7" fillId="12" borderId="47" xfId="3" applyFont="1" applyFill="1" applyBorder="1" applyAlignment="1">
      <alignment horizontal="center" vertical="center"/>
    </xf>
    <xf numFmtId="0" fontId="7" fillId="12" borderId="53" xfId="3" applyFont="1" applyFill="1" applyBorder="1" applyAlignment="1">
      <alignment horizontal="center" vertical="center" wrapText="1"/>
    </xf>
    <xf numFmtId="0" fontId="7" fillId="12" borderId="48" xfId="3" applyFont="1" applyFill="1" applyBorder="1" applyAlignment="1">
      <alignment horizontal="center" vertical="center"/>
    </xf>
    <xf numFmtId="0" fontId="1" fillId="12" borderId="53" xfId="0" applyFont="1" applyFill="1" applyBorder="1" applyAlignment="1">
      <alignment horizontal="center" vertical="center" wrapText="1"/>
    </xf>
    <xf numFmtId="0" fontId="11" fillId="12" borderId="53" xfId="5" applyFont="1" applyFill="1" applyBorder="1" applyAlignment="1">
      <alignment horizontal="center" vertical="center" wrapText="1"/>
    </xf>
    <xf numFmtId="0" fontId="1" fillId="12" borderId="55" xfId="0" applyFont="1" applyFill="1" applyBorder="1" applyAlignment="1">
      <alignment horizontal="center" vertical="center" wrapText="1"/>
    </xf>
    <xf numFmtId="0" fontId="1" fillId="12" borderId="47" xfId="0" applyFont="1" applyFill="1" applyBorder="1" applyAlignment="1">
      <alignment horizontal="center" vertical="center" wrapText="1"/>
    </xf>
    <xf numFmtId="0" fontId="1" fillId="12" borderId="48" xfId="0" applyFont="1" applyFill="1" applyBorder="1" applyAlignment="1">
      <alignment horizontal="center" vertical="center" wrapText="1"/>
    </xf>
    <xf numFmtId="0" fontId="1" fillId="12" borderId="54" xfId="0" applyFont="1" applyFill="1" applyBorder="1" applyAlignment="1">
      <alignment horizontal="center" vertical="center" wrapText="1"/>
    </xf>
    <xf numFmtId="0" fontId="1" fillId="12" borderId="43" xfId="0" applyFont="1" applyFill="1" applyBorder="1" applyAlignment="1">
      <alignment horizontal="center" vertical="center" wrapText="1"/>
    </xf>
    <xf numFmtId="9" fontId="1" fillId="12" borderId="43" xfId="1" applyFont="1" applyFill="1" applyBorder="1" applyAlignment="1">
      <alignment horizontal="center" vertical="center" wrapText="1"/>
    </xf>
    <xf numFmtId="0" fontId="1" fillId="12" borderId="49" xfId="0" applyFont="1" applyFill="1" applyBorder="1" applyAlignment="1">
      <alignment horizontal="center" vertical="center" wrapText="1"/>
    </xf>
    <xf numFmtId="0" fontId="0" fillId="12" borderId="47" xfId="0" applyFill="1" applyBorder="1" applyAlignment="1">
      <alignment horizontal="center" vertical="center"/>
    </xf>
    <xf numFmtId="0" fontId="0" fillId="12" borderId="48" xfId="0" applyFill="1" applyBorder="1" applyAlignment="1">
      <alignment horizontal="center" vertical="center"/>
    </xf>
    <xf numFmtId="0" fontId="0" fillId="12" borderId="49" xfId="0" applyFill="1" applyBorder="1" applyAlignment="1">
      <alignment horizontal="center" vertical="center"/>
    </xf>
    <xf numFmtId="0" fontId="32" fillId="0" borderId="0" xfId="0" applyFont="1" applyAlignment="1">
      <alignment vertical="center"/>
    </xf>
    <xf numFmtId="0" fontId="49" fillId="0" borderId="0" xfId="0" applyFont="1" applyAlignment="1">
      <alignment vertical="center"/>
    </xf>
    <xf numFmtId="0" fontId="14" fillId="0" borderId="0" xfId="7" applyAlignment="1">
      <alignment vertical="center"/>
    </xf>
    <xf numFmtId="0" fontId="14" fillId="0" borderId="0" xfId="7"/>
    <xf numFmtId="0" fontId="19" fillId="0" borderId="0" xfId="0" applyFont="1" applyAlignment="1">
      <alignment horizontal="right"/>
    </xf>
    <xf numFmtId="0" fontId="50" fillId="0" borderId="0" xfId="0" applyFont="1"/>
    <xf numFmtId="0" fontId="51" fillId="0" borderId="0" xfId="0" applyFont="1"/>
    <xf numFmtId="0" fontId="50" fillId="0" borderId="0" xfId="0" applyFont="1" applyAlignment="1">
      <alignment vertical="center"/>
    </xf>
    <xf numFmtId="0" fontId="51" fillId="0" borderId="0" xfId="0" applyFont="1" applyFill="1"/>
    <xf numFmtId="0" fontId="50" fillId="0" borderId="0" xfId="0" applyFont="1" applyFill="1"/>
    <xf numFmtId="0" fontId="51" fillId="0" borderId="0" xfId="0" applyFont="1" applyFill="1" applyAlignment="1">
      <alignment horizontal="center" vertical="center"/>
    </xf>
    <xf numFmtId="0" fontId="28" fillId="0" borderId="0" xfId="0" applyFont="1" applyFill="1" applyBorder="1" applyAlignment="1">
      <alignment horizontal="center" vertical="center" wrapText="1" readingOrder="1"/>
    </xf>
    <xf numFmtId="0" fontId="50" fillId="0" borderId="0" xfId="0" applyFont="1" applyFill="1" applyAlignment="1"/>
    <xf numFmtId="0" fontId="14" fillId="0" borderId="0" xfId="7" applyFill="1"/>
    <xf numFmtId="170" fontId="32" fillId="0" borderId="0" xfId="0" applyNumberFormat="1" applyFont="1"/>
    <xf numFmtId="0" fontId="32" fillId="0" borderId="0" xfId="0" applyFont="1" applyAlignment="1">
      <alignment horizontal="right"/>
    </xf>
    <xf numFmtId="0" fontId="50" fillId="0" borderId="0" xfId="0" applyFont="1" applyFill="1" applyAlignment="1">
      <alignment horizontal="right"/>
    </xf>
    <xf numFmtId="0" fontId="32" fillId="0" borderId="0" xfId="0" applyFont="1" applyFill="1" applyAlignment="1">
      <alignment horizontal="right"/>
    </xf>
    <xf numFmtId="0" fontId="50" fillId="0" borderId="0" xfId="0" applyFont="1" applyAlignment="1">
      <alignment horizontal="right"/>
    </xf>
    <xf numFmtId="0" fontId="32" fillId="0" borderId="0" xfId="0" applyFont="1" applyAlignment="1">
      <alignment horizontal="right" vertical="center"/>
    </xf>
    <xf numFmtId="0" fontId="50" fillId="0" borderId="0" xfId="0" applyFont="1" applyAlignment="1">
      <alignment horizontal="right" vertical="center"/>
    </xf>
    <xf numFmtId="0" fontId="0" fillId="0" borderId="0" xfId="0" applyFill="1" applyBorder="1" applyAlignment="1">
      <alignment horizontal="left"/>
    </xf>
    <xf numFmtId="0" fontId="16" fillId="0" borderId="0" xfId="0" applyFont="1" applyFill="1" applyBorder="1"/>
    <xf numFmtId="0" fontId="31" fillId="0" borderId="0" xfId="8" applyFont="1" applyFill="1" applyAlignment="1">
      <alignment horizontal="left" vertical="center"/>
    </xf>
    <xf numFmtId="0" fontId="33" fillId="0" borderId="0" xfId="8" applyFont="1" applyFill="1" applyBorder="1" applyAlignment="1">
      <alignment horizontal="left"/>
    </xf>
    <xf numFmtId="0" fontId="33" fillId="0" borderId="0" xfId="8" applyFont="1" applyFill="1" applyBorder="1" applyAlignment="1">
      <alignment horizontal="left" vertical="center"/>
    </xf>
    <xf numFmtId="0" fontId="3" fillId="0" borderId="0" xfId="0" applyFont="1" applyFill="1" applyBorder="1" applyAlignment="1">
      <alignment horizontal="center"/>
    </xf>
    <xf numFmtId="9" fontId="15" fillId="0" borderId="0" xfId="0" applyNumberFormat="1" applyFont="1" applyFill="1" applyBorder="1" applyAlignment="1">
      <alignment horizontal="center" vertical="center"/>
    </xf>
    <xf numFmtId="9" fontId="0" fillId="0" borderId="0" xfId="0" applyNumberFormat="1" applyFill="1" applyBorder="1" applyAlignment="1">
      <alignment horizontal="center" vertical="center"/>
    </xf>
    <xf numFmtId="0" fontId="0" fillId="0" borderId="0" xfId="0" applyFill="1" applyBorder="1" applyAlignment="1">
      <alignment horizontal="left" vertical="center"/>
    </xf>
    <xf numFmtId="0" fontId="0" fillId="33" borderId="15" xfId="0" applyFont="1" applyFill="1" applyBorder="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12" borderId="57" xfId="0" applyFill="1" applyBorder="1" applyAlignment="1">
      <alignment vertical="center" wrapText="1"/>
    </xf>
    <xf numFmtId="0" fontId="0" fillId="10" borderId="0" xfId="0" applyFill="1" applyAlignment="1">
      <alignment horizontal="center"/>
    </xf>
    <xf numFmtId="0" fontId="0" fillId="12" borderId="4" xfId="0" applyFill="1" applyBorder="1" applyAlignment="1" applyProtection="1">
      <alignment horizontal="center" vertical="center"/>
      <protection locked="0"/>
    </xf>
    <xf numFmtId="0" fontId="3" fillId="12" borderId="4" xfId="0" applyFont="1" applyFill="1" applyBorder="1" applyAlignment="1" applyProtection="1">
      <alignment horizontal="left" vertical="center"/>
      <protection locked="0"/>
    </xf>
    <xf numFmtId="0" fontId="3" fillId="12" borderId="4" xfId="0" applyFont="1" applyFill="1" applyBorder="1" applyAlignment="1" applyProtection="1">
      <alignment horizontal="center" vertical="center"/>
      <protection locked="0"/>
    </xf>
    <xf numFmtId="0" fontId="35" fillId="19" borderId="0" xfId="0" applyFont="1" applyFill="1" applyBorder="1" applyAlignment="1" applyProtection="1">
      <alignment vertical="center"/>
      <protection locked="0"/>
    </xf>
    <xf numFmtId="0" fontId="7" fillId="4" borderId="0" xfId="3"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7" fillId="12" borderId="48" xfId="3" applyFont="1" applyFill="1" applyBorder="1" applyAlignment="1" applyProtection="1">
      <alignment horizontal="center" vertical="center"/>
    </xf>
    <xf numFmtId="0" fontId="52" fillId="18" borderId="0" xfId="0" applyFont="1" applyFill="1" applyAlignment="1">
      <alignment horizontal="left" vertical="center"/>
    </xf>
    <xf numFmtId="0" fontId="40" fillId="18" borderId="0" xfId="0" applyFont="1" applyFill="1" applyAlignment="1">
      <alignment vertical="center"/>
    </xf>
    <xf numFmtId="0" fontId="2" fillId="18" borderId="0" xfId="0" applyFont="1" applyFill="1" applyAlignment="1">
      <alignment horizontal="center" vertical="center"/>
    </xf>
    <xf numFmtId="0" fontId="0" fillId="19" borderId="14" xfId="0" applyFill="1" applyBorder="1" applyAlignment="1">
      <alignment horizontal="left" vertical="center"/>
    </xf>
    <xf numFmtId="0" fontId="0" fillId="12" borderId="4" xfId="0" applyFont="1" applyFill="1" applyBorder="1" applyAlignment="1" applyProtection="1">
      <alignment horizontal="left" vertical="center"/>
      <protection locked="0"/>
    </xf>
    <xf numFmtId="0" fontId="0" fillId="12" borderId="4" xfId="0" applyFont="1" applyFill="1" applyBorder="1" applyAlignment="1" applyProtection="1">
      <alignment horizontal="center" vertical="center"/>
      <protection locked="0"/>
    </xf>
    <xf numFmtId="0" fontId="0" fillId="19" borderId="11" xfId="0" applyFill="1" applyBorder="1" applyAlignment="1">
      <alignment horizontal="center" vertical="center"/>
    </xf>
    <xf numFmtId="0" fontId="0" fillId="19" borderId="6" xfId="0" applyFill="1" applyBorder="1" applyAlignment="1">
      <alignment horizontal="center" vertical="center"/>
    </xf>
    <xf numFmtId="0" fontId="0" fillId="11" borderId="14" xfId="0" applyFill="1" applyBorder="1" applyAlignment="1">
      <alignment horizontal="left" vertical="center"/>
    </xf>
    <xf numFmtId="1" fontId="0" fillId="20" borderId="0" xfId="0" applyNumberFormat="1" applyFill="1" applyBorder="1" applyAlignment="1">
      <alignment horizontal="center" vertical="center"/>
    </xf>
    <xf numFmtId="0" fontId="0" fillId="11" borderId="17" xfId="0" applyFill="1" applyBorder="1" applyAlignment="1">
      <alignment vertical="center"/>
    </xf>
    <xf numFmtId="0" fontId="0" fillId="11" borderId="22" xfId="0" applyFill="1" applyBorder="1" applyAlignment="1">
      <alignment horizontal="center" vertical="center"/>
    </xf>
    <xf numFmtId="0" fontId="0" fillId="11" borderId="19" xfId="0" applyFill="1" applyBorder="1" applyAlignment="1">
      <alignment horizontal="center" vertical="center"/>
    </xf>
    <xf numFmtId="0" fontId="0" fillId="3" borderId="22" xfId="0" applyFill="1" applyBorder="1" applyAlignment="1">
      <alignment horizontal="center" vertical="center"/>
    </xf>
    <xf numFmtId="0" fontId="0" fillId="19" borderId="22" xfId="0" applyFill="1" applyBorder="1" applyAlignment="1">
      <alignment horizontal="center" vertical="center"/>
    </xf>
    <xf numFmtId="0" fontId="0" fillId="31" borderId="22" xfId="0" applyFill="1" applyBorder="1" applyAlignment="1">
      <alignment horizontal="center" vertical="center"/>
    </xf>
    <xf numFmtId="0" fontId="0" fillId="31" borderId="21" xfId="0" applyFill="1" applyBorder="1" applyAlignment="1">
      <alignment horizontal="center" vertical="center"/>
    </xf>
    <xf numFmtId="0" fontId="0" fillId="3" borderId="20" xfId="0" applyFill="1" applyBorder="1" applyAlignment="1">
      <alignment horizontal="center" vertical="center"/>
    </xf>
    <xf numFmtId="0" fontId="0" fillId="3" borderId="62" xfId="0" applyFill="1" applyBorder="1" applyAlignment="1">
      <alignment horizontal="left" vertical="center"/>
    </xf>
    <xf numFmtId="0" fontId="0" fillId="3" borderId="18" xfId="0" applyFill="1" applyBorder="1" applyAlignment="1">
      <alignment vertical="center"/>
    </xf>
    <xf numFmtId="0" fontId="0" fillId="3" borderId="21" xfId="0" applyFill="1" applyBorder="1" applyAlignment="1">
      <alignment horizontal="center" vertical="center"/>
    </xf>
    <xf numFmtId="0" fontId="0" fillId="3" borderId="64" xfId="0" applyFill="1" applyBorder="1" applyAlignment="1">
      <alignment horizontal="left" vertical="center"/>
    </xf>
    <xf numFmtId="0" fontId="0" fillId="3" borderId="17" xfId="0" applyFill="1" applyBorder="1" applyAlignment="1">
      <alignment vertical="center"/>
    </xf>
    <xf numFmtId="0" fontId="0" fillId="19" borderId="20" xfId="0" applyFill="1" applyBorder="1" applyAlignment="1">
      <alignment horizontal="center" vertical="center"/>
    </xf>
    <xf numFmtId="0" fontId="0" fillId="19" borderId="62" xfId="0" applyFill="1" applyBorder="1" applyAlignment="1">
      <alignment horizontal="left" vertical="center"/>
    </xf>
    <xf numFmtId="0" fontId="0" fillId="19" borderId="18" xfId="0" applyFill="1" applyBorder="1" applyAlignment="1">
      <alignment vertical="center"/>
    </xf>
    <xf numFmtId="0" fontId="0" fillId="19" borderId="21" xfId="0" applyFill="1" applyBorder="1" applyAlignment="1">
      <alignment horizontal="center" vertical="center"/>
    </xf>
    <xf numFmtId="0" fontId="0" fillId="19" borderId="64" xfId="0" applyFill="1" applyBorder="1" applyAlignment="1">
      <alignment horizontal="left" vertical="center"/>
    </xf>
    <xf numFmtId="0" fontId="0" fillId="19" borderId="17" xfId="0" applyFill="1" applyBorder="1" applyAlignment="1">
      <alignment vertical="center"/>
    </xf>
    <xf numFmtId="0" fontId="0" fillId="19" borderId="22" xfId="0" applyFill="1" applyBorder="1" applyAlignment="1">
      <alignment vertical="center"/>
    </xf>
    <xf numFmtId="0" fontId="0" fillId="31" borderId="20" xfId="0" applyFill="1" applyBorder="1" applyAlignment="1">
      <alignment horizontal="center" vertical="center"/>
    </xf>
    <xf numFmtId="0" fontId="0" fillId="31" borderId="62" xfId="0" applyFill="1" applyBorder="1" applyAlignment="1">
      <alignment horizontal="left" vertical="center"/>
    </xf>
    <xf numFmtId="0" fontId="0" fillId="31" borderId="18" xfId="0" applyFill="1" applyBorder="1" applyAlignment="1">
      <alignment vertical="center"/>
    </xf>
    <xf numFmtId="0" fontId="0" fillId="31" borderId="64" xfId="0" applyFill="1" applyBorder="1" applyAlignment="1">
      <alignment horizontal="left" vertical="center"/>
    </xf>
    <xf numFmtId="0" fontId="0" fillId="31" borderId="17" xfId="0" applyFill="1" applyBorder="1" applyAlignment="1">
      <alignment vertical="center"/>
    </xf>
    <xf numFmtId="0" fontId="0" fillId="31" borderId="61" xfId="0" applyFill="1" applyBorder="1" applyAlignment="1">
      <alignment horizontal="left" vertical="center"/>
    </xf>
    <xf numFmtId="0" fontId="0" fillId="31" borderId="63" xfId="0" applyFill="1" applyBorder="1" applyAlignment="1">
      <alignment horizontal="left" vertical="center"/>
    </xf>
    <xf numFmtId="167" fontId="0" fillId="11" borderId="12" xfId="0" applyNumberFormat="1" applyFont="1" applyFill="1" applyBorder="1" applyAlignment="1">
      <alignment vertical="center"/>
    </xf>
    <xf numFmtId="2" fontId="0" fillId="11" borderId="69" xfId="0" applyNumberFormat="1" applyFont="1" applyFill="1" applyBorder="1" applyAlignment="1">
      <alignment vertical="center"/>
    </xf>
    <xf numFmtId="1" fontId="0" fillId="20" borderId="7" xfId="0" applyNumberFormat="1" applyFill="1" applyBorder="1" applyAlignment="1">
      <alignment horizontal="center" vertical="center"/>
    </xf>
    <xf numFmtId="167" fontId="0" fillId="11" borderId="68" xfId="0" applyNumberFormat="1" applyFont="1" applyFill="1" applyBorder="1" applyAlignment="1">
      <alignment vertical="center"/>
    </xf>
    <xf numFmtId="167" fontId="0" fillId="3" borderId="12" xfId="0" applyNumberFormat="1" applyFont="1" applyFill="1" applyBorder="1" applyAlignment="1">
      <alignment vertical="center"/>
    </xf>
    <xf numFmtId="167" fontId="0" fillId="3" borderId="68" xfId="0" applyNumberFormat="1" applyFont="1" applyFill="1" applyBorder="1" applyAlignment="1">
      <alignment vertical="center"/>
    </xf>
    <xf numFmtId="167" fontId="0" fillId="19" borderId="12" xfId="0" applyNumberFormat="1" applyFont="1" applyFill="1" applyBorder="1" applyAlignment="1">
      <alignment vertical="center"/>
    </xf>
    <xf numFmtId="167" fontId="0" fillId="19" borderId="68" xfId="0" applyNumberFormat="1" applyFont="1" applyFill="1" applyBorder="1" applyAlignment="1">
      <alignment vertical="center"/>
    </xf>
    <xf numFmtId="167" fontId="0" fillId="31" borderId="12" xfId="0" applyNumberFormat="1" applyFont="1" applyFill="1" applyBorder="1" applyAlignment="1">
      <alignment vertical="center"/>
    </xf>
    <xf numFmtId="167" fontId="0" fillId="31" borderId="68" xfId="0" applyNumberFormat="1" applyFont="1" applyFill="1" applyBorder="1" applyAlignment="1">
      <alignment vertical="center"/>
    </xf>
    <xf numFmtId="2" fontId="0" fillId="11" borderId="68" xfId="0" applyNumberFormat="1" applyFont="1" applyFill="1" applyBorder="1" applyAlignment="1">
      <alignment vertical="center"/>
    </xf>
    <xf numFmtId="2" fontId="0" fillId="3" borderId="69" xfId="0" applyNumberFormat="1" applyFont="1" applyFill="1" applyBorder="1" applyAlignment="1">
      <alignment vertical="center"/>
    </xf>
    <xf numFmtId="2" fontId="0" fillId="3" borderId="7" xfId="0" applyNumberFormat="1" applyFont="1" applyFill="1" applyBorder="1" applyAlignment="1">
      <alignment vertical="center"/>
    </xf>
    <xf numFmtId="2" fontId="0" fillId="19" borderId="69" xfId="0" applyNumberFormat="1" applyFont="1" applyFill="1" applyBorder="1" applyAlignment="1">
      <alignment vertical="center"/>
    </xf>
    <xf numFmtId="2" fontId="0" fillId="19" borderId="7" xfId="0" applyNumberFormat="1" applyFont="1" applyFill="1" applyBorder="1" applyAlignment="1">
      <alignment vertical="center"/>
    </xf>
    <xf numFmtId="2" fontId="0" fillId="31" borderId="69" xfId="0" applyNumberFormat="1" applyFont="1" applyFill="1" applyBorder="1" applyAlignment="1">
      <alignment vertical="center"/>
    </xf>
    <xf numFmtId="2" fontId="0" fillId="31" borderId="7" xfId="0" applyNumberFormat="1" applyFont="1" applyFill="1" applyBorder="1" applyAlignment="1">
      <alignment vertical="center"/>
    </xf>
    <xf numFmtId="1" fontId="0" fillId="20" borderId="13" xfId="0" applyNumberFormat="1" applyFill="1" applyBorder="1" applyAlignment="1">
      <alignment horizontal="center" vertical="center"/>
    </xf>
    <xf numFmtId="2" fontId="2" fillId="8" borderId="69" xfId="0" applyNumberFormat="1" applyFont="1" applyFill="1" applyBorder="1" applyAlignment="1">
      <alignment vertical="center"/>
    </xf>
    <xf numFmtId="0" fontId="0" fillId="3" borderId="0" xfId="0" applyFill="1" applyAlignment="1">
      <alignment horizontal="center"/>
    </xf>
    <xf numFmtId="0" fontId="0" fillId="0" borderId="0" xfId="0" applyFill="1" applyAlignment="1">
      <alignment vertical="center"/>
    </xf>
    <xf numFmtId="0" fontId="54" fillId="34" borderId="14" xfId="0" applyFont="1" applyFill="1" applyBorder="1" applyAlignment="1">
      <alignment horizontal="center" vertical="center"/>
    </xf>
    <xf numFmtId="10" fontId="0" fillId="12" borderId="0" xfId="1" applyNumberFormat="1" applyFont="1" applyFill="1" applyBorder="1" applyAlignment="1">
      <alignment horizontal="center" vertical="center"/>
    </xf>
    <xf numFmtId="0" fontId="3" fillId="30" borderId="0" xfId="0" applyFont="1" applyFill="1" applyAlignment="1">
      <alignment vertical="center"/>
    </xf>
    <xf numFmtId="0" fontId="3" fillId="24" borderId="65" xfId="0" applyFont="1" applyFill="1" applyBorder="1" applyAlignment="1">
      <alignment vertical="center"/>
    </xf>
    <xf numFmtId="0" fontId="3" fillId="24" borderId="60" xfId="0" applyFont="1" applyFill="1" applyBorder="1" applyAlignment="1">
      <alignment vertical="center"/>
    </xf>
    <xf numFmtId="0" fontId="3" fillId="24" borderId="18" xfId="0" applyFont="1" applyFill="1" applyBorder="1" applyAlignment="1">
      <alignment vertical="center"/>
    </xf>
    <xf numFmtId="0" fontId="3" fillId="24" borderId="23" xfId="0" applyFont="1" applyFill="1" applyBorder="1" applyAlignment="1">
      <alignment vertical="center"/>
    </xf>
    <xf numFmtId="0" fontId="0" fillId="24" borderId="66" xfId="0" applyFill="1" applyBorder="1" applyAlignment="1">
      <alignment vertical="center"/>
    </xf>
    <xf numFmtId="0" fontId="0" fillId="24" borderId="18" xfId="0" applyFill="1" applyBorder="1" applyAlignment="1">
      <alignment vertical="center"/>
    </xf>
    <xf numFmtId="0" fontId="0" fillId="24" borderId="23" xfId="0" applyFill="1" applyBorder="1" applyAlignment="1">
      <alignment horizontal="center" vertical="center"/>
    </xf>
    <xf numFmtId="0" fontId="0" fillId="24" borderId="24" xfId="0" applyFill="1" applyBorder="1" applyAlignment="1">
      <alignment vertical="center"/>
    </xf>
    <xf numFmtId="0" fontId="0" fillId="24" borderId="0" xfId="0" applyFill="1" applyBorder="1" applyAlignment="1">
      <alignment vertical="center"/>
    </xf>
    <xf numFmtId="0" fontId="0" fillId="24" borderId="25" xfId="0" applyFill="1" applyBorder="1" applyAlignment="1">
      <alignment horizontal="center" vertical="center"/>
    </xf>
    <xf numFmtId="0" fontId="0" fillId="30" borderId="0" xfId="0" applyFill="1" applyBorder="1" applyAlignment="1">
      <alignment vertical="center"/>
    </xf>
    <xf numFmtId="0" fontId="0" fillId="30" borderId="25" xfId="0" applyFill="1" applyBorder="1" applyAlignment="1">
      <alignment horizontal="center" vertical="center"/>
    </xf>
    <xf numFmtId="0" fontId="0" fillId="30" borderId="67" xfId="0" applyFill="1" applyBorder="1" applyAlignment="1">
      <alignment vertical="center"/>
    </xf>
    <xf numFmtId="0" fontId="0" fillId="30" borderId="17" xfId="0" applyFill="1" applyBorder="1" applyAlignment="1">
      <alignment vertical="center"/>
    </xf>
    <xf numFmtId="0" fontId="0" fillId="30" borderId="26" xfId="0" applyFill="1" applyBorder="1" applyAlignment="1">
      <alignment horizontal="center" vertical="center"/>
    </xf>
    <xf numFmtId="0" fontId="0" fillId="24" borderId="20" xfId="0" applyFill="1" applyBorder="1" applyAlignment="1">
      <alignment vertical="center"/>
    </xf>
    <xf numFmtId="0" fontId="0" fillId="24" borderId="22" xfId="0" applyFill="1" applyBorder="1" applyAlignment="1">
      <alignment vertical="center"/>
    </xf>
    <xf numFmtId="0" fontId="0" fillId="24" borderId="66" xfId="0" applyFill="1" applyBorder="1" applyAlignment="1">
      <alignment horizontal="center" vertical="center"/>
    </xf>
    <xf numFmtId="0" fontId="0" fillId="24" borderId="24" xfId="0" applyFill="1" applyBorder="1" applyAlignment="1">
      <alignment horizontal="center" vertical="center"/>
    </xf>
    <xf numFmtId="0" fontId="0" fillId="30" borderId="24" xfId="0" applyFill="1" applyBorder="1" applyAlignment="1">
      <alignment horizontal="center" vertical="center"/>
    </xf>
    <xf numFmtId="0" fontId="0" fillId="30" borderId="67" xfId="0" applyFill="1" applyBorder="1" applyAlignment="1">
      <alignment horizontal="center" vertical="center"/>
    </xf>
    <xf numFmtId="0" fontId="0" fillId="24" borderId="21" xfId="0" applyFill="1" applyBorder="1" applyAlignment="1">
      <alignment vertical="center"/>
    </xf>
    <xf numFmtId="0" fontId="0" fillId="24" borderId="17" xfId="0" applyFill="1" applyBorder="1" applyAlignment="1">
      <alignment vertical="center"/>
    </xf>
    <xf numFmtId="0" fontId="0" fillId="24" borderId="67" xfId="0" applyFill="1" applyBorder="1" applyAlignment="1">
      <alignment horizontal="center" vertical="center"/>
    </xf>
    <xf numFmtId="0" fontId="0" fillId="24" borderId="26" xfId="0" applyFill="1" applyBorder="1" applyAlignment="1">
      <alignment horizontal="center" vertical="center"/>
    </xf>
    <xf numFmtId="0" fontId="3" fillId="30" borderId="20" xfId="0" applyFont="1" applyFill="1" applyBorder="1" applyAlignment="1">
      <alignment horizontal="center" vertical="center"/>
    </xf>
    <xf numFmtId="0" fontId="4" fillId="18" borderId="21" xfId="0" applyFont="1" applyFill="1" applyBorder="1" applyAlignment="1">
      <alignment vertical="center"/>
    </xf>
    <xf numFmtId="0" fontId="2" fillId="18" borderId="17" xfId="0" applyFont="1" applyFill="1" applyBorder="1" applyAlignment="1">
      <alignment vertical="center"/>
    </xf>
    <xf numFmtId="0" fontId="2" fillId="18" borderId="21" xfId="0" applyFont="1" applyFill="1" applyBorder="1" applyAlignment="1">
      <alignment vertical="center"/>
    </xf>
    <xf numFmtId="0" fontId="0" fillId="24" borderId="23" xfId="0" applyFill="1" applyBorder="1" applyAlignment="1">
      <alignment vertical="center"/>
    </xf>
    <xf numFmtId="0" fontId="0" fillId="24" borderId="25" xfId="0" applyFill="1" applyBorder="1" applyAlignment="1">
      <alignment vertical="center"/>
    </xf>
    <xf numFmtId="0" fontId="0" fillId="24" borderId="67" xfId="0" applyFill="1" applyBorder="1" applyAlignment="1">
      <alignment vertical="center"/>
    </xf>
    <xf numFmtId="0" fontId="0" fillId="24" borderId="26" xfId="0" applyFill="1" applyBorder="1" applyAlignment="1">
      <alignment vertical="center"/>
    </xf>
    <xf numFmtId="0" fontId="0" fillId="30" borderId="22" xfId="0" applyFill="1" applyBorder="1" applyAlignment="1">
      <alignment vertical="center"/>
    </xf>
    <xf numFmtId="167" fontId="2" fillId="8" borderId="69" xfId="0" applyNumberFormat="1" applyFont="1" applyFill="1" applyBorder="1" applyAlignment="1">
      <alignment vertical="center"/>
    </xf>
    <xf numFmtId="0" fontId="0" fillId="30" borderId="26" xfId="0" applyFill="1" applyBorder="1" applyAlignment="1">
      <alignment vertical="center"/>
    </xf>
    <xf numFmtId="0" fontId="0" fillId="30" borderId="65" xfId="0" applyFill="1" applyBorder="1" applyAlignment="1">
      <alignment vertical="center"/>
    </xf>
    <xf numFmtId="0" fontId="0" fillId="30" borderId="58" xfId="0" applyFill="1" applyBorder="1" applyAlignment="1">
      <alignment vertical="center"/>
    </xf>
    <xf numFmtId="0" fontId="0" fillId="30" borderId="60" xfId="0" applyFill="1" applyBorder="1" applyAlignment="1">
      <alignment vertical="center"/>
    </xf>
    <xf numFmtId="0" fontId="0" fillId="24" borderId="65" xfId="0" applyFill="1" applyBorder="1" applyAlignment="1">
      <alignment vertical="center"/>
    </xf>
    <xf numFmtId="0" fontId="3" fillId="30" borderId="58" xfId="0" applyFont="1" applyFill="1" applyBorder="1" applyAlignment="1">
      <alignment horizontal="center" vertical="center"/>
    </xf>
    <xf numFmtId="0" fontId="0" fillId="30" borderId="65" xfId="0" applyFont="1" applyFill="1" applyBorder="1" applyAlignment="1">
      <alignment vertical="center"/>
    </xf>
    <xf numFmtId="0" fontId="0" fillId="30" borderId="58" xfId="0" applyFont="1" applyFill="1" applyBorder="1" applyAlignment="1">
      <alignment vertical="center"/>
    </xf>
    <xf numFmtId="0" fontId="3" fillId="30" borderId="65" xfId="0" applyFont="1" applyFill="1" applyBorder="1" applyAlignment="1">
      <alignment horizontal="center" vertical="center"/>
    </xf>
    <xf numFmtId="3" fontId="3" fillId="30" borderId="4" xfId="0" applyNumberFormat="1" applyFont="1" applyFill="1" applyBorder="1" applyAlignment="1">
      <alignment horizontal="center" vertical="center"/>
    </xf>
    <xf numFmtId="3" fontId="0" fillId="30" borderId="19" xfId="0" applyNumberFormat="1" applyFill="1" applyBorder="1" applyAlignment="1">
      <alignment horizontal="center" vertical="center"/>
    </xf>
    <xf numFmtId="0" fontId="0" fillId="21" borderId="65" xfId="0" applyFont="1" applyFill="1" applyBorder="1" applyAlignment="1">
      <alignment vertical="center"/>
    </xf>
    <xf numFmtId="0" fontId="0" fillId="21" borderId="58" xfId="0" applyFont="1" applyFill="1" applyBorder="1" applyAlignment="1">
      <alignment vertical="center"/>
    </xf>
    <xf numFmtId="0" fontId="0" fillId="21" borderId="58" xfId="0" applyFont="1" applyFill="1" applyBorder="1" applyAlignment="1">
      <alignment horizontal="center" vertical="center"/>
    </xf>
    <xf numFmtId="3" fontId="0" fillId="21" borderId="17" xfId="0" applyNumberFormat="1" applyFont="1" applyFill="1" applyBorder="1" applyAlignment="1">
      <alignment horizontal="center" vertical="center"/>
    </xf>
    <xf numFmtId="3" fontId="0" fillId="21" borderId="26" xfId="0" applyNumberFormat="1" applyFont="1" applyFill="1" applyBorder="1" applyAlignment="1">
      <alignment horizontal="center" vertical="center"/>
    </xf>
    <xf numFmtId="0" fontId="0" fillId="20" borderId="0" xfId="0" applyFill="1" applyAlignment="1">
      <alignment vertical="center"/>
    </xf>
    <xf numFmtId="0" fontId="0" fillId="20" borderId="11" xfId="0" applyFill="1" applyBorder="1" applyAlignment="1">
      <alignment vertical="center"/>
    </xf>
    <xf numFmtId="0" fontId="0" fillId="20" borderId="10" xfId="0" applyFill="1" applyBorder="1" applyAlignment="1">
      <alignment vertical="center"/>
    </xf>
    <xf numFmtId="0" fontId="0" fillId="20" borderId="8" xfId="0" applyFill="1" applyBorder="1" applyAlignment="1">
      <alignment vertical="center"/>
    </xf>
    <xf numFmtId="0" fontId="0" fillId="20" borderId="0" xfId="0" applyFill="1" applyBorder="1" applyAlignment="1">
      <alignment vertical="center"/>
    </xf>
    <xf numFmtId="0" fontId="0" fillId="20" borderId="6" xfId="0" applyFill="1" applyBorder="1" applyAlignment="1">
      <alignment vertical="center"/>
    </xf>
    <xf numFmtId="0" fontId="0" fillId="20" borderId="5" xfId="0" applyFill="1" applyBorder="1" applyAlignment="1">
      <alignment vertical="center"/>
    </xf>
    <xf numFmtId="0" fontId="3" fillId="20" borderId="2" xfId="0" applyFont="1" applyFill="1" applyBorder="1" applyAlignment="1">
      <alignment horizontal="center" vertical="center"/>
    </xf>
    <xf numFmtId="167" fontId="3" fillId="20" borderId="42" xfId="0" applyNumberFormat="1" applyFont="1" applyFill="1" applyBorder="1" applyAlignment="1">
      <alignment horizontal="center" vertical="center"/>
    </xf>
    <xf numFmtId="10" fontId="0" fillId="20" borderId="0" xfId="1" applyNumberFormat="1" applyFont="1" applyFill="1" applyBorder="1" applyAlignment="1">
      <alignment horizontal="center" vertical="center"/>
    </xf>
    <xf numFmtId="3" fontId="0" fillId="20" borderId="0" xfId="0" applyNumberFormat="1" applyFill="1" applyAlignment="1">
      <alignment vertical="center"/>
    </xf>
    <xf numFmtId="0" fontId="0" fillId="20" borderId="27" xfId="0" applyFill="1" applyBorder="1" applyAlignment="1">
      <alignment horizontal="center" vertical="center"/>
    </xf>
    <xf numFmtId="0" fontId="0" fillId="20" borderId="66" xfId="0" applyFill="1" applyBorder="1" applyAlignment="1">
      <alignment vertical="center"/>
    </xf>
    <xf numFmtId="0" fontId="0" fillId="20" borderId="18" xfId="0" applyFill="1" applyBorder="1" applyAlignment="1">
      <alignment vertical="center"/>
    </xf>
    <xf numFmtId="0" fontId="0" fillId="20" borderId="23" xfId="0" applyFill="1" applyBorder="1" applyAlignment="1">
      <alignment vertical="center"/>
    </xf>
    <xf numFmtId="0" fontId="0" fillId="20" borderId="24" xfId="0" applyFill="1" applyBorder="1" applyAlignment="1">
      <alignment vertical="center"/>
    </xf>
    <xf numFmtId="0" fontId="0" fillId="20" borderId="25" xfId="0" applyFill="1" applyBorder="1" applyAlignment="1">
      <alignment vertical="center"/>
    </xf>
    <xf numFmtId="0" fontId="0" fillId="20" borderId="67" xfId="0" applyFill="1" applyBorder="1" applyAlignment="1">
      <alignment vertical="center"/>
    </xf>
    <xf numFmtId="0" fontId="0" fillId="20" borderId="17" xfId="0" applyFill="1" applyBorder="1" applyAlignment="1">
      <alignment vertical="center"/>
    </xf>
    <xf numFmtId="0" fontId="0" fillId="20" borderId="26" xfId="0" applyFill="1" applyBorder="1" applyAlignment="1">
      <alignment vertical="center"/>
    </xf>
    <xf numFmtId="0" fontId="0" fillId="20" borderId="66" xfId="0" applyFill="1" applyBorder="1" applyAlignment="1">
      <alignment horizontal="center" vertical="center"/>
    </xf>
    <xf numFmtId="0" fontId="0" fillId="20" borderId="23" xfId="0" applyFill="1" applyBorder="1" applyAlignment="1">
      <alignment horizontal="center" vertical="center"/>
    </xf>
    <xf numFmtId="0" fontId="0" fillId="20" borderId="24" xfId="0" applyFill="1" applyBorder="1" applyAlignment="1">
      <alignment horizontal="center" vertical="center"/>
    </xf>
    <xf numFmtId="0" fontId="0" fillId="20" borderId="25" xfId="0" applyFill="1" applyBorder="1" applyAlignment="1">
      <alignment horizontal="center" vertical="center"/>
    </xf>
    <xf numFmtId="0" fontId="0" fillId="20" borderId="67" xfId="0" applyFill="1" applyBorder="1" applyAlignment="1">
      <alignment horizontal="center" vertical="center"/>
    </xf>
    <xf numFmtId="0" fontId="0" fillId="20" borderId="26" xfId="0" applyFill="1" applyBorder="1" applyAlignment="1">
      <alignment horizontal="center" vertical="center"/>
    </xf>
    <xf numFmtId="0" fontId="0" fillId="20" borderId="19" xfId="0" applyFill="1" applyBorder="1" applyAlignment="1">
      <alignment horizontal="center" vertical="center"/>
    </xf>
    <xf numFmtId="0" fontId="32" fillId="12" borderId="0" xfId="0" applyFont="1" applyFill="1"/>
    <xf numFmtId="0" fontId="0" fillId="11" borderId="0" xfId="0" applyFill="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14" fillId="4" borderId="0" xfId="7" applyFill="1" applyAlignment="1">
      <alignment horizontal="center" vertical="center"/>
    </xf>
    <xf numFmtId="0" fontId="0" fillId="21" borderId="3" xfId="0" applyFont="1" applyFill="1" applyBorder="1" applyAlignment="1">
      <alignment vertical="center"/>
    </xf>
    <xf numFmtId="0" fontId="3" fillId="21" borderId="2" xfId="0" applyFont="1" applyFill="1" applyBorder="1" applyAlignment="1">
      <alignment vertical="center"/>
    </xf>
    <xf numFmtId="0" fontId="0" fillId="21" borderId="1" xfId="0" applyFill="1" applyBorder="1" applyAlignment="1">
      <alignment vertical="center"/>
    </xf>
    <xf numFmtId="0" fontId="3" fillId="21" borderId="11" xfId="0" applyFont="1" applyFill="1" applyBorder="1" applyAlignment="1">
      <alignment vertical="center"/>
    </xf>
    <xf numFmtId="0" fontId="0" fillId="21" borderId="10" xfId="0" applyFill="1" applyBorder="1" applyAlignment="1">
      <alignment vertical="center"/>
    </xf>
    <xf numFmtId="0" fontId="3" fillId="21" borderId="8" xfId="0" applyFont="1" applyFill="1" applyBorder="1" applyAlignment="1">
      <alignment vertical="center"/>
    </xf>
    <xf numFmtId="0" fontId="3" fillId="21" borderId="0" xfId="0" applyFont="1" applyFill="1" applyBorder="1" applyAlignment="1">
      <alignment vertical="center"/>
    </xf>
    <xf numFmtId="0" fontId="3" fillId="21" borderId="6" xfId="0" applyFont="1" applyFill="1" applyBorder="1" applyAlignment="1">
      <alignment vertical="center"/>
    </xf>
    <xf numFmtId="0" fontId="3" fillId="21" borderId="5" xfId="0" applyFont="1" applyFill="1" applyBorder="1" applyAlignment="1">
      <alignment vertical="center"/>
    </xf>
    <xf numFmtId="0" fontId="0" fillId="21" borderId="14" xfId="0" applyFill="1" applyBorder="1" applyAlignment="1">
      <alignment vertical="center"/>
    </xf>
    <xf numFmtId="0" fontId="0" fillId="21" borderId="13" xfId="0" applyFill="1" applyBorder="1" applyAlignment="1">
      <alignment vertical="center"/>
    </xf>
    <xf numFmtId="0" fontId="0" fillId="21" borderId="11" xfId="0" applyFill="1" applyBorder="1" applyAlignment="1">
      <alignment vertical="center"/>
    </xf>
    <xf numFmtId="0" fontId="0" fillId="21" borderId="10" xfId="0" applyFill="1" applyBorder="1" applyAlignment="1">
      <alignment horizontal="center" vertical="center"/>
    </xf>
    <xf numFmtId="0" fontId="0" fillId="21" borderId="15" xfId="0" applyFill="1" applyBorder="1" applyAlignment="1">
      <alignment horizontal="center" vertical="center"/>
    </xf>
    <xf numFmtId="0" fontId="0" fillId="21" borderId="8" xfId="0" applyFill="1" applyBorder="1" applyAlignment="1">
      <alignment vertical="center"/>
    </xf>
    <xf numFmtId="0" fontId="0" fillId="21" borderId="0" xfId="0" applyFill="1" applyBorder="1" applyAlignment="1">
      <alignment vertical="center"/>
    </xf>
    <xf numFmtId="0" fontId="0" fillId="21" borderId="0" xfId="0" applyFill="1" applyBorder="1" applyAlignment="1">
      <alignment horizontal="center" vertical="center"/>
    </xf>
    <xf numFmtId="0" fontId="0" fillId="21" borderId="14" xfId="0" applyFill="1" applyBorder="1" applyAlignment="1">
      <alignment horizontal="center" vertical="center"/>
    </xf>
    <xf numFmtId="0" fontId="0" fillId="21" borderId="6" xfId="0" applyFill="1" applyBorder="1" applyAlignment="1">
      <alignment vertical="center"/>
    </xf>
    <xf numFmtId="0" fontId="0" fillId="21" borderId="5" xfId="0" applyFill="1" applyBorder="1" applyAlignment="1">
      <alignment vertical="center"/>
    </xf>
    <xf numFmtId="167" fontId="0" fillId="21" borderId="5" xfId="0" applyNumberFormat="1" applyFill="1" applyBorder="1" applyAlignment="1">
      <alignment horizontal="center" vertical="center"/>
    </xf>
    <xf numFmtId="167" fontId="0" fillId="21" borderId="13" xfId="0" applyNumberFormat="1" applyFill="1" applyBorder="1" applyAlignment="1">
      <alignment horizontal="center" vertical="center"/>
    </xf>
    <xf numFmtId="0" fontId="0" fillId="35" borderId="11" xfId="0" applyFill="1" applyBorder="1" applyAlignment="1">
      <alignment vertical="center"/>
    </xf>
    <xf numFmtId="0" fontId="0" fillId="35" borderId="15" xfId="0" applyFill="1" applyBorder="1" applyAlignment="1">
      <alignment vertical="center"/>
    </xf>
    <xf numFmtId="0" fontId="0" fillId="36" borderId="8" xfId="0" applyFont="1" applyFill="1" applyBorder="1" applyAlignment="1">
      <alignment vertical="center"/>
    </xf>
    <xf numFmtId="0" fontId="0" fillId="36" borderId="6" xfId="0" applyFont="1" applyFill="1" applyBorder="1" applyAlignment="1">
      <alignment vertical="center"/>
    </xf>
    <xf numFmtId="0" fontId="0" fillId="36" borderId="6" xfId="0" applyFont="1" applyFill="1" applyBorder="1" applyAlignment="1">
      <alignment horizontal="center" vertical="center"/>
    </xf>
    <xf numFmtId="0" fontId="14" fillId="27" borderId="0" xfId="7" applyFill="1" applyAlignment="1">
      <alignment vertical="center"/>
    </xf>
    <xf numFmtId="0" fontId="51" fillId="4" borderId="0" xfId="0" applyFont="1" applyFill="1" applyAlignment="1">
      <alignment vertical="center"/>
    </xf>
    <xf numFmtId="0" fontId="0" fillId="10" borderId="15" xfId="0" applyFill="1" applyBorder="1" applyAlignment="1">
      <alignment horizontal="center" vertical="center"/>
    </xf>
    <xf numFmtId="0" fontId="0" fillId="10" borderId="12" xfId="0" applyFill="1" applyBorder="1" applyAlignment="1">
      <alignment horizontal="center" vertical="center"/>
    </xf>
    <xf numFmtId="0" fontId="14" fillId="12" borderId="0" xfId="7" applyFill="1"/>
    <xf numFmtId="0" fontId="49" fillId="12" borderId="0" xfId="0" applyFont="1" applyFill="1"/>
    <xf numFmtId="0" fontId="0" fillId="12" borderId="0" xfId="0" applyFill="1" applyAlignment="1">
      <alignment wrapText="1"/>
    </xf>
    <xf numFmtId="0" fontId="36" fillId="12" borderId="0" xfId="0" applyFont="1" applyFill="1"/>
    <xf numFmtId="0" fontId="3" fillId="12" borderId="0" xfId="0" applyFont="1" applyFill="1" applyAlignment="1"/>
    <xf numFmtId="0" fontId="55" fillId="20" borderId="0" xfId="0" applyFont="1" applyFill="1" applyBorder="1" applyAlignment="1">
      <alignment vertical="center"/>
    </xf>
    <xf numFmtId="0" fontId="58" fillId="12" borderId="0" xfId="0" applyFont="1" applyFill="1"/>
    <xf numFmtId="0" fontId="0" fillId="11" borderId="2" xfId="0" applyFill="1" applyBorder="1" applyAlignment="1">
      <alignment horizontal="center" vertical="center"/>
    </xf>
    <xf numFmtId="0" fontId="2" fillId="18" borderId="0" xfId="0" applyFont="1" applyFill="1" applyAlignment="1">
      <alignment horizontal="center" vertical="center"/>
    </xf>
    <xf numFmtId="0" fontId="0" fillId="10" borderId="0" xfId="0" applyFill="1" applyBorder="1" applyAlignment="1">
      <alignment horizontal="center" vertical="center"/>
    </xf>
    <xf numFmtId="0" fontId="0" fillId="19" borderId="0" xfId="0" applyFill="1" applyBorder="1" applyAlignment="1">
      <alignment horizontal="center"/>
    </xf>
    <xf numFmtId="0" fontId="0" fillId="19" borderId="0" xfId="0" applyFill="1" applyAlignment="1">
      <alignment horizontal="center" vertical="center" wrapText="1"/>
    </xf>
    <xf numFmtId="0" fontId="0" fillId="12" borderId="7" xfId="0" applyFill="1" applyBorder="1" applyAlignment="1">
      <alignment horizontal="center" vertical="center"/>
    </xf>
    <xf numFmtId="0" fontId="0" fillId="12" borderId="0" xfId="0" applyFill="1" applyBorder="1" applyAlignment="1">
      <alignment horizontal="center" vertical="center"/>
    </xf>
    <xf numFmtId="0" fontId="0" fillId="19" borderId="0" xfId="0" applyFill="1" applyAlignment="1">
      <alignment horizontal="center" vertical="center"/>
    </xf>
    <xf numFmtId="0" fontId="0" fillId="11" borderId="15" xfId="0" applyFill="1" applyBorder="1" applyAlignment="1">
      <alignment horizontal="center" vertical="center"/>
    </xf>
    <xf numFmtId="0" fontId="0" fillId="11" borderId="14" xfId="0" applyFill="1" applyBorder="1" applyAlignment="1">
      <alignment horizontal="center" vertical="center"/>
    </xf>
    <xf numFmtId="0" fontId="0" fillId="11" borderId="13" xfId="0" applyFill="1" applyBorder="1" applyAlignment="1">
      <alignment horizontal="center" vertical="center"/>
    </xf>
    <xf numFmtId="0" fontId="3" fillId="12" borderId="0" xfId="0" applyFont="1" applyFill="1" applyBorder="1" applyAlignment="1">
      <alignment horizontal="center"/>
    </xf>
    <xf numFmtId="0" fontId="0" fillId="3" borderId="14" xfId="0" applyFill="1" applyBorder="1" applyAlignment="1">
      <alignment horizontal="center" vertical="center"/>
    </xf>
    <xf numFmtId="0" fontId="0" fillId="12" borderId="0" xfId="0" applyFill="1" applyAlignment="1">
      <alignment horizontal="right"/>
    </xf>
    <xf numFmtId="0" fontId="0" fillId="11" borderId="14" xfId="0" applyFill="1" applyBorder="1" applyAlignment="1">
      <alignment horizontal="center"/>
    </xf>
    <xf numFmtId="0" fontId="3" fillId="20" borderId="3" xfId="0" applyFont="1" applyFill="1" applyBorder="1" applyAlignment="1">
      <alignment horizontal="center" vertical="center"/>
    </xf>
    <xf numFmtId="0" fontId="3" fillId="20" borderId="1" xfId="0" applyFont="1" applyFill="1" applyBorder="1" applyAlignment="1">
      <alignment horizontal="center" vertical="center"/>
    </xf>
    <xf numFmtId="167" fontId="0" fillId="11" borderId="15" xfId="0" applyNumberFormat="1" applyFill="1" applyBorder="1" applyAlignment="1">
      <alignment horizontal="center" vertical="center"/>
    </xf>
    <xf numFmtId="167" fontId="0" fillId="11" borderId="14" xfId="0" applyNumberFormat="1" applyFill="1" applyBorder="1" applyAlignment="1">
      <alignment horizontal="center" vertical="center"/>
    </xf>
    <xf numFmtId="167" fontId="0" fillId="11" borderId="13" xfId="0" applyNumberFormat="1" applyFill="1" applyBorder="1" applyAlignment="1">
      <alignment horizontal="center" vertical="center"/>
    </xf>
    <xf numFmtId="0" fontId="59" fillId="0" borderId="0" xfId="4" applyFont="1" applyAlignment="1">
      <alignment vertical="center"/>
    </xf>
    <xf numFmtId="0" fontId="2" fillId="18" borderId="12" xfId="0" applyFont="1" applyFill="1" applyBorder="1" applyAlignment="1">
      <alignment horizontal="center"/>
    </xf>
    <xf numFmtId="0" fontId="2" fillId="18" borderId="15" xfId="0" applyFont="1" applyFill="1" applyBorder="1" applyAlignment="1">
      <alignment horizontal="center"/>
    </xf>
    <xf numFmtId="0" fontId="2" fillId="0" borderId="0" xfId="0" applyFont="1" applyAlignment="1">
      <alignment horizontal="center"/>
    </xf>
    <xf numFmtId="0" fontId="0" fillId="12" borderId="11" xfId="0" applyFill="1" applyBorder="1" applyAlignment="1">
      <alignment horizontal="center"/>
    </xf>
    <xf numFmtId="0" fontId="0" fillId="12" borderId="0" xfId="0" applyFill="1" applyAlignment="1">
      <alignment horizontal="left" vertical="center"/>
    </xf>
    <xf numFmtId="0" fontId="0" fillId="12" borderId="9" xfId="0" applyFill="1" applyBorder="1" applyAlignment="1">
      <alignment horizontal="center"/>
    </xf>
    <xf numFmtId="0" fontId="0" fillId="12" borderId="8" xfId="0" applyFill="1" applyBorder="1" applyAlignment="1">
      <alignment horizontal="center"/>
    </xf>
    <xf numFmtId="0" fontId="0" fillId="12" borderId="6" xfId="0" applyFill="1" applyBorder="1" applyAlignment="1">
      <alignment horizontal="center"/>
    </xf>
    <xf numFmtId="0" fontId="2" fillId="18" borderId="11" xfId="0" applyFont="1" applyFill="1" applyBorder="1"/>
    <xf numFmtId="0" fontId="2" fillId="18" borderId="15" xfId="0" applyFont="1" applyFill="1" applyBorder="1"/>
    <xf numFmtId="0" fontId="0" fillId="18" borderId="0" xfId="0" applyFill="1"/>
    <xf numFmtId="0" fontId="2" fillId="18" borderId="10" xfId="0" applyFont="1" applyFill="1" applyBorder="1" applyAlignment="1">
      <alignment horizontal="center"/>
    </xf>
    <xf numFmtId="0" fontId="7" fillId="12" borderId="11" xfId="3" applyFont="1" applyFill="1" applyBorder="1" applyAlignment="1">
      <alignment horizontal="center" vertical="center" wrapText="1"/>
    </xf>
    <xf numFmtId="0" fontId="0" fillId="12" borderId="10" xfId="0" applyFill="1" applyBorder="1"/>
    <xf numFmtId="0" fontId="0" fillId="12" borderId="15" xfId="0" applyFill="1" applyBorder="1"/>
    <xf numFmtId="0" fontId="7" fillId="12" borderId="8" xfId="3" applyFont="1" applyFill="1" applyBorder="1" applyAlignment="1">
      <alignment horizontal="center" vertical="center" wrapText="1"/>
    </xf>
    <xf numFmtId="0" fontId="0" fillId="12" borderId="14" xfId="0" applyFill="1" applyBorder="1"/>
    <xf numFmtId="0" fontId="9" fillId="0" borderId="0" xfId="4" applyFont="1" applyAlignment="1">
      <alignment vertical="center"/>
    </xf>
    <xf numFmtId="0" fontId="8" fillId="0" borderId="0" xfId="4" applyAlignment="1">
      <alignment horizontal="center" vertical="center"/>
    </xf>
    <xf numFmtId="0" fontId="9" fillId="0" borderId="0" xfId="4" applyFont="1" applyAlignment="1">
      <alignment horizontal="center" vertical="center"/>
    </xf>
    <xf numFmtId="0" fontId="7" fillId="12" borderId="6" xfId="3" applyFont="1" applyFill="1" applyBorder="1" applyAlignment="1">
      <alignment horizontal="center" vertical="center" wrapText="1"/>
    </xf>
    <xf numFmtId="0" fontId="0" fillId="12" borderId="13" xfId="0" applyFill="1" applyBorder="1"/>
    <xf numFmtId="0" fontId="0" fillId="12" borderId="7" xfId="0" applyFill="1" applyBorder="1" applyAlignment="1">
      <alignment horizontal="center"/>
    </xf>
    <xf numFmtId="0" fontId="7" fillId="0" borderId="0" xfId="3" applyFont="1" applyAlignment="1">
      <alignment horizontal="center" vertical="center" wrapText="1"/>
    </xf>
    <xf numFmtId="0" fontId="3" fillId="23" borderId="65" xfId="0" applyFont="1" applyFill="1" applyBorder="1"/>
    <xf numFmtId="0" fontId="0" fillId="23" borderId="58" xfId="0" applyFill="1" applyBorder="1"/>
    <xf numFmtId="0" fontId="54" fillId="0" borderId="0" xfId="0" applyFont="1" applyAlignment="1">
      <alignment horizontal="right"/>
    </xf>
    <xf numFmtId="0" fontId="0" fillId="23" borderId="24" xfId="0" applyFill="1" applyBorder="1"/>
    <xf numFmtId="0" fontId="1" fillId="12" borderId="8" xfId="0" applyFont="1" applyFill="1" applyBorder="1" applyAlignment="1">
      <alignment horizontal="center" vertical="center" wrapText="1"/>
    </xf>
    <xf numFmtId="0" fontId="0" fillId="23" borderId="67" xfId="0" applyFill="1" applyBorder="1"/>
    <xf numFmtId="0" fontId="0" fillId="23" borderId="17" xfId="0" applyFill="1" applyBorder="1"/>
    <xf numFmtId="0" fontId="0" fillId="12" borderId="8" xfId="0" applyFill="1" applyBorder="1"/>
    <xf numFmtId="0" fontId="60" fillId="0" borderId="0" xfId="0" applyFont="1"/>
    <xf numFmtId="0" fontId="2" fillId="0" borderId="0" xfId="0" applyFont="1"/>
    <xf numFmtId="0" fontId="0" fillId="6" borderId="0" xfId="0" applyFill="1" applyAlignment="1">
      <alignment horizontal="left" vertical="center"/>
    </xf>
    <xf numFmtId="0" fontId="0" fillId="6" borderId="9" xfId="0" applyFill="1" applyBorder="1" applyAlignment="1">
      <alignment horizontal="center"/>
    </xf>
    <xf numFmtId="0" fontId="3" fillId="0" borderId="0" xfId="0" applyFont="1" applyAlignment="1">
      <alignment horizontal="center" vertical="center"/>
    </xf>
    <xf numFmtId="0" fontId="3" fillId="0" borderId="0" xfId="0" applyFont="1"/>
    <xf numFmtId="0" fontId="61" fillId="12" borderId="0" xfId="0" applyFont="1" applyFill="1" applyAlignment="1">
      <alignment horizontal="center" vertical="center"/>
    </xf>
    <xf numFmtId="0" fontId="63" fillId="12" borderId="0" xfId="0" applyFont="1" applyFill="1" applyAlignment="1">
      <alignment horizontal="center" vertical="center"/>
    </xf>
    <xf numFmtId="0" fontId="3" fillId="12" borderId="0" xfId="0" applyFont="1" applyFill="1"/>
    <xf numFmtId="0" fontId="3" fillId="12" borderId="0" xfId="0" applyFont="1" applyFill="1" applyAlignment="1">
      <alignment horizontal="center"/>
    </xf>
    <xf numFmtId="0" fontId="59" fillId="12" borderId="0" xfId="4" applyFont="1" applyFill="1" applyAlignment="1">
      <alignment vertical="center"/>
    </xf>
    <xf numFmtId="0" fontId="64" fillId="12" borderId="0" xfId="4" applyFont="1" applyFill="1" applyAlignment="1">
      <alignment vertical="center"/>
    </xf>
    <xf numFmtId="0" fontId="3" fillId="0" borderId="0" xfId="0" applyFont="1" applyFill="1" applyBorder="1"/>
    <xf numFmtId="0" fontId="61" fillId="0" borderId="0" xfId="0" applyFont="1" applyFill="1" applyBorder="1" applyAlignment="1">
      <alignment horizontal="center" vertical="center"/>
    </xf>
    <xf numFmtId="0" fontId="2" fillId="12" borderId="0" xfId="0" applyFont="1" applyFill="1" applyBorder="1" applyAlignment="1">
      <alignment horizontal="center"/>
    </xf>
    <xf numFmtId="0" fontId="62" fillId="12" borderId="0" xfId="0" applyFont="1" applyFill="1" applyBorder="1"/>
    <xf numFmtId="0" fontId="65" fillId="12" borderId="0" xfId="0" applyFont="1" applyFill="1" applyBorder="1"/>
    <xf numFmtId="0" fontId="33" fillId="37" borderId="11" xfId="8" applyFont="1" applyFill="1" applyBorder="1" applyAlignment="1">
      <alignment horizontal="left"/>
    </xf>
    <xf numFmtId="0" fontId="22" fillId="37" borderId="10" xfId="8" applyFont="1" applyFill="1" applyBorder="1" applyAlignment="1">
      <alignment horizontal="left"/>
    </xf>
    <xf numFmtId="0" fontId="14" fillId="37" borderId="15" xfId="7" applyFill="1" applyBorder="1" applyAlignment="1">
      <alignment horizontal="left"/>
    </xf>
    <xf numFmtId="0" fontId="33" fillId="37" borderId="6" xfId="8" applyFont="1" applyFill="1" applyBorder="1" applyAlignment="1">
      <alignment horizontal="left" vertical="center"/>
    </xf>
    <xf numFmtId="0" fontId="33" fillId="37" borderId="5" xfId="8" applyFont="1" applyFill="1" applyBorder="1" applyAlignment="1">
      <alignment horizontal="left" vertical="center"/>
    </xf>
    <xf numFmtId="0" fontId="33" fillId="37" borderId="13" xfId="8" applyFont="1" applyFill="1" applyBorder="1" applyAlignment="1">
      <alignment horizontal="left" vertical="center"/>
    </xf>
    <xf numFmtId="0" fontId="0" fillId="19" borderId="12" xfId="0" applyFill="1" applyBorder="1"/>
    <xf numFmtId="0" fontId="3" fillId="19" borderId="12" xfId="0" applyFont="1" applyFill="1" applyBorder="1" applyAlignment="1">
      <alignment horizontal="center" vertical="center"/>
    </xf>
    <xf numFmtId="0" fontId="3" fillId="19" borderId="15" xfId="0" applyFont="1" applyFill="1" applyBorder="1" applyAlignment="1">
      <alignment horizontal="center" vertical="center"/>
    </xf>
    <xf numFmtId="0" fontId="0" fillId="19" borderId="12" xfId="0" applyFill="1" applyBorder="1" applyAlignment="1">
      <alignment vertical="center"/>
    </xf>
    <xf numFmtId="0" fontId="0" fillId="19" borderId="12" xfId="0" applyFill="1" applyBorder="1" applyAlignment="1">
      <alignment horizontal="center"/>
    </xf>
    <xf numFmtId="0" fontId="0" fillId="19" borderId="9" xfId="0" applyFill="1" applyBorder="1" applyAlignment="1">
      <alignment vertical="center"/>
    </xf>
    <xf numFmtId="0" fontId="0" fillId="19" borderId="9" xfId="0" applyFill="1" applyBorder="1" applyAlignment="1">
      <alignment horizontal="center"/>
    </xf>
    <xf numFmtId="0" fontId="0" fillId="19" borderId="7" xfId="0" applyFill="1" applyBorder="1" applyAlignment="1">
      <alignment horizontal="center"/>
    </xf>
    <xf numFmtId="0" fontId="0" fillId="37" borderId="15" xfId="0" applyFill="1" applyBorder="1"/>
    <xf numFmtId="0" fontId="0" fillId="19" borderId="11" xfId="0" applyFill="1" applyBorder="1"/>
    <xf numFmtId="0" fontId="23" fillId="19" borderId="12" xfId="8" applyFont="1" applyFill="1" applyBorder="1" applyAlignment="1">
      <alignment horizontal="center" vertical="center"/>
    </xf>
    <xf numFmtId="0" fontId="0" fillId="19" borderId="12" xfId="0" applyFont="1" applyFill="1" applyBorder="1" applyAlignment="1">
      <alignment horizontal="center"/>
    </xf>
    <xf numFmtId="0" fontId="0" fillId="19" borderId="8" xfId="0" applyFill="1" applyBorder="1" applyAlignment="1">
      <alignment horizontal="left" vertical="center"/>
    </xf>
    <xf numFmtId="0" fontId="0" fillId="19" borderId="6" xfId="0" applyFill="1" applyBorder="1"/>
    <xf numFmtId="0" fontId="34" fillId="37" borderId="15" xfId="8" applyFont="1" applyFill="1" applyBorder="1" applyAlignment="1">
      <alignment horizontal="center"/>
    </xf>
    <xf numFmtId="0" fontId="34" fillId="37" borderId="13" xfId="8" applyFont="1" applyFill="1" applyBorder="1" applyAlignment="1">
      <alignment horizontal="center" vertical="center"/>
    </xf>
    <xf numFmtId="0" fontId="23" fillId="19" borderId="12" xfId="8" applyFont="1" applyFill="1" applyBorder="1" applyAlignment="1">
      <alignment horizontal="center"/>
    </xf>
    <xf numFmtId="0" fontId="23" fillId="19" borderId="15" xfId="8" applyFont="1" applyFill="1" applyBorder="1" applyAlignment="1">
      <alignment horizontal="center"/>
    </xf>
    <xf numFmtId="0" fontId="28" fillId="19" borderId="12" xfId="8" applyFont="1" applyFill="1" applyBorder="1"/>
    <xf numFmtId="3" fontId="28" fillId="19" borderId="15" xfId="8" applyNumberFormat="1" applyFont="1" applyFill="1" applyBorder="1" applyAlignment="1">
      <alignment horizontal="center"/>
    </xf>
    <xf numFmtId="0" fontId="28" fillId="19" borderId="7" xfId="8" applyFont="1" applyFill="1" applyBorder="1"/>
    <xf numFmtId="3" fontId="28" fillId="19" borderId="13" xfId="8" applyNumberFormat="1" applyFont="1" applyFill="1" applyBorder="1" applyAlignment="1">
      <alignment horizontal="center"/>
    </xf>
    <xf numFmtId="0" fontId="34" fillId="9" borderId="10" xfId="8" applyFont="1" applyFill="1" applyBorder="1" applyAlignment="1">
      <alignment horizontal="center"/>
    </xf>
    <xf numFmtId="0" fontId="34" fillId="9" borderId="15" xfId="8" applyFont="1" applyFill="1" applyBorder="1" applyAlignment="1">
      <alignment horizontal="center"/>
    </xf>
    <xf numFmtId="0" fontId="34" fillId="9" borderId="5" xfId="8" applyFont="1" applyFill="1" applyBorder="1" applyAlignment="1">
      <alignment horizontal="center" vertical="center"/>
    </xf>
    <xf numFmtId="0" fontId="34" fillId="9" borderId="13" xfId="8" applyFont="1" applyFill="1" applyBorder="1" applyAlignment="1">
      <alignment horizontal="center" vertical="center"/>
    </xf>
    <xf numFmtId="0" fontId="0" fillId="11" borderId="9" xfId="0" applyFill="1" applyBorder="1"/>
    <xf numFmtId="0" fontId="3" fillId="11" borderId="9" xfId="0" applyFont="1" applyFill="1" applyBorder="1" applyAlignment="1">
      <alignment horizontal="center" vertical="center"/>
    </xf>
    <xf numFmtId="0" fontId="3" fillId="11" borderId="14" xfId="0" applyFont="1" applyFill="1" applyBorder="1" applyAlignment="1">
      <alignment horizontal="center" vertical="center"/>
    </xf>
    <xf numFmtId="0" fontId="0" fillId="11" borderId="4" xfId="0" applyFill="1" applyBorder="1" applyAlignment="1">
      <alignment vertical="center"/>
    </xf>
    <xf numFmtId="0" fontId="0" fillId="11" borderId="4" xfId="0" applyFill="1" applyBorder="1" applyAlignment="1">
      <alignment horizontal="center"/>
    </xf>
    <xf numFmtId="0" fontId="33" fillId="37" borderId="8" xfId="8" applyFont="1" applyFill="1" applyBorder="1" applyAlignment="1">
      <alignment horizontal="left" vertical="center"/>
    </xf>
    <xf numFmtId="0" fontId="33" fillId="37" borderId="14" xfId="8" applyFont="1" applyFill="1" applyBorder="1" applyAlignment="1">
      <alignment horizontal="left" vertical="center"/>
    </xf>
    <xf numFmtId="0" fontId="23" fillId="19" borderId="11" xfId="8" applyFont="1" applyFill="1" applyBorder="1" applyAlignment="1">
      <alignment horizontal="left"/>
    </xf>
    <xf numFmtId="3" fontId="18" fillId="19" borderId="12" xfId="8" applyNumberFormat="1" applyFont="1" applyFill="1" applyBorder="1" applyAlignment="1">
      <alignment horizontal="left"/>
    </xf>
    <xf numFmtId="4" fontId="18" fillId="19" borderId="12" xfId="8" applyNumberFormat="1" applyFont="1" applyFill="1" applyBorder="1" applyAlignment="1">
      <alignment horizontal="center"/>
    </xf>
    <xf numFmtId="3" fontId="18" fillId="19" borderId="9" xfId="8" applyNumberFormat="1" applyFont="1" applyFill="1" applyBorder="1" applyAlignment="1">
      <alignment horizontal="left"/>
    </xf>
    <xf numFmtId="4" fontId="18" fillId="19" borderId="9" xfId="8" applyNumberFormat="1" applyFont="1" applyFill="1" applyBorder="1" applyAlignment="1">
      <alignment horizontal="center"/>
    </xf>
    <xf numFmtId="0" fontId="5" fillId="19" borderId="7" xfId="0" applyFont="1" applyFill="1" applyBorder="1" applyAlignment="1">
      <alignment horizontal="left"/>
    </xf>
    <xf numFmtId="4" fontId="5" fillId="19" borderId="7" xfId="0" applyNumberFormat="1" applyFont="1" applyFill="1" applyBorder="1" applyAlignment="1">
      <alignment horizontal="center"/>
    </xf>
    <xf numFmtId="0" fontId="0" fillId="19" borderId="4" xfId="0" applyFill="1" applyBorder="1" applyAlignment="1">
      <alignment vertical="center"/>
    </xf>
    <xf numFmtId="0" fontId="0" fillId="19" borderId="4" xfId="0" applyFill="1" applyBorder="1" applyAlignment="1">
      <alignment horizontal="center"/>
    </xf>
    <xf numFmtId="0" fontId="14" fillId="37" borderId="10" xfId="7" applyFill="1" applyBorder="1" applyAlignment="1">
      <alignment horizontal="left"/>
    </xf>
    <xf numFmtId="0" fontId="33" fillId="37" borderId="15" xfId="8" applyFont="1" applyFill="1" applyBorder="1" applyAlignment="1">
      <alignment horizontal="left"/>
    </xf>
    <xf numFmtId="0" fontId="0" fillId="19" borderId="12" xfId="0" applyNumberFormat="1" applyFill="1" applyBorder="1" applyAlignment="1">
      <alignment horizontal="center" vertical="center"/>
    </xf>
    <xf numFmtId="0" fontId="0" fillId="19" borderId="7" xfId="0" applyFill="1" applyBorder="1"/>
    <xf numFmtId="0" fontId="0" fillId="19" borderId="7" xfId="0" applyNumberFormat="1" applyFill="1" applyBorder="1" applyAlignment="1">
      <alignment horizontal="center" vertical="center"/>
    </xf>
    <xf numFmtId="0" fontId="3" fillId="38" borderId="11" xfId="0" applyFont="1" applyFill="1" applyBorder="1"/>
    <xf numFmtId="0" fontId="0" fillId="38" borderId="15" xfId="0" applyFill="1" applyBorder="1"/>
    <xf numFmtId="0" fontId="3" fillId="38" borderId="6" xfId="0" applyFont="1" applyFill="1" applyBorder="1"/>
    <xf numFmtId="0" fontId="0" fillId="38" borderId="13" xfId="0" applyFill="1" applyBorder="1"/>
    <xf numFmtId="0" fontId="3" fillId="6" borderId="3" xfId="0" applyFont="1" applyFill="1" applyBorder="1" applyAlignment="1">
      <alignment horizontal="center" vertical="center"/>
    </xf>
    <xf numFmtId="0" fontId="0" fillId="6" borderId="11" xfId="0" applyFill="1" applyBorder="1"/>
    <xf numFmtId="167" fontId="0" fillId="6" borderId="12" xfId="0" applyNumberFormat="1" applyFill="1" applyBorder="1"/>
    <xf numFmtId="0" fontId="0" fillId="6" borderId="6" xfId="0" applyFill="1" applyBorder="1"/>
    <xf numFmtId="167" fontId="0" fillId="6" borderId="7" xfId="0" applyNumberFormat="1" applyFill="1" applyBorder="1"/>
    <xf numFmtId="0" fontId="0" fillId="12" borderId="15" xfId="0" applyFill="1" applyBorder="1" applyAlignment="1">
      <alignment horizontal="center" vertical="center"/>
    </xf>
    <xf numFmtId="0" fontId="0" fillId="12" borderId="14" xfId="0" applyFill="1" applyBorder="1" applyAlignment="1">
      <alignment horizontal="center" vertical="center"/>
    </xf>
    <xf numFmtId="170" fontId="0" fillId="12" borderId="15" xfId="0" applyNumberFormat="1" applyFill="1" applyBorder="1" applyAlignment="1">
      <alignment horizontal="center" vertical="center"/>
    </xf>
    <xf numFmtId="170" fontId="0" fillId="12" borderId="14" xfId="0" applyNumberFormat="1" applyFill="1" applyBorder="1" applyAlignment="1">
      <alignment horizontal="center" vertical="center"/>
    </xf>
    <xf numFmtId="170" fontId="0" fillId="12" borderId="13" xfId="0" applyNumberFormat="1" applyFill="1" applyBorder="1" applyAlignment="1">
      <alignment horizontal="center" vertical="center"/>
    </xf>
    <xf numFmtId="0" fontId="14" fillId="12" borderId="0" xfId="7" applyFill="1" applyBorder="1" applyAlignment="1">
      <alignment horizontal="right"/>
    </xf>
    <xf numFmtId="0" fontId="0" fillId="12" borderId="0" xfId="0" applyFont="1" applyFill="1"/>
    <xf numFmtId="0" fontId="0" fillId="12" borderId="0" xfId="0" applyFill="1" applyBorder="1" applyAlignment="1">
      <alignment horizontal="left" vertical="center"/>
    </xf>
    <xf numFmtId="0" fontId="28" fillId="12" borderId="0" xfId="0" applyFont="1" applyFill="1" applyBorder="1" applyAlignment="1">
      <alignment horizontal="center" vertical="center" wrapText="1" readingOrder="1"/>
    </xf>
    <xf numFmtId="0" fontId="28" fillId="12" borderId="0" xfId="0" applyFont="1" applyFill="1" applyBorder="1" applyAlignment="1">
      <alignment horizontal="left" vertical="center" wrapText="1" readingOrder="1"/>
    </xf>
    <xf numFmtId="0" fontId="27" fillId="12" borderId="0" xfId="0" applyFont="1" applyFill="1" applyBorder="1" applyAlignment="1">
      <alignment horizontal="center" vertical="center" wrapText="1"/>
    </xf>
    <xf numFmtId="0" fontId="29" fillId="12" borderId="0" xfId="0" applyFont="1" applyFill="1" applyBorder="1" applyAlignment="1">
      <alignment horizontal="center" vertical="center" wrapText="1" readingOrder="1"/>
    </xf>
    <xf numFmtId="0" fontId="59" fillId="12" borderId="0" xfId="4" applyFont="1" applyFill="1" applyBorder="1" applyAlignment="1">
      <alignment vertical="center"/>
    </xf>
    <xf numFmtId="0" fontId="23" fillId="12" borderId="0" xfId="0" applyFont="1" applyFill="1" applyBorder="1" applyAlignment="1">
      <alignment horizontal="center" vertical="center" wrapText="1" readingOrder="1"/>
    </xf>
    <xf numFmtId="0" fontId="64" fillId="12" borderId="0" xfId="4" applyFont="1" applyFill="1" applyBorder="1" applyAlignment="1">
      <alignment vertical="center"/>
    </xf>
    <xf numFmtId="0" fontId="65" fillId="11" borderId="0" xfId="0" applyFont="1" applyFill="1" applyBorder="1"/>
    <xf numFmtId="0" fontId="65" fillId="19" borderId="0" xfId="0" applyFont="1" applyFill="1" applyBorder="1"/>
    <xf numFmtId="0" fontId="65" fillId="31" borderId="0" xfId="0" applyFont="1" applyFill="1" applyBorder="1"/>
    <xf numFmtId="0" fontId="14" fillId="11" borderId="0" xfId="7" applyFill="1" applyAlignment="1">
      <alignment horizontal="center" vertical="center"/>
    </xf>
    <xf numFmtId="0" fontId="0" fillId="3" borderId="0" xfId="0" applyFill="1" applyAlignment="1">
      <alignment horizontal="left" vertical="center"/>
    </xf>
    <xf numFmtId="0" fontId="14" fillId="3" borderId="0" xfId="7" applyFill="1" applyAlignment="1">
      <alignment horizontal="center" vertical="center"/>
    </xf>
    <xf numFmtId="0" fontId="3" fillId="11" borderId="11" xfId="0" applyFont="1" applyFill="1" applyBorder="1" applyAlignment="1">
      <alignment horizontal="center"/>
    </xf>
    <xf numFmtId="0" fontId="3" fillId="11" borderId="12" xfId="0" applyFont="1" applyFill="1" applyBorder="1" applyAlignment="1">
      <alignment horizontal="center"/>
    </xf>
    <xf numFmtId="0" fontId="3" fillId="11" borderId="15" xfId="0" applyFont="1" applyFill="1" applyBorder="1" applyAlignment="1">
      <alignment horizontal="center"/>
    </xf>
    <xf numFmtId="0" fontId="0" fillId="11" borderId="11" xfId="0" applyFill="1" applyBorder="1" applyAlignment="1">
      <alignment horizontal="right"/>
    </xf>
    <xf numFmtId="0" fontId="0" fillId="11" borderId="8" xfId="0" applyFill="1" applyBorder="1" applyAlignment="1">
      <alignment horizontal="right"/>
    </xf>
    <xf numFmtId="0" fontId="0" fillId="11" borderId="14" xfId="0" applyFill="1" applyBorder="1"/>
    <xf numFmtId="0" fontId="0" fillId="11" borderId="58" xfId="0" applyFill="1" applyBorder="1"/>
    <xf numFmtId="0" fontId="0" fillId="11" borderId="59" xfId="0" applyFill="1" applyBorder="1"/>
    <xf numFmtId="0" fontId="0" fillId="11" borderId="6" xfId="0" applyFill="1" applyBorder="1" applyAlignment="1">
      <alignment horizontal="right"/>
    </xf>
    <xf numFmtId="0" fontId="0" fillId="11" borderId="5" xfId="0" applyFill="1" applyBorder="1"/>
    <xf numFmtId="0" fontId="0" fillId="11" borderId="13" xfId="0" applyFill="1" applyBorder="1"/>
    <xf numFmtId="0" fontId="0" fillId="11" borderId="10" xfId="0" applyFill="1" applyBorder="1"/>
    <xf numFmtId="0" fontId="0" fillId="11" borderId="0" xfId="0" applyFill="1" applyAlignment="1">
      <alignment horizontal="right"/>
    </xf>
    <xf numFmtId="0" fontId="0" fillId="11" borderId="5" xfId="0" applyFill="1" applyBorder="1" applyAlignment="1">
      <alignment horizontal="right"/>
    </xf>
    <xf numFmtId="2" fontId="32" fillId="11" borderId="0" xfId="0" applyNumberFormat="1" applyFont="1" applyFill="1" applyBorder="1" applyAlignment="1">
      <alignment horizontal="center" vertical="center" textRotation="90"/>
    </xf>
    <xf numFmtId="0" fontId="0" fillId="11" borderId="0" xfId="0" applyFill="1" applyBorder="1"/>
    <xf numFmtId="167" fontId="0" fillId="11" borderId="0" xfId="0" applyNumberFormat="1" applyFill="1" applyBorder="1" applyAlignment="1">
      <alignment horizontal="center" vertical="center"/>
    </xf>
    <xf numFmtId="167" fontId="0" fillId="3" borderId="0" xfId="0" applyNumberFormat="1" applyFill="1" applyBorder="1" applyAlignment="1">
      <alignment horizontal="center" vertic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3" fillId="3" borderId="15" xfId="0" applyFont="1" applyFill="1" applyBorder="1" applyAlignment="1">
      <alignment horizontal="center"/>
    </xf>
    <xf numFmtId="0" fontId="0" fillId="3" borderId="11" xfId="0" applyFill="1" applyBorder="1" applyAlignment="1">
      <alignment horizontal="right"/>
    </xf>
    <xf numFmtId="0" fontId="0" fillId="3" borderId="15" xfId="0" applyFill="1" applyBorder="1"/>
    <xf numFmtId="0" fontId="0" fillId="3" borderId="8" xfId="0" applyFill="1" applyBorder="1" applyAlignment="1">
      <alignment horizontal="right"/>
    </xf>
    <xf numFmtId="0" fontId="0" fillId="3" borderId="14" xfId="0" applyFill="1" applyBorder="1"/>
    <xf numFmtId="0" fontId="0" fillId="3" borderId="14" xfId="0" applyFill="1" applyBorder="1" applyAlignment="1">
      <alignment horizontal="center"/>
    </xf>
    <xf numFmtId="0" fontId="0" fillId="3" borderId="9" xfId="0" applyFill="1" applyBorder="1" applyAlignment="1">
      <alignment horizontal="center"/>
    </xf>
    <xf numFmtId="0" fontId="0" fillId="3" borderId="58" xfId="0" applyFill="1" applyBorder="1"/>
    <xf numFmtId="0" fontId="0" fillId="3" borderId="59" xfId="0" applyFill="1" applyBorder="1"/>
    <xf numFmtId="0" fontId="0" fillId="3" borderId="6" xfId="0" applyFill="1" applyBorder="1" applyAlignment="1">
      <alignment horizontal="right"/>
    </xf>
    <xf numFmtId="0" fontId="0" fillId="3" borderId="5" xfId="0" applyFill="1" applyBorder="1"/>
    <xf numFmtId="0" fontId="0" fillId="3" borderId="13" xfId="0" applyFill="1" applyBorder="1"/>
    <xf numFmtId="0" fontId="0" fillId="3" borderId="10" xfId="0" applyFill="1" applyBorder="1"/>
    <xf numFmtId="0" fontId="0" fillId="3" borderId="8" xfId="0" applyFill="1" applyBorder="1"/>
    <xf numFmtId="0" fontId="0" fillId="3" borderId="0" xfId="0" applyFill="1" applyAlignment="1">
      <alignment horizontal="right"/>
    </xf>
    <xf numFmtId="0" fontId="0" fillId="3" borderId="5" xfId="0" applyFill="1" applyBorder="1" applyAlignment="1">
      <alignment horizontal="right"/>
    </xf>
    <xf numFmtId="0" fontId="0" fillId="3" borderId="0" xfId="0" applyFill="1" applyBorder="1"/>
    <xf numFmtId="0" fontId="14" fillId="19" borderId="0" xfId="7" applyFill="1" applyAlignment="1">
      <alignment horizontal="center" vertical="center"/>
    </xf>
    <xf numFmtId="167" fontId="0" fillId="19" borderId="0" xfId="0" applyNumberFormat="1" applyFill="1" applyBorder="1" applyAlignment="1">
      <alignment horizontal="center" vertical="center"/>
    </xf>
    <xf numFmtId="0" fontId="32" fillId="19" borderId="0" xfId="0" applyFont="1" applyFill="1" applyBorder="1" applyAlignment="1">
      <alignment horizontal="center" vertical="center" textRotation="90"/>
    </xf>
    <xf numFmtId="0" fontId="0" fillId="19" borderId="0" xfId="0" applyFill="1"/>
    <xf numFmtId="0" fontId="3" fillId="19" borderId="11" xfId="0" applyFont="1" applyFill="1" applyBorder="1" applyAlignment="1">
      <alignment horizontal="center"/>
    </xf>
    <xf numFmtId="0" fontId="3" fillId="19" borderId="12" xfId="0" applyFont="1" applyFill="1" applyBorder="1" applyAlignment="1">
      <alignment horizontal="center"/>
    </xf>
    <xf numFmtId="0" fontId="0" fillId="19" borderId="11" xfId="0" applyFill="1" applyBorder="1" applyAlignment="1">
      <alignment horizontal="right"/>
    </xf>
    <xf numFmtId="0" fontId="0" fillId="19" borderId="10" xfId="0" applyFill="1" applyBorder="1"/>
    <xf numFmtId="0" fontId="0" fillId="19" borderId="15" xfId="0" applyFill="1" applyBorder="1"/>
    <xf numFmtId="0" fontId="0" fillId="19" borderId="8" xfId="0" applyFill="1" applyBorder="1" applyAlignment="1">
      <alignment horizontal="right"/>
    </xf>
    <xf numFmtId="0" fontId="0" fillId="19" borderId="0" xfId="0" applyFill="1" applyBorder="1"/>
    <xf numFmtId="0" fontId="0" fillId="19" borderId="14" xfId="0" applyFill="1" applyBorder="1"/>
    <xf numFmtId="0" fontId="0" fillId="19" borderId="6" xfId="0" applyFill="1" applyBorder="1" applyAlignment="1">
      <alignment horizontal="right"/>
    </xf>
    <xf numFmtId="0" fontId="0" fillId="19" borderId="5" xfId="0" applyFill="1" applyBorder="1"/>
    <xf numFmtId="0" fontId="0" fillId="19" borderId="13" xfId="0" applyFill="1" applyBorder="1"/>
    <xf numFmtId="0" fontId="0" fillId="19" borderId="13" xfId="0" applyFill="1" applyBorder="1" applyAlignment="1">
      <alignment horizontal="center"/>
    </xf>
    <xf numFmtId="0" fontId="0" fillId="19" borderId="8" xfId="0" applyFill="1" applyBorder="1"/>
    <xf numFmtId="0" fontId="0" fillId="19" borderId="0" xfId="0" applyFill="1" applyAlignment="1">
      <alignment horizontal="right"/>
    </xf>
    <xf numFmtId="0" fontId="0" fillId="19" borderId="5" xfId="0" applyFill="1" applyBorder="1" applyAlignment="1">
      <alignment horizontal="right"/>
    </xf>
    <xf numFmtId="0" fontId="0" fillId="19" borderId="0" xfId="0" applyFill="1" applyBorder="1" applyAlignment="1">
      <alignment horizontal="right"/>
    </xf>
    <xf numFmtId="0" fontId="3" fillId="19" borderId="4" xfId="0" applyFont="1" applyFill="1" applyBorder="1" applyAlignment="1">
      <alignment horizontal="center"/>
    </xf>
    <xf numFmtId="0" fontId="0" fillId="19" borderId="5" xfId="0" applyFill="1" applyBorder="1" applyAlignment="1">
      <alignment horizontal="center"/>
    </xf>
    <xf numFmtId="0" fontId="0" fillId="19" borderId="71" xfId="0" applyFill="1" applyBorder="1" applyAlignment="1">
      <alignment horizontal="right" vertical="center"/>
    </xf>
    <xf numFmtId="0" fontId="0" fillId="19" borderId="59" xfId="0" applyFill="1" applyBorder="1" applyAlignment="1">
      <alignment horizontal="left" vertical="center"/>
    </xf>
    <xf numFmtId="0" fontId="0" fillId="19" borderId="8" xfId="0" applyFill="1" applyBorder="1" applyAlignment="1">
      <alignment horizontal="right" vertical="center"/>
    </xf>
    <xf numFmtId="0" fontId="54" fillId="40" borderId="0" xfId="0" applyFont="1" applyFill="1"/>
    <xf numFmtId="0" fontId="66" fillId="40" borderId="10" xfId="0" applyFont="1" applyFill="1" applyBorder="1" applyAlignment="1">
      <alignment horizontal="center"/>
    </xf>
    <xf numFmtId="0" fontId="66" fillId="40" borderId="12" xfId="0" applyFont="1" applyFill="1" applyBorder="1" applyAlignment="1">
      <alignment horizontal="center"/>
    </xf>
    <xf numFmtId="0" fontId="66" fillId="40" borderId="1" xfId="0" applyFont="1" applyFill="1" applyBorder="1" applyAlignment="1">
      <alignment horizontal="center"/>
    </xf>
    <xf numFmtId="0" fontId="54" fillId="40" borderId="8" xfId="0" applyFont="1" applyFill="1" applyBorder="1" applyAlignment="1">
      <alignment horizontal="right"/>
    </xf>
    <xf numFmtId="0" fontId="54" fillId="40" borderId="14" xfId="0" applyFont="1" applyFill="1" applyBorder="1"/>
    <xf numFmtId="0" fontId="54" fillId="40" borderId="15" xfId="0" applyFont="1" applyFill="1" applyBorder="1" applyAlignment="1">
      <alignment horizontal="center" vertical="center"/>
    </xf>
    <xf numFmtId="0" fontId="54" fillId="40" borderId="14" xfId="0" applyFont="1" applyFill="1" applyBorder="1" applyAlignment="1">
      <alignment horizontal="center" vertical="center"/>
    </xf>
    <xf numFmtId="0" fontId="54" fillId="40" borderId="73" xfId="0" applyFont="1" applyFill="1" applyBorder="1"/>
    <xf numFmtId="0" fontId="54" fillId="40" borderId="6" xfId="0" applyFont="1" applyFill="1" applyBorder="1" applyAlignment="1">
      <alignment horizontal="right"/>
    </xf>
    <xf numFmtId="0" fontId="54" fillId="40" borderId="5" xfId="0" applyFont="1" applyFill="1" applyBorder="1"/>
    <xf numFmtId="0" fontId="54" fillId="40" borderId="13" xfId="0" applyFont="1" applyFill="1" applyBorder="1"/>
    <xf numFmtId="0" fontId="54" fillId="40" borderId="13" xfId="0" applyFont="1" applyFill="1" applyBorder="1" applyAlignment="1">
      <alignment horizontal="center"/>
    </xf>
    <xf numFmtId="0" fontId="54" fillId="40" borderId="13" xfId="0" applyFont="1" applyFill="1" applyBorder="1" applyAlignment="1">
      <alignment horizontal="center" vertical="center"/>
    </xf>
    <xf numFmtId="0" fontId="54" fillId="40" borderId="0" xfId="0" applyFont="1" applyFill="1" applyAlignment="1">
      <alignment horizontal="right"/>
    </xf>
    <xf numFmtId="0" fontId="54" fillId="40" borderId="8" xfId="0" applyFont="1" applyFill="1" applyBorder="1"/>
    <xf numFmtId="0" fontId="54" fillId="40" borderId="6" xfId="0" applyFont="1" applyFill="1" applyBorder="1"/>
    <xf numFmtId="0" fontId="54" fillId="40" borderId="5" xfId="0" applyFont="1" applyFill="1" applyBorder="1" applyAlignment="1">
      <alignment horizontal="right"/>
    </xf>
    <xf numFmtId="0" fontId="3" fillId="31" borderId="0" xfId="0" applyFont="1" applyFill="1" applyBorder="1" applyAlignment="1">
      <alignment vertical="center"/>
    </xf>
    <xf numFmtId="0" fontId="54" fillId="41" borderId="0" xfId="0" applyFont="1" applyFill="1" applyBorder="1" applyAlignment="1">
      <alignment horizontal="center" vertical="center"/>
    </xf>
    <xf numFmtId="0" fontId="32" fillId="27" borderId="0" xfId="0" applyFont="1" applyFill="1" applyBorder="1" applyAlignment="1">
      <alignment horizontal="center" vertical="center" textRotation="90"/>
    </xf>
    <xf numFmtId="0" fontId="0" fillId="31" borderId="0" xfId="0" applyFill="1"/>
    <xf numFmtId="0" fontId="3" fillId="31" borderId="11" xfId="0" applyFont="1" applyFill="1" applyBorder="1" applyAlignment="1">
      <alignment horizontal="center"/>
    </xf>
    <xf numFmtId="0" fontId="3" fillId="31" borderId="12" xfId="0" applyFont="1" applyFill="1" applyBorder="1" applyAlignment="1">
      <alignment horizontal="center"/>
    </xf>
    <xf numFmtId="0" fontId="3" fillId="31" borderId="4" xfId="0" applyFont="1" applyFill="1" applyBorder="1" applyAlignment="1">
      <alignment horizontal="center"/>
    </xf>
    <xf numFmtId="0" fontId="0" fillId="31" borderId="11" xfId="0" applyFill="1" applyBorder="1" applyAlignment="1">
      <alignment horizontal="right"/>
    </xf>
    <xf numFmtId="0" fontId="0" fillId="31" borderId="10" xfId="0" applyFill="1" applyBorder="1"/>
    <xf numFmtId="0" fontId="0" fillId="31" borderId="15" xfId="0" applyFill="1" applyBorder="1"/>
    <xf numFmtId="0" fontId="0" fillId="31" borderId="8" xfId="0" applyFill="1" applyBorder="1" applyAlignment="1">
      <alignment horizontal="right"/>
    </xf>
    <xf numFmtId="0" fontId="0" fillId="31" borderId="0" xfId="0" applyFill="1" applyBorder="1"/>
    <xf numFmtId="0" fontId="0" fillId="31" borderId="14" xfId="0" applyFill="1" applyBorder="1"/>
    <xf numFmtId="0" fontId="0" fillId="31" borderId="5" xfId="0" applyFill="1" applyBorder="1"/>
    <xf numFmtId="0" fontId="0" fillId="31" borderId="13" xfId="0" applyFill="1" applyBorder="1"/>
    <xf numFmtId="0" fontId="0" fillId="31" borderId="8" xfId="0" applyFill="1" applyBorder="1"/>
    <xf numFmtId="0" fontId="0" fillId="31" borderId="0" xfId="0" applyFill="1" applyAlignment="1">
      <alignment horizontal="right"/>
    </xf>
    <xf numFmtId="0" fontId="0" fillId="31" borderId="6" xfId="0" applyFill="1" applyBorder="1"/>
    <xf numFmtId="0" fontId="0" fillId="31" borderId="5" xfId="0" applyFill="1" applyBorder="1" applyAlignment="1">
      <alignment horizontal="right"/>
    </xf>
    <xf numFmtId="0" fontId="2" fillId="18" borderId="26" xfId="0" applyFont="1" applyFill="1" applyBorder="1" applyAlignment="1">
      <alignment vertical="center"/>
    </xf>
    <xf numFmtId="3" fontId="0" fillId="0" borderId="0" xfId="0" applyNumberFormat="1" applyFill="1" applyBorder="1" applyAlignment="1">
      <alignment vertical="center"/>
    </xf>
    <xf numFmtId="0" fontId="2" fillId="0" borderId="0" xfId="0" applyFont="1" applyFill="1" applyBorder="1" applyAlignment="1">
      <alignment vertical="center"/>
    </xf>
    <xf numFmtId="0" fontId="2" fillId="0" borderId="0" xfId="0" applyFont="1" applyFill="1" applyBorder="1" applyAlignment="1">
      <alignment horizontal="center" vertical="center"/>
    </xf>
    <xf numFmtId="10" fontId="0" fillId="0" borderId="0" xfId="1" applyNumberFormat="1" applyFont="1" applyFill="1" applyBorder="1" applyAlignment="1">
      <alignment horizontal="center" vertical="center"/>
    </xf>
    <xf numFmtId="0" fontId="3" fillId="42" borderId="20" xfId="0" applyFont="1" applyFill="1" applyBorder="1" applyAlignment="1">
      <alignment horizontal="center" vertical="center"/>
    </xf>
    <xf numFmtId="0" fontId="3" fillId="0" borderId="0" xfId="0" applyFont="1" applyFill="1" applyBorder="1" applyAlignment="1">
      <alignment vertical="center"/>
    </xf>
    <xf numFmtId="0" fontId="0" fillId="0" borderId="0" xfId="0" applyFont="1" applyFill="1" applyBorder="1" applyAlignment="1">
      <alignment vertical="center"/>
    </xf>
    <xf numFmtId="3" fontId="3" fillId="0" borderId="0" xfId="0" applyNumberFormat="1" applyFont="1" applyFill="1" applyBorder="1" applyAlignment="1">
      <alignment horizontal="center" vertical="center"/>
    </xf>
    <xf numFmtId="0" fontId="0" fillId="0" borderId="0" xfId="0" applyFont="1" applyFill="1" applyBorder="1" applyAlignment="1">
      <alignment horizontal="center" vertical="center"/>
    </xf>
    <xf numFmtId="3" fontId="0" fillId="0" borderId="0" xfId="0" applyNumberFormat="1" applyFont="1" applyFill="1" applyBorder="1" applyAlignment="1">
      <alignment horizontal="center" vertical="center"/>
    </xf>
    <xf numFmtId="3" fontId="0" fillId="0" borderId="0" xfId="0" applyNumberFormat="1" applyFill="1" applyBorder="1" applyAlignment="1">
      <alignment horizontal="center" vertical="center"/>
    </xf>
    <xf numFmtId="0" fontId="4" fillId="0" borderId="0" xfId="0" applyFont="1" applyFill="1" applyBorder="1" applyAlignment="1">
      <alignment vertical="center"/>
    </xf>
    <xf numFmtId="0" fontId="3" fillId="42" borderId="0" xfId="0" applyFont="1" applyFill="1" applyAlignment="1">
      <alignment vertical="center"/>
    </xf>
    <xf numFmtId="0" fontId="0" fillId="11" borderId="0" xfId="0" applyFill="1" applyBorder="1" applyAlignment="1">
      <alignment horizontal="right"/>
    </xf>
    <xf numFmtId="0" fontId="3" fillId="12" borderId="0" xfId="0" applyFont="1" applyFill="1" applyBorder="1" applyAlignment="1">
      <alignment horizontal="left"/>
    </xf>
    <xf numFmtId="0" fontId="3" fillId="23" borderId="0" xfId="0" applyFont="1" applyFill="1" applyBorder="1" applyAlignment="1">
      <alignment horizontal="center"/>
    </xf>
    <xf numFmtId="0" fontId="3" fillId="23" borderId="0" xfId="0" applyFont="1" applyFill="1" applyBorder="1"/>
    <xf numFmtId="0" fontId="65" fillId="23" borderId="0" xfId="0" applyFont="1" applyFill="1" applyBorder="1"/>
    <xf numFmtId="0" fontId="27" fillId="11" borderId="74" xfId="0" applyFont="1" applyFill="1" applyBorder="1" applyAlignment="1">
      <alignment horizontal="center" vertical="center" wrapText="1"/>
    </xf>
    <xf numFmtId="0" fontId="28" fillId="19" borderId="74" xfId="0" applyFont="1" applyFill="1" applyBorder="1" applyAlignment="1">
      <alignment horizontal="center" vertical="center" wrapText="1" readingOrder="1"/>
    </xf>
    <xf numFmtId="0" fontId="27" fillId="19" borderId="74" xfId="0" applyFont="1" applyFill="1" applyBorder="1" applyAlignment="1">
      <alignment horizontal="center" vertical="center" wrapText="1"/>
    </xf>
    <xf numFmtId="0" fontId="28" fillId="31" borderId="74" xfId="0" applyFont="1" applyFill="1" applyBorder="1" applyAlignment="1">
      <alignment horizontal="center" vertical="center" wrapText="1" readingOrder="1"/>
    </xf>
    <xf numFmtId="0" fontId="28" fillId="11" borderId="76" xfId="0" applyFont="1" applyFill="1" applyBorder="1" applyAlignment="1">
      <alignment horizontal="center" vertical="center" wrapText="1" readingOrder="1"/>
    </xf>
    <xf numFmtId="0" fontId="28" fillId="11" borderId="77" xfId="0" applyFont="1" applyFill="1" applyBorder="1" applyAlignment="1">
      <alignment horizontal="center" vertical="center" wrapText="1" readingOrder="1"/>
    </xf>
    <xf numFmtId="0" fontId="28" fillId="11" borderId="79" xfId="0" applyFont="1" applyFill="1" applyBorder="1" applyAlignment="1">
      <alignment horizontal="center" vertical="center" wrapText="1" readingOrder="1"/>
    </xf>
    <xf numFmtId="0" fontId="28" fillId="11" borderId="81" xfId="0" applyFont="1" applyFill="1" applyBorder="1" applyAlignment="1">
      <alignment horizontal="center" vertical="center" wrapText="1" readingOrder="1"/>
    </xf>
    <xf numFmtId="0" fontId="28" fillId="11" borderId="82" xfId="0" applyFont="1" applyFill="1" applyBorder="1" applyAlignment="1">
      <alignment horizontal="center" vertical="center" wrapText="1" readingOrder="1"/>
    </xf>
    <xf numFmtId="0" fontId="28" fillId="31" borderId="76" xfId="0" applyFont="1" applyFill="1" applyBorder="1" applyAlignment="1">
      <alignment horizontal="center" vertical="center" wrapText="1" readingOrder="1"/>
    </xf>
    <xf numFmtId="0" fontId="28" fillId="31" borderId="77" xfId="0" applyFont="1" applyFill="1" applyBorder="1" applyAlignment="1">
      <alignment horizontal="center" vertical="center" wrapText="1" readingOrder="1"/>
    </xf>
    <xf numFmtId="0" fontId="28" fillId="31" borderId="79" xfId="0" applyFont="1" applyFill="1" applyBorder="1" applyAlignment="1">
      <alignment horizontal="center" vertical="center" wrapText="1" readingOrder="1"/>
    </xf>
    <xf numFmtId="0" fontId="28" fillId="31" borderId="81" xfId="0" applyFont="1" applyFill="1" applyBorder="1" applyAlignment="1">
      <alignment horizontal="center" vertical="center" wrapText="1" readingOrder="1"/>
    </xf>
    <xf numFmtId="0" fontId="28" fillId="31" borderId="82" xfId="0" applyFont="1" applyFill="1" applyBorder="1" applyAlignment="1">
      <alignment horizontal="center" vertical="center" wrapText="1" readingOrder="1"/>
    </xf>
    <xf numFmtId="0" fontId="28" fillId="19" borderId="76" xfId="0" applyFont="1" applyFill="1" applyBorder="1" applyAlignment="1">
      <alignment horizontal="center" vertical="center" wrapText="1" readingOrder="1"/>
    </xf>
    <xf numFmtId="0" fontId="28" fillId="19" borderId="77" xfId="0" applyFont="1" applyFill="1" applyBorder="1" applyAlignment="1">
      <alignment horizontal="center" vertical="center" wrapText="1" readingOrder="1"/>
    </xf>
    <xf numFmtId="0" fontId="27" fillId="19" borderId="77" xfId="0" applyFont="1" applyFill="1" applyBorder="1" applyAlignment="1">
      <alignment horizontal="center" vertical="center" wrapText="1"/>
    </xf>
    <xf numFmtId="0" fontId="28" fillId="19" borderId="79" xfId="0" applyFont="1" applyFill="1" applyBorder="1" applyAlignment="1">
      <alignment horizontal="center" vertical="center" wrapText="1" readingOrder="1"/>
    </xf>
    <xf numFmtId="0" fontId="28" fillId="19" borderId="81" xfId="0" applyFont="1" applyFill="1" applyBorder="1" applyAlignment="1">
      <alignment horizontal="center" vertical="center" wrapText="1" readingOrder="1"/>
    </xf>
    <xf numFmtId="0" fontId="28" fillId="19" borderId="82" xfId="0" applyFont="1" applyFill="1" applyBorder="1" applyAlignment="1">
      <alignment horizontal="center" vertical="center" wrapText="1" readingOrder="1"/>
    </xf>
    <xf numFmtId="0" fontId="23" fillId="12" borderId="87" xfId="0" applyFont="1" applyFill="1" applyBorder="1" applyAlignment="1">
      <alignment horizontal="center" vertical="center" wrapText="1" readingOrder="1"/>
    </xf>
    <xf numFmtId="0" fontId="23" fillId="12" borderId="75" xfId="0" applyFont="1" applyFill="1" applyBorder="1" applyAlignment="1">
      <alignment horizontal="center" vertical="center" wrapText="1" readingOrder="1"/>
    </xf>
    <xf numFmtId="0" fontId="28" fillId="11" borderId="88" xfId="0" applyFont="1" applyFill="1" applyBorder="1" applyAlignment="1">
      <alignment horizontal="center" vertical="center" wrapText="1" readingOrder="1"/>
    </xf>
    <xf numFmtId="0" fontId="28" fillId="11" borderId="89" xfId="0" applyFont="1" applyFill="1" applyBorder="1" applyAlignment="1">
      <alignment horizontal="center" vertical="center" wrapText="1" readingOrder="1"/>
    </xf>
    <xf numFmtId="0" fontId="28" fillId="11" borderId="90" xfId="0" applyFont="1" applyFill="1" applyBorder="1" applyAlignment="1">
      <alignment horizontal="center" vertical="center" wrapText="1" readingOrder="1"/>
    </xf>
    <xf numFmtId="0" fontId="28" fillId="19" borderId="88" xfId="0" applyFont="1" applyFill="1" applyBorder="1" applyAlignment="1">
      <alignment horizontal="center" vertical="center" wrapText="1" readingOrder="1"/>
    </xf>
    <xf numFmtId="0" fontId="28" fillId="19" borderId="89" xfId="0" applyFont="1" applyFill="1" applyBorder="1" applyAlignment="1">
      <alignment horizontal="center" vertical="center" wrapText="1" readingOrder="1"/>
    </xf>
    <xf numFmtId="0" fontId="28" fillId="19" borderId="90" xfId="0" applyFont="1" applyFill="1" applyBorder="1" applyAlignment="1">
      <alignment horizontal="center" vertical="center" wrapText="1" readingOrder="1"/>
    </xf>
    <xf numFmtId="0" fontId="28" fillId="31" borderId="88" xfId="0" applyFont="1" applyFill="1" applyBorder="1" applyAlignment="1">
      <alignment horizontal="center" vertical="center" wrapText="1" readingOrder="1"/>
    </xf>
    <xf numFmtId="0" fontId="28" fillId="31" borderId="89" xfId="0" applyFont="1" applyFill="1" applyBorder="1" applyAlignment="1">
      <alignment horizontal="center" vertical="center" wrapText="1" readingOrder="1"/>
    </xf>
    <xf numFmtId="0" fontId="28" fillId="31" borderId="90" xfId="0" applyFont="1" applyFill="1" applyBorder="1" applyAlignment="1">
      <alignment horizontal="center" vertical="center" wrapText="1" readingOrder="1"/>
    </xf>
    <xf numFmtId="0" fontId="28" fillId="11" borderId="88" xfId="0" applyFont="1" applyFill="1" applyBorder="1" applyAlignment="1">
      <alignment horizontal="left" vertical="center" wrapText="1" readingOrder="1"/>
    </xf>
    <xf numFmtId="0" fontId="28" fillId="11" borderId="89" xfId="0" applyFont="1" applyFill="1" applyBorder="1" applyAlignment="1">
      <alignment horizontal="left" vertical="center" wrapText="1" readingOrder="1"/>
    </xf>
    <xf numFmtId="0" fontId="28" fillId="11" borderId="90" xfId="0" applyFont="1" applyFill="1" applyBorder="1" applyAlignment="1">
      <alignment horizontal="left" vertical="center" wrapText="1" readingOrder="1"/>
    </xf>
    <xf numFmtId="0" fontId="28" fillId="19" borderId="88" xfId="0" applyFont="1" applyFill="1" applyBorder="1" applyAlignment="1">
      <alignment horizontal="left" vertical="center" wrapText="1" readingOrder="1"/>
    </xf>
    <xf numFmtId="0" fontId="28" fillId="19" borderId="89" xfId="0" applyFont="1" applyFill="1" applyBorder="1" applyAlignment="1">
      <alignment horizontal="left" vertical="center" wrapText="1" readingOrder="1"/>
    </xf>
    <xf numFmtId="0" fontId="28" fillId="19" borderId="90" xfId="0" applyFont="1" applyFill="1" applyBorder="1" applyAlignment="1">
      <alignment horizontal="left" vertical="center" wrapText="1" readingOrder="1"/>
    </xf>
    <xf numFmtId="0" fontId="28" fillId="31" borderId="88" xfId="0" applyFont="1" applyFill="1" applyBorder="1" applyAlignment="1">
      <alignment horizontal="left" vertical="center" wrapText="1" readingOrder="1"/>
    </xf>
    <xf numFmtId="0" fontId="28" fillId="31" borderId="89" xfId="0" applyFont="1" applyFill="1" applyBorder="1" applyAlignment="1">
      <alignment horizontal="left" vertical="center" wrapText="1" readingOrder="1"/>
    </xf>
    <xf numFmtId="0" fontId="28" fillId="31" borderId="90" xfId="0" applyFont="1" applyFill="1" applyBorder="1" applyAlignment="1">
      <alignment horizontal="left" vertical="center" wrapText="1" readingOrder="1"/>
    </xf>
    <xf numFmtId="0" fontId="28" fillId="11" borderId="78" xfId="0" applyFont="1" applyFill="1" applyBorder="1" applyAlignment="1">
      <alignment horizontal="center" vertical="center" wrapText="1" readingOrder="1"/>
    </xf>
    <xf numFmtId="0" fontId="28" fillId="11" borderId="80" xfId="0" applyFont="1" applyFill="1" applyBorder="1" applyAlignment="1">
      <alignment horizontal="center" vertical="center" wrapText="1" readingOrder="1"/>
    </xf>
    <xf numFmtId="0" fontId="28" fillId="11" borderId="83" xfId="0" applyFont="1" applyFill="1" applyBorder="1" applyAlignment="1">
      <alignment horizontal="center" vertical="center" wrapText="1" readingOrder="1"/>
    </xf>
    <xf numFmtId="0" fontId="28" fillId="19" borderId="78" xfId="0" applyFont="1" applyFill="1" applyBorder="1" applyAlignment="1">
      <alignment horizontal="center" vertical="center" wrapText="1" readingOrder="1"/>
    </xf>
    <xf numFmtId="0" fontId="28" fillId="19" borderId="80" xfId="0" applyFont="1" applyFill="1" applyBorder="1" applyAlignment="1">
      <alignment horizontal="center" vertical="center" wrapText="1" readingOrder="1"/>
    </xf>
    <xf numFmtId="0" fontId="28" fillId="19" borderId="83" xfId="0" applyFont="1" applyFill="1" applyBorder="1" applyAlignment="1">
      <alignment horizontal="center" vertical="center" wrapText="1" readingOrder="1"/>
    </xf>
    <xf numFmtId="0" fontId="28" fillId="31" borderId="78" xfId="0" applyFont="1" applyFill="1" applyBorder="1" applyAlignment="1">
      <alignment horizontal="center" vertical="center" wrapText="1" readingOrder="1"/>
    </xf>
    <xf numFmtId="0" fontId="28" fillId="31" borderId="80" xfId="0" applyFont="1" applyFill="1" applyBorder="1" applyAlignment="1">
      <alignment horizontal="center" vertical="center" wrapText="1" readingOrder="1"/>
    </xf>
    <xf numFmtId="0" fontId="28" fillId="31" borderId="83" xfId="0" applyFont="1" applyFill="1" applyBorder="1" applyAlignment="1">
      <alignment horizontal="center" vertical="center" wrapText="1" readingOrder="1"/>
    </xf>
    <xf numFmtId="0" fontId="27" fillId="11" borderId="80" xfId="0" applyFont="1" applyFill="1" applyBorder="1" applyAlignment="1">
      <alignment horizontal="center" vertical="center" wrapText="1"/>
    </xf>
    <xf numFmtId="0" fontId="27" fillId="19" borderId="78" xfId="0" applyFont="1" applyFill="1" applyBorder="1" applyAlignment="1">
      <alignment horizontal="center" vertical="center" wrapText="1"/>
    </xf>
    <xf numFmtId="0" fontId="27" fillId="19" borderId="80" xfId="0" applyFont="1" applyFill="1" applyBorder="1" applyAlignment="1">
      <alignment horizontal="center" vertical="center" wrapText="1"/>
    </xf>
    <xf numFmtId="0" fontId="23" fillId="12" borderId="94" xfId="0" applyFont="1" applyFill="1" applyBorder="1" applyAlignment="1">
      <alignment horizontal="center" vertical="center" wrapText="1" readingOrder="1"/>
    </xf>
    <xf numFmtId="0" fontId="28" fillId="11" borderId="95" xfId="0" applyFont="1" applyFill="1" applyBorder="1" applyAlignment="1">
      <alignment horizontal="center" vertical="center" wrapText="1" readingOrder="1"/>
    </xf>
    <xf numFmtId="0" fontId="28" fillId="11" borderId="96" xfId="0" applyFont="1" applyFill="1" applyBorder="1" applyAlignment="1">
      <alignment horizontal="center" vertical="center" wrapText="1" readingOrder="1"/>
    </xf>
    <xf numFmtId="0" fontId="28" fillId="11" borderId="97" xfId="0" applyFont="1" applyFill="1" applyBorder="1" applyAlignment="1">
      <alignment horizontal="center" vertical="center" wrapText="1" readingOrder="1"/>
    </xf>
    <xf numFmtId="0" fontId="28" fillId="19" borderId="95" xfId="0" applyFont="1" applyFill="1" applyBorder="1" applyAlignment="1">
      <alignment horizontal="center" vertical="center" wrapText="1" readingOrder="1"/>
    </xf>
    <xf numFmtId="0" fontId="28" fillId="19" borderId="96" xfId="0" applyFont="1" applyFill="1" applyBorder="1" applyAlignment="1">
      <alignment horizontal="center" vertical="center" wrapText="1" readingOrder="1"/>
    </xf>
    <xf numFmtId="0" fontId="28" fillId="19" borderId="96" xfId="0" applyFont="1" applyFill="1" applyBorder="1" applyAlignment="1">
      <alignment horizontal="left" vertical="center" wrapText="1" readingOrder="1"/>
    </xf>
    <xf numFmtId="0" fontId="28" fillId="19" borderId="97" xfId="0" applyFont="1" applyFill="1" applyBorder="1" applyAlignment="1">
      <alignment horizontal="center" vertical="center" wrapText="1" readingOrder="1"/>
    </xf>
    <xf numFmtId="0" fontId="28" fillId="31" borderId="95" xfId="0" applyFont="1" applyFill="1" applyBorder="1" applyAlignment="1">
      <alignment horizontal="left" vertical="center" wrapText="1" readingOrder="1"/>
    </xf>
    <xf numFmtId="0" fontId="28" fillId="31" borderId="96" xfId="0" applyFont="1" applyFill="1" applyBorder="1" applyAlignment="1">
      <alignment horizontal="left" vertical="center" wrapText="1" readingOrder="1"/>
    </xf>
    <xf numFmtId="0" fontId="28" fillId="31" borderId="97" xfId="0" applyFont="1" applyFill="1" applyBorder="1" applyAlignment="1">
      <alignment horizontal="left" vertical="center" wrapText="1" readingOrder="1"/>
    </xf>
    <xf numFmtId="0" fontId="23" fillId="12" borderId="98" xfId="0" applyFont="1" applyFill="1" applyBorder="1" applyAlignment="1">
      <alignment horizontal="center" vertical="center" wrapText="1" readingOrder="1"/>
    </xf>
    <xf numFmtId="0" fontId="23" fillId="21" borderId="99" xfId="0" applyFont="1" applyFill="1" applyBorder="1" applyAlignment="1">
      <alignment horizontal="center" vertical="center" wrapText="1" readingOrder="1"/>
    </xf>
    <xf numFmtId="0" fontId="23" fillId="21" borderId="100" xfId="0" applyFont="1" applyFill="1" applyBorder="1" applyAlignment="1">
      <alignment horizontal="center" vertical="center" wrapText="1" readingOrder="1"/>
    </xf>
    <xf numFmtId="0" fontId="23" fillId="21" borderId="101" xfId="0" applyFont="1" applyFill="1" applyBorder="1" applyAlignment="1">
      <alignment horizontal="center" vertical="center" wrapText="1" readingOrder="1"/>
    </xf>
    <xf numFmtId="0" fontId="3" fillId="21" borderId="99" xfId="0" applyFont="1" applyFill="1" applyBorder="1" applyAlignment="1">
      <alignment horizontal="center" vertical="center"/>
    </xf>
    <xf numFmtId="0" fontId="3" fillId="21" borderId="100" xfId="0" applyFont="1" applyFill="1" applyBorder="1" applyAlignment="1">
      <alignment horizontal="center" vertical="center"/>
    </xf>
    <xf numFmtId="0" fontId="66" fillId="39" borderId="100" xfId="0" applyFont="1" applyFill="1" applyBorder="1" applyAlignment="1">
      <alignment horizontal="center" vertical="center"/>
    </xf>
    <xf numFmtId="0" fontId="3" fillId="21" borderId="101" xfId="0" applyFont="1" applyFill="1" applyBorder="1" applyAlignment="1">
      <alignment horizontal="center" vertical="center"/>
    </xf>
    <xf numFmtId="0" fontId="29" fillId="11" borderId="88" xfId="0" applyFont="1" applyFill="1" applyBorder="1" applyAlignment="1">
      <alignment horizontal="center" vertical="center" wrapText="1" readingOrder="1"/>
    </xf>
    <xf numFmtId="0" fontId="29" fillId="11" borderId="89" xfId="0" applyFont="1" applyFill="1" applyBorder="1" applyAlignment="1">
      <alignment horizontal="center" vertical="center" wrapText="1" readingOrder="1"/>
    </xf>
    <xf numFmtId="0" fontId="29" fillId="11" borderId="90" xfId="0" applyFont="1" applyFill="1" applyBorder="1" applyAlignment="1">
      <alignment horizontal="center" vertical="center" wrapText="1" readingOrder="1"/>
    </xf>
    <xf numFmtId="0" fontId="29" fillId="19" borderId="88" xfId="0" applyFont="1" applyFill="1" applyBorder="1" applyAlignment="1">
      <alignment horizontal="center" vertical="center" wrapText="1" readingOrder="1"/>
    </xf>
    <xf numFmtId="0" fontId="29" fillId="19" borderId="89" xfId="0" applyFont="1" applyFill="1" applyBorder="1" applyAlignment="1">
      <alignment horizontal="center" vertical="center" wrapText="1" readingOrder="1"/>
    </xf>
    <xf numFmtId="0" fontId="29" fillId="19" borderId="90" xfId="0" applyFont="1" applyFill="1" applyBorder="1" applyAlignment="1">
      <alignment horizontal="center" vertical="center" wrapText="1" readingOrder="1"/>
    </xf>
    <xf numFmtId="0" fontId="29" fillId="31" borderId="88" xfId="0" applyFont="1" applyFill="1" applyBorder="1" applyAlignment="1">
      <alignment horizontal="center" vertical="center" wrapText="1" readingOrder="1"/>
    </xf>
    <xf numFmtId="0" fontId="29" fillId="31" borderId="89" xfId="0" applyFont="1" applyFill="1" applyBorder="1" applyAlignment="1">
      <alignment horizontal="center" vertical="center" wrapText="1" readingOrder="1"/>
    </xf>
    <xf numFmtId="0" fontId="29" fillId="31" borderId="90" xfId="0" applyFont="1" applyFill="1" applyBorder="1" applyAlignment="1">
      <alignment horizontal="center" vertical="center" wrapText="1" readingOrder="1"/>
    </xf>
    <xf numFmtId="0" fontId="28" fillId="11" borderId="93" xfId="0" applyFont="1" applyFill="1" applyBorder="1" applyAlignment="1">
      <alignment horizontal="center" vertical="center" wrapText="1" readingOrder="1"/>
    </xf>
    <xf numFmtId="0" fontId="28" fillId="11" borderId="91" xfId="0" applyFont="1" applyFill="1" applyBorder="1" applyAlignment="1">
      <alignment horizontal="center" vertical="center" wrapText="1" readingOrder="1"/>
    </xf>
    <xf numFmtId="0" fontId="28" fillId="11" borderId="92" xfId="0" applyFont="1" applyFill="1" applyBorder="1" applyAlignment="1">
      <alignment horizontal="center" vertical="center" wrapText="1" readingOrder="1"/>
    </xf>
    <xf numFmtId="0" fontId="36" fillId="12" borderId="0" xfId="0" applyFont="1" applyFill="1" applyAlignment="1">
      <alignment horizontal="left" vertical="center"/>
    </xf>
    <xf numFmtId="0" fontId="32" fillId="0" borderId="0" xfId="0" applyFont="1" applyFill="1" applyBorder="1" applyAlignment="1">
      <alignment horizontal="center" vertical="center" textRotation="90"/>
    </xf>
    <xf numFmtId="0" fontId="0" fillId="21" borderId="0" xfId="0" applyFill="1" applyAlignment="1">
      <alignment vertical="center"/>
    </xf>
    <xf numFmtId="0" fontId="32" fillId="21" borderId="0" xfId="0" applyFont="1" applyFill="1" applyBorder="1" applyAlignment="1">
      <alignment horizontal="center" vertical="center" textRotation="90"/>
    </xf>
    <xf numFmtId="167" fontId="0" fillId="21" borderId="0" xfId="0" applyNumberFormat="1" applyFill="1" applyBorder="1" applyAlignment="1">
      <alignment horizontal="center" vertical="center"/>
    </xf>
    <xf numFmtId="0" fontId="67" fillId="21" borderId="0" xfId="1" applyNumberFormat="1" applyFont="1" applyFill="1" applyBorder="1" applyAlignment="1">
      <alignment vertical="center"/>
    </xf>
    <xf numFmtId="1" fontId="4" fillId="21" borderId="0" xfId="0" applyNumberFormat="1" applyFont="1" applyFill="1" applyBorder="1" applyAlignment="1">
      <alignment horizontal="center" vertical="center"/>
    </xf>
    <xf numFmtId="167" fontId="0" fillId="21" borderId="0" xfId="0" applyNumberFormat="1" applyFill="1" applyBorder="1" applyAlignment="1">
      <alignment vertical="center"/>
    </xf>
    <xf numFmtId="0" fontId="70" fillId="21" borderId="0" xfId="0" applyFont="1" applyFill="1" applyAlignment="1">
      <alignment vertical="center"/>
    </xf>
    <xf numFmtId="0" fontId="54" fillId="21" borderId="0" xfId="0" applyFont="1" applyFill="1" applyBorder="1" applyAlignment="1">
      <alignment horizontal="center" vertical="center"/>
    </xf>
    <xf numFmtId="0" fontId="21" fillId="21" borderId="0" xfId="0" applyFont="1" applyFill="1" applyBorder="1" applyAlignment="1">
      <alignment vertical="center"/>
    </xf>
    <xf numFmtId="0" fontId="0" fillId="21" borderId="0" xfId="0" applyFill="1" applyAlignment="1">
      <alignment horizontal="center" vertical="center"/>
    </xf>
    <xf numFmtId="0" fontId="68" fillId="20" borderId="0" xfId="0" applyFont="1" applyFill="1" applyAlignment="1">
      <alignment vertical="center"/>
    </xf>
    <xf numFmtId="0" fontId="69" fillId="20" borderId="0" xfId="0" applyFont="1" applyFill="1" applyBorder="1" applyAlignment="1">
      <alignment vertical="center"/>
    </xf>
    <xf numFmtId="0" fontId="21" fillId="20" borderId="0" xfId="0" applyFont="1" applyFill="1" applyBorder="1" applyAlignment="1">
      <alignment vertical="center"/>
    </xf>
    <xf numFmtId="0" fontId="0" fillId="20" borderId="106" xfId="0" applyFill="1" applyBorder="1" applyAlignment="1">
      <alignment vertical="center"/>
    </xf>
    <xf numFmtId="0" fontId="0" fillId="11" borderId="108" xfId="0" applyNumberFormat="1" applyFill="1" applyBorder="1" applyAlignment="1">
      <alignment horizontal="center" vertical="center"/>
    </xf>
    <xf numFmtId="0" fontId="0" fillId="20" borderId="109" xfId="0" applyFill="1" applyBorder="1" applyAlignment="1">
      <alignment vertical="center"/>
    </xf>
    <xf numFmtId="0" fontId="0" fillId="11" borderId="110" xfId="0" applyNumberFormat="1" applyFill="1" applyBorder="1" applyAlignment="1">
      <alignment horizontal="center" vertical="center"/>
    </xf>
    <xf numFmtId="0" fontId="0" fillId="19" borderId="110" xfId="0" applyNumberFormat="1" applyFill="1" applyBorder="1" applyAlignment="1">
      <alignment horizontal="center" vertical="center"/>
    </xf>
    <xf numFmtId="0" fontId="0" fillId="31" borderId="110" xfId="0" applyNumberFormat="1" applyFill="1" applyBorder="1" applyAlignment="1">
      <alignment horizontal="center" vertical="center"/>
    </xf>
    <xf numFmtId="0" fontId="0" fillId="20" borderId="111" xfId="0" applyFill="1" applyBorder="1" applyAlignment="1">
      <alignment vertical="center"/>
    </xf>
    <xf numFmtId="0" fontId="0" fillId="20" borderId="112" xfId="0" applyFill="1" applyBorder="1" applyAlignment="1">
      <alignment vertical="center"/>
    </xf>
    <xf numFmtId="0" fontId="0" fillId="31" borderId="113" xfId="0" applyNumberFormat="1" applyFill="1" applyBorder="1" applyAlignment="1">
      <alignment horizontal="center" vertical="center"/>
    </xf>
    <xf numFmtId="0" fontId="0" fillId="20" borderId="108" xfId="0" applyFill="1" applyBorder="1" applyAlignment="1">
      <alignment vertical="center"/>
    </xf>
    <xf numFmtId="0" fontId="0" fillId="20" borderId="110" xfId="0" applyFill="1" applyBorder="1" applyAlignment="1">
      <alignment vertical="center"/>
    </xf>
    <xf numFmtId="0" fontId="0" fillId="20" borderId="113" xfId="0" applyFill="1" applyBorder="1" applyAlignment="1">
      <alignment vertical="center"/>
    </xf>
    <xf numFmtId="167" fontId="0" fillId="19" borderId="106" xfId="0" applyNumberFormat="1" applyFill="1" applyBorder="1" applyAlignment="1">
      <alignment horizontal="center" vertical="center"/>
    </xf>
    <xf numFmtId="167" fontId="0" fillId="19" borderId="108" xfId="0" applyNumberFormat="1" applyFill="1" applyBorder="1" applyAlignment="1">
      <alignment horizontal="center" vertical="center"/>
    </xf>
    <xf numFmtId="167" fontId="0" fillId="19" borderId="109" xfId="0" applyNumberFormat="1" applyFill="1" applyBorder="1" applyAlignment="1">
      <alignment horizontal="center" vertical="center"/>
    </xf>
    <xf numFmtId="167" fontId="0" fillId="19" borderId="110" xfId="0" applyNumberFormat="1" applyFill="1" applyBorder="1" applyAlignment="1">
      <alignment horizontal="center" vertical="center"/>
    </xf>
    <xf numFmtId="167" fontId="0" fillId="19" borderId="111" xfId="0" applyNumberFormat="1" applyFill="1" applyBorder="1" applyAlignment="1">
      <alignment horizontal="center" vertical="center"/>
    </xf>
    <xf numFmtId="167" fontId="0" fillId="19" borderId="113" xfId="0" applyNumberFormat="1" applyFill="1" applyBorder="1" applyAlignment="1">
      <alignment horizontal="center" vertical="center"/>
    </xf>
    <xf numFmtId="167" fontId="0" fillId="3" borderId="106" xfId="0" applyNumberFormat="1" applyFill="1" applyBorder="1" applyAlignment="1">
      <alignment horizontal="center" vertical="center"/>
    </xf>
    <xf numFmtId="167" fontId="0" fillId="3" borderId="108" xfId="0" applyNumberFormat="1" applyFill="1" applyBorder="1" applyAlignment="1">
      <alignment horizontal="center" vertical="center"/>
    </xf>
    <xf numFmtId="167" fontId="0" fillId="3" borderId="111" xfId="0" applyNumberFormat="1" applyFill="1" applyBorder="1" applyAlignment="1">
      <alignment horizontal="center" vertical="center"/>
    </xf>
    <xf numFmtId="167" fontId="0" fillId="3" borderId="113" xfId="0" applyNumberFormat="1" applyFill="1" applyBorder="1" applyAlignment="1">
      <alignment horizontal="center" vertical="center"/>
    </xf>
    <xf numFmtId="167" fontId="0" fillId="11" borderId="106" xfId="0" applyNumberFormat="1" applyFill="1" applyBorder="1" applyAlignment="1">
      <alignment horizontal="center" vertical="center"/>
    </xf>
    <xf numFmtId="167" fontId="0" fillId="11" borderId="108" xfId="0" applyNumberFormat="1" applyFill="1" applyBorder="1" applyAlignment="1">
      <alignment horizontal="center" vertical="center"/>
    </xf>
    <xf numFmtId="167" fontId="0" fillId="11" borderId="109" xfId="0" applyNumberFormat="1" applyFill="1" applyBorder="1" applyAlignment="1">
      <alignment horizontal="center" vertical="center"/>
    </xf>
    <xf numFmtId="167" fontId="0" fillId="11" borderId="110" xfId="0" applyNumberFormat="1" applyFill="1" applyBorder="1" applyAlignment="1">
      <alignment horizontal="center" vertical="center"/>
    </xf>
    <xf numFmtId="167" fontId="0" fillId="11" borderId="111" xfId="0" applyNumberFormat="1" applyFill="1" applyBorder="1" applyAlignment="1">
      <alignment horizontal="center" vertical="center"/>
    </xf>
    <xf numFmtId="167" fontId="0" fillId="11" borderId="113" xfId="0" applyNumberFormat="1" applyFill="1" applyBorder="1" applyAlignment="1">
      <alignment horizontal="center" vertical="center"/>
    </xf>
    <xf numFmtId="0" fontId="0" fillId="11" borderId="106" xfId="0" applyNumberFormat="1" applyFill="1" applyBorder="1" applyAlignment="1">
      <alignment horizontal="center" vertical="center"/>
    </xf>
    <xf numFmtId="0" fontId="0" fillId="11" borderId="109" xfId="0" applyNumberFormat="1" applyFill="1" applyBorder="1" applyAlignment="1">
      <alignment horizontal="center" vertical="center"/>
    </xf>
    <xf numFmtId="0" fontId="0" fillId="11" borderId="111" xfId="0" applyNumberFormat="1" applyFill="1" applyBorder="1" applyAlignment="1">
      <alignment horizontal="center" vertical="center"/>
    </xf>
    <xf numFmtId="0" fontId="0" fillId="11" borderId="113" xfId="0" applyNumberFormat="1" applyFill="1" applyBorder="1" applyAlignment="1">
      <alignment horizontal="center" vertical="center"/>
    </xf>
    <xf numFmtId="0" fontId="0" fillId="3" borderId="106" xfId="0" applyNumberFormat="1" applyFill="1" applyBorder="1" applyAlignment="1">
      <alignment horizontal="center" vertical="center"/>
    </xf>
    <xf numFmtId="0" fontId="0" fillId="3" borderId="108" xfId="0" applyNumberFormat="1" applyFill="1" applyBorder="1" applyAlignment="1">
      <alignment horizontal="center" vertical="center"/>
    </xf>
    <xf numFmtId="0" fontId="0" fillId="3" borderId="111" xfId="0" applyNumberFormat="1" applyFill="1" applyBorder="1" applyAlignment="1">
      <alignment horizontal="center" vertical="center"/>
    </xf>
    <xf numFmtId="0" fontId="0" fillId="3" borderId="113" xfId="0" applyNumberFormat="1" applyFill="1" applyBorder="1" applyAlignment="1">
      <alignment horizontal="center" vertical="center"/>
    </xf>
    <xf numFmtId="0" fontId="0" fillId="31" borderId="0" xfId="0" applyNumberFormat="1" applyFill="1" applyBorder="1" applyAlignment="1">
      <alignment horizontal="center" vertical="center"/>
    </xf>
    <xf numFmtId="0" fontId="0" fillId="31" borderId="112" xfId="0" applyNumberFormat="1" applyFill="1" applyBorder="1" applyAlignment="1">
      <alignment horizontal="center" vertical="center"/>
    </xf>
    <xf numFmtId="167" fontId="0" fillId="31" borderId="106" xfId="0" applyNumberFormat="1" applyFill="1" applyBorder="1" applyAlignment="1">
      <alignment horizontal="center" vertical="center"/>
    </xf>
    <xf numFmtId="167" fontId="0" fillId="31" borderId="108" xfId="0" applyNumberFormat="1" applyFill="1" applyBorder="1" applyAlignment="1">
      <alignment horizontal="center" vertical="center"/>
    </xf>
    <xf numFmtId="167" fontId="0" fillId="31" borderId="111" xfId="0" applyNumberFormat="1" applyFill="1" applyBorder="1" applyAlignment="1">
      <alignment horizontal="center" vertical="center"/>
    </xf>
    <xf numFmtId="167" fontId="0" fillId="31" borderId="113" xfId="0" applyNumberFormat="1" applyFill="1" applyBorder="1" applyAlignment="1">
      <alignment horizontal="center" vertical="center"/>
    </xf>
    <xf numFmtId="0" fontId="0" fillId="19" borderId="106" xfId="0" applyNumberFormat="1" applyFill="1" applyBorder="1" applyAlignment="1">
      <alignment horizontal="center" vertical="center"/>
    </xf>
    <xf numFmtId="0" fontId="0" fillId="19" borderId="108" xfId="0" applyNumberFormat="1" applyFill="1" applyBorder="1" applyAlignment="1">
      <alignment horizontal="center" vertical="center"/>
    </xf>
    <xf numFmtId="0" fontId="0" fillId="19" borderId="109" xfId="0" applyNumberFormat="1" applyFill="1" applyBorder="1" applyAlignment="1">
      <alignment horizontal="center" vertical="center"/>
    </xf>
    <xf numFmtId="0" fontId="0" fillId="19" borderId="111" xfId="0" applyNumberFormat="1" applyFill="1" applyBorder="1" applyAlignment="1">
      <alignment horizontal="center" vertical="center"/>
    </xf>
    <xf numFmtId="0" fontId="0" fillId="19" borderId="113" xfId="0" applyNumberFormat="1" applyFill="1" applyBorder="1" applyAlignment="1">
      <alignment horizontal="center" vertical="center"/>
    </xf>
    <xf numFmtId="167" fontId="3" fillId="20" borderId="0" xfId="0" applyNumberFormat="1" applyFont="1" applyFill="1" applyBorder="1" applyAlignment="1">
      <alignment horizontal="center" vertical="center"/>
    </xf>
    <xf numFmtId="0" fontId="3" fillId="20" borderId="0" xfId="0" applyNumberFormat="1" applyFont="1" applyFill="1" applyBorder="1" applyAlignment="1">
      <alignment horizontal="center" vertical="center"/>
    </xf>
    <xf numFmtId="0" fontId="3" fillId="20" borderId="114" xfId="0" applyFont="1" applyFill="1" applyBorder="1" applyAlignment="1">
      <alignment horizontal="center" vertical="center"/>
    </xf>
    <xf numFmtId="0" fontId="3" fillId="20" borderId="115" xfId="0" applyFont="1" applyFill="1" applyBorder="1" applyAlignment="1">
      <alignment horizontal="center" vertical="center"/>
    </xf>
    <xf numFmtId="0" fontId="0" fillId="20" borderId="12" xfId="0" applyFill="1" applyBorder="1" applyAlignment="1">
      <alignment horizontal="center" vertical="center"/>
    </xf>
    <xf numFmtId="0" fontId="0" fillId="20" borderId="7" xfId="0" applyFill="1" applyBorder="1" applyAlignment="1">
      <alignment horizontal="center" vertical="center"/>
    </xf>
    <xf numFmtId="0" fontId="0" fillId="20" borderId="12" xfId="0" applyFill="1" applyBorder="1" applyAlignment="1">
      <alignment vertical="center"/>
    </xf>
    <xf numFmtId="0" fontId="0" fillId="20" borderId="9" xfId="0" applyFill="1" applyBorder="1" applyAlignment="1">
      <alignment vertical="center"/>
    </xf>
    <xf numFmtId="0" fontId="0" fillId="20" borderId="7" xfId="0" applyFill="1" applyBorder="1" applyAlignment="1">
      <alignment vertical="center"/>
    </xf>
    <xf numFmtId="0" fontId="0" fillId="20" borderId="11" xfId="0" applyFill="1" applyBorder="1" applyAlignment="1">
      <alignment horizontal="center" vertical="center"/>
    </xf>
    <xf numFmtId="0" fontId="0" fillId="20" borderId="6" xfId="0" applyFill="1" applyBorder="1" applyAlignment="1">
      <alignment horizontal="center" vertical="center"/>
    </xf>
    <xf numFmtId="167" fontId="0" fillId="20" borderId="12" xfId="0" applyNumberFormat="1" applyFont="1" applyFill="1" applyBorder="1" applyAlignment="1">
      <alignment vertical="center"/>
    </xf>
    <xf numFmtId="167" fontId="0" fillId="20" borderId="68" xfId="0" applyNumberFormat="1" applyFont="1" applyFill="1" applyBorder="1" applyAlignment="1">
      <alignment vertical="center"/>
    </xf>
    <xf numFmtId="167" fontId="0" fillId="20" borderId="68" xfId="0" applyNumberFormat="1" applyFont="1" applyFill="1" applyBorder="1" applyAlignment="1">
      <alignment horizontal="center" vertical="center"/>
    </xf>
    <xf numFmtId="167" fontId="3" fillId="20" borderId="69" xfId="0" applyNumberFormat="1" applyFont="1" applyFill="1" applyBorder="1" applyAlignment="1">
      <alignment vertical="center"/>
    </xf>
    <xf numFmtId="2" fontId="0" fillId="20" borderId="70" xfId="0" applyNumberFormat="1" applyFont="1" applyFill="1" applyBorder="1" applyAlignment="1">
      <alignment vertical="center"/>
    </xf>
    <xf numFmtId="2" fontId="0" fillId="20" borderId="13" xfId="0" applyNumberFormat="1" applyFont="1" applyFill="1" applyBorder="1" applyAlignment="1">
      <alignment vertical="center"/>
    </xf>
    <xf numFmtId="2" fontId="3" fillId="20" borderId="70" xfId="0" applyNumberFormat="1" applyFont="1" applyFill="1" applyBorder="1" applyAlignment="1">
      <alignment vertical="center"/>
    </xf>
    <xf numFmtId="167" fontId="0" fillId="20" borderId="0" xfId="0" applyNumberFormat="1" applyFont="1" applyFill="1" applyBorder="1" applyAlignment="1">
      <alignment vertical="center"/>
    </xf>
    <xf numFmtId="2" fontId="0" fillId="20" borderId="0" xfId="0" applyNumberFormat="1" applyFont="1" applyFill="1" applyBorder="1" applyAlignment="1">
      <alignment vertical="center"/>
    </xf>
    <xf numFmtId="2" fontId="0" fillId="20" borderId="0" xfId="0" applyNumberFormat="1" applyFont="1" applyFill="1" applyAlignment="1">
      <alignment vertical="center"/>
    </xf>
    <xf numFmtId="0" fontId="53" fillId="20" borderId="3" xfId="0" applyFont="1" applyFill="1" applyBorder="1" applyAlignment="1">
      <alignment horizontal="center" vertical="center"/>
    </xf>
    <xf numFmtId="0" fontId="53" fillId="20" borderId="1" xfId="0" applyFont="1" applyFill="1" applyBorder="1" applyAlignment="1">
      <alignment horizontal="center" vertical="center"/>
    </xf>
    <xf numFmtId="0" fontId="3" fillId="20" borderId="42" xfId="0" applyFont="1" applyFill="1" applyBorder="1" applyAlignment="1">
      <alignment horizontal="center" vertical="center"/>
    </xf>
    <xf numFmtId="167" fontId="53" fillId="20" borderId="11" xfId="0" applyNumberFormat="1" applyFont="1" applyFill="1" applyBorder="1" applyAlignment="1">
      <alignment horizontal="center" vertical="center"/>
    </xf>
    <xf numFmtId="167" fontId="53" fillId="20" borderId="15" xfId="0" applyNumberFormat="1" applyFont="1" applyFill="1" applyBorder="1" applyAlignment="1">
      <alignment horizontal="center" vertical="center"/>
    </xf>
    <xf numFmtId="167" fontId="53" fillId="20" borderId="8" xfId="0" applyNumberFormat="1" applyFont="1" applyFill="1" applyBorder="1" applyAlignment="1">
      <alignment horizontal="center" vertical="center"/>
    </xf>
    <xf numFmtId="167" fontId="53" fillId="20" borderId="14" xfId="0" applyNumberFormat="1" applyFont="1" applyFill="1" applyBorder="1" applyAlignment="1">
      <alignment horizontal="center" vertical="center"/>
    </xf>
    <xf numFmtId="167" fontId="53" fillId="20" borderId="6" xfId="0" applyNumberFormat="1" applyFont="1" applyFill="1" applyBorder="1" applyAlignment="1">
      <alignment horizontal="center" vertical="center"/>
    </xf>
    <xf numFmtId="167" fontId="53" fillId="20" borderId="13" xfId="0" applyNumberFormat="1" applyFont="1" applyFill="1" applyBorder="1" applyAlignment="1">
      <alignment horizontal="center" vertical="center"/>
    </xf>
    <xf numFmtId="0" fontId="53" fillId="20" borderId="11" xfId="0" applyFont="1" applyFill="1" applyBorder="1" applyAlignment="1">
      <alignment horizontal="center" vertical="center"/>
    </xf>
    <xf numFmtId="0" fontId="53" fillId="20" borderId="15" xfId="0" applyFont="1" applyFill="1" applyBorder="1" applyAlignment="1">
      <alignment horizontal="center" vertical="center"/>
    </xf>
    <xf numFmtId="0" fontId="53" fillId="20" borderId="8" xfId="0" applyFont="1" applyFill="1" applyBorder="1" applyAlignment="1">
      <alignment horizontal="center" vertical="center"/>
    </xf>
    <xf numFmtId="0" fontId="53" fillId="20" borderId="14" xfId="0" applyFont="1" applyFill="1" applyBorder="1" applyAlignment="1">
      <alignment horizontal="center" vertical="center"/>
    </xf>
    <xf numFmtId="0" fontId="53" fillId="20" borderId="6" xfId="0" applyFont="1" applyFill="1" applyBorder="1" applyAlignment="1">
      <alignment horizontal="center" vertical="center"/>
    </xf>
    <xf numFmtId="0" fontId="53" fillId="20" borderId="13" xfId="0" applyFont="1" applyFill="1" applyBorder="1" applyAlignment="1">
      <alignment horizontal="center" vertical="center"/>
    </xf>
    <xf numFmtId="0" fontId="0" fillId="20" borderId="65" xfId="0" applyFill="1" applyBorder="1" applyAlignment="1">
      <alignment horizontal="center" vertical="center"/>
    </xf>
    <xf numFmtId="0" fontId="0" fillId="20" borderId="60" xfId="0" applyFill="1" applyBorder="1" applyAlignment="1">
      <alignment horizontal="center" vertical="center"/>
    </xf>
    <xf numFmtId="167" fontId="0" fillId="20" borderId="23" xfId="0" applyNumberFormat="1" applyFill="1" applyBorder="1" applyAlignment="1">
      <alignment vertical="center"/>
    </xf>
    <xf numFmtId="167" fontId="0" fillId="20" borderId="25" xfId="0" applyNumberFormat="1" applyFill="1" applyBorder="1" applyAlignment="1">
      <alignment vertical="center"/>
    </xf>
    <xf numFmtId="167" fontId="0" fillId="20" borderId="26" xfId="0" applyNumberFormat="1" applyFill="1" applyBorder="1" applyAlignment="1">
      <alignment vertical="center"/>
    </xf>
    <xf numFmtId="2" fontId="0" fillId="20" borderId="25" xfId="0" applyNumberFormat="1" applyFill="1" applyBorder="1" applyAlignment="1">
      <alignment vertical="center"/>
    </xf>
    <xf numFmtId="167" fontId="0" fillId="20" borderId="0" xfId="0" applyNumberFormat="1" applyFill="1" applyBorder="1" applyAlignment="1">
      <alignment vertical="center"/>
    </xf>
    <xf numFmtId="2" fontId="0" fillId="20" borderId="0" xfId="0" applyNumberFormat="1" applyFill="1" applyBorder="1" applyAlignment="1">
      <alignment vertical="center"/>
    </xf>
    <xf numFmtId="2" fontId="0" fillId="20" borderId="0" xfId="0" applyNumberFormat="1" applyFill="1" applyAlignment="1">
      <alignment vertical="center"/>
    </xf>
    <xf numFmtId="0" fontId="0" fillId="12" borderId="0" xfId="0" applyFill="1" applyAlignment="1">
      <alignment horizontal="right"/>
    </xf>
    <xf numFmtId="0" fontId="0" fillId="0" borderId="0" xfId="0" applyBorder="1" applyAlignment="1">
      <alignment vertical="center"/>
    </xf>
    <xf numFmtId="0" fontId="72" fillId="12" borderId="0" xfId="0" applyFont="1" applyFill="1" applyBorder="1" applyAlignment="1">
      <alignment vertical="center"/>
    </xf>
    <xf numFmtId="0" fontId="70" fillId="20" borderId="0" xfId="0" applyFont="1" applyFill="1" applyAlignment="1">
      <alignment vertical="center"/>
    </xf>
    <xf numFmtId="0" fontId="0" fillId="43" borderId="0" xfId="0" applyFill="1" applyAlignment="1">
      <alignment wrapText="1"/>
    </xf>
    <xf numFmtId="0" fontId="0" fillId="14" borderId="0" xfId="0" applyFill="1" applyAlignment="1">
      <alignment wrapText="1"/>
    </xf>
    <xf numFmtId="0" fontId="0" fillId="18" borderId="0" xfId="0" applyFill="1" applyAlignment="1">
      <alignment wrapText="1"/>
    </xf>
    <xf numFmtId="0" fontId="0" fillId="12" borderId="0" xfId="0" applyFill="1" applyAlignment="1">
      <alignment horizontal="right" vertical="center"/>
    </xf>
    <xf numFmtId="0" fontId="65" fillId="12" borderId="0" xfId="0" applyFont="1" applyFill="1"/>
    <xf numFmtId="0" fontId="0" fillId="12" borderId="0" xfId="0" applyFill="1" applyAlignment="1">
      <alignment horizontal="left"/>
    </xf>
    <xf numFmtId="0" fontId="0" fillId="12" borderId="0" xfId="0" applyFill="1" applyBorder="1" applyAlignment="1">
      <alignment horizontal="left" vertical="top"/>
    </xf>
    <xf numFmtId="0" fontId="3" fillId="12" borderId="0" xfId="0" applyFont="1" applyFill="1" applyAlignment="1">
      <alignment horizontal="right"/>
    </xf>
    <xf numFmtId="0" fontId="3" fillId="12" borderId="0" xfId="0" applyFont="1" applyFill="1" applyAlignment="1">
      <alignment horizontal="left"/>
    </xf>
    <xf numFmtId="0" fontId="66" fillId="44" borderId="0" xfId="0" applyFont="1" applyFill="1" applyAlignment="1">
      <alignment horizontal="right"/>
    </xf>
    <xf numFmtId="0" fontId="3" fillId="12" borderId="0" xfId="0" applyFont="1" applyFill="1" applyAlignment="1">
      <alignment horizontal="right" vertical="center"/>
    </xf>
    <xf numFmtId="0" fontId="0" fillId="31" borderId="117" xfId="0" applyFill="1" applyBorder="1" applyAlignment="1">
      <alignment horizontal="right"/>
    </xf>
    <xf numFmtId="0" fontId="0" fillId="31" borderId="126" xfId="0" applyFill="1" applyBorder="1"/>
    <xf numFmtId="0" fontId="0" fillId="31" borderId="118" xfId="0" applyFill="1" applyBorder="1"/>
    <xf numFmtId="0" fontId="0" fillId="31" borderId="119" xfId="0" applyFill="1" applyBorder="1" applyAlignment="1">
      <alignment horizontal="right"/>
    </xf>
    <xf numFmtId="0" fontId="0" fillId="31" borderId="120" xfId="0" applyFill="1" applyBorder="1"/>
    <xf numFmtId="0" fontId="0" fillId="31" borderId="121" xfId="0" applyFill="1" applyBorder="1" applyAlignment="1">
      <alignment horizontal="right"/>
    </xf>
    <xf numFmtId="0" fontId="0" fillId="31" borderId="127" xfId="0" applyFill="1" applyBorder="1"/>
    <xf numFmtId="0" fontId="0" fillId="31" borderId="122" xfId="0" applyFill="1" applyBorder="1"/>
    <xf numFmtId="0" fontId="0" fillId="31" borderId="123" xfId="0" applyFill="1" applyBorder="1" applyAlignment="1">
      <alignment horizontal="center" vertical="center"/>
    </xf>
    <xf numFmtId="0" fontId="0" fillId="31" borderId="124" xfId="0" applyFill="1" applyBorder="1" applyAlignment="1">
      <alignment horizontal="center" vertical="center"/>
    </xf>
    <xf numFmtId="0" fontId="0" fillId="31" borderId="124" xfId="0" applyFill="1" applyBorder="1" applyAlignment="1">
      <alignment horizontal="center"/>
    </xf>
    <xf numFmtId="0" fontId="0" fillId="31" borderId="128" xfId="0" applyFill="1" applyBorder="1"/>
    <xf numFmtId="0" fontId="0" fillId="31" borderId="129" xfId="0" applyFill="1" applyBorder="1"/>
    <xf numFmtId="0" fontId="0" fillId="31" borderId="130" xfId="0" applyFill="1" applyBorder="1"/>
    <xf numFmtId="0" fontId="0" fillId="4" borderId="0" xfId="0" applyFill="1" applyAlignment="1">
      <alignment horizontal="center" vertical="center"/>
    </xf>
    <xf numFmtId="0" fontId="0" fillId="11" borderId="3" xfId="0" applyFill="1" applyBorder="1" applyAlignment="1">
      <alignment horizontal="center" vertical="center"/>
    </xf>
    <xf numFmtId="0" fontId="0" fillId="3" borderId="3" xfId="0" applyFill="1" applyBorder="1" applyAlignment="1">
      <alignment horizontal="center" vertical="center"/>
    </xf>
    <xf numFmtId="0" fontId="0" fillId="3" borderId="1" xfId="0" applyFill="1" applyBorder="1" applyAlignment="1">
      <alignment horizontal="center" vertical="center"/>
    </xf>
    <xf numFmtId="0" fontId="0" fillId="3" borderId="0" xfId="0" applyFill="1" applyAlignment="1">
      <alignment horizontal="center" vertical="center"/>
    </xf>
    <xf numFmtId="0" fontId="0" fillId="19" borderId="0" xfId="0" applyFill="1" applyAlignment="1">
      <alignment horizontal="center" vertical="center"/>
    </xf>
    <xf numFmtId="0" fontId="0" fillId="11" borderId="0" xfId="0" applyFill="1" applyAlignment="1">
      <alignment horizontal="center" vertical="center"/>
    </xf>
    <xf numFmtId="0" fontId="0" fillId="4" borderId="15" xfId="0" applyFill="1" applyBorder="1" applyAlignment="1">
      <alignment horizontal="center" vertical="center"/>
    </xf>
    <xf numFmtId="0" fontId="0" fillId="11" borderId="14" xfId="0" applyFill="1" applyBorder="1" applyAlignment="1">
      <alignment horizontal="center" vertical="center"/>
    </xf>
    <xf numFmtId="0" fontId="0" fillId="11" borderId="13" xfId="0" applyFill="1" applyBorder="1" applyAlignment="1">
      <alignment horizontal="center" vertical="center"/>
    </xf>
    <xf numFmtId="0" fontId="0" fillId="31" borderId="3" xfId="0" applyFill="1" applyBorder="1" applyAlignment="1">
      <alignment horizontal="center" vertical="center"/>
    </xf>
    <xf numFmtId="0" fontId="0" fillId="31" borderId="1" xfId="0" applyFill="1" applyBorder="1" applyAlignment="1">
      <alignment horizontal="center" vertical="center"/>
    </xf>
    <xf numFmtId="0" fontId="0" fillId="11" borderId="1" xfId="0" applyFill="1" applyBorder="1" applyAlignment="1">
      <alignment horizontal="center" vertical="center"/>
    </xf>
    <xf numFmtId="0" fontId="0" fillId="3" borderId="14" xfId="0" applyFill="1" applyBorder="1" applyAlignment="1">
      <alignment horizontal="center" vertical="center"/>
    </xf>
    <xf numFmtId="0" fontId="77" fillId="0" borderId="0" xfId="16" applyFill="1" applyBorder="1" applyAlignment="1">
      <alignment horizontal="center"/>
    </xf>
    <xf numFmtId="0" fontId="76" fillId="0" borderId="0" xfId="15" applyFill="1" applyBorder="1" applyAlignment="1">
      <alignment horizontal="center"/>
    </xf>
    <xf numFmtId="0" fontId="75" fillId="46" borderId="0" xfId="14" applyBorder="1" applyAlignment="1">
      <alignment horizontal="center" vertical="center"/>
    </xf>
    <xf numFmtId="2" fontId="0" fillId="0" borderId="0" xfId="0" applyNumberFormat="1" applyFill="1" applyBorder="1" applyAlignment="1">
      <alignment horizontal="left" vertical="center"/>
    </xf>
    <xf numFmtId="2" fontId="0" fillId="0" borderId="0" xfId="0" applyNumberFormat="1" applyFill="1" applyBorder="1" applyAlignment="1">
      <alignment horizontal="left"/>
    </xf>
    <xf numFmtId="0" fontId="0" fillId="4" borderId="0" xfId="0" applyFill="1" applyBorder="1" applyAlignment="1"/>
    <xf numFmtId="0" fontId="0" fillId="11" borderId="118" xfId="0" applyFill="1" applyBorder="1" applyAlignment="1">
      <alignment horizontal="center"/>
    </xf>
    <xf numFmtId="0" fontId="0" fillId="11" borderId="122" xfId="0" applyFill="1" applyBorder="1" applyAlignment="1">
      <alignment horizontal="center"/>
    </xf>
    <xf numFmtId="0" fontId="0" fillId="4" borderId="121" xfId="0" applyFill="1" applyBorder="1" applyAlignment="1">
      <alignment horizontal="left"/>
    </xf>
    <xf numFmtId="0" fontId="0" fillId="4" borderId="133" xfId="0" applyFill="1" applyBorder="1"/>
    <xf numFmtId="0" fontId="0" fillId="4" borderId="122" xfId="0" applyFill="1" applyBorder="1"/>
    <xf numFmtId="0" fontId="0" fillId="4" borderId="119" xfId="0" applyFill="1" applyBorder="1" applyAlignment="1">
      <alignment horizontal="left"/>
    </xf>
    <xf numFmtId="0" fontId="0" fillId="4" borderId="120" xfId="0" applyFill="1" applyBorder="1" applyAlignment="1"/>
    <xf numFmtId="0" fontId="16" fillId="4" borderId="1" xfId="0" applyFont="1" applyFill="1" applyBorder="1" applyAlignment="1">
      <alignment horizontal="center"/>
    </xf>
    <xf numFmtId="0" fontId="16" fillId="4" borderId="1" xfId="0" applyFont="1" applyFill="1" applyBorder="1" applyAlignment="1">
      <alignment horizontal="left"/>
    </xf>
    <xf numFmtId="0" fontId="16" fillId="4" borderId="15" xfId="0" applyFont="1" applyFill="1" applyBorder="1" applyAlignment="1">
      <alignment horizontal="center"/>
    </xf>
    <xf numFmtId="0" fontId="16" fillId="4" borderId="14" xfId="0" applyFont="1" applyFill="1" applyBorder="1" applyAlignment="1">
      <alignment horizontal="center"/>
    </xf>
    <xf numFmtId="0" fontId="16" fillId="11" borderId="14" xfId="0" applyFont="1" applyFill="1" applyBorder="1" applyAlignment="1">
      <alignment horizontal="center"/>
    </xf>
    <xf numFmtId="0" fontId="16" fillId="11" borderId="13" xfId="0" applyFont="1" applyFill="1" applyBorder="1" applyAlignment="1">
      <alignment horizontal="center"/>
    </xf>
    <xf numFmtId="0" fontId="16" fillId="3" borderId="13" xfId="0" applyFont="1" applyFill="1" applyBorder="1" applyAlignment="1">
      <alignment horizontal="center"/>
    </xf>
    <xf numFmtId="0" fontId="16" fillId="3" borderId="12" xfId="0" applyFont="1" applyFill="1" applyBorder="1" applyAlignment="1">
      <alignment horizontal="right" vertical="center"/>
    </xf>
    <xf numFmtId="168" fontId="16" fillId="3" borderId="7" xfId="0" applyNumberFormat="1" applyFont="1" applyFill="1" applyBorder="1" applyAlignment="1">
      <alignment horizontal="right" vertical="center"/>
    </xf>
    <xf numFmtId="0" fontId="79" fillId="18" borderId="9" xfId="0" applyFont="1" applyFill="1" applyBorder="1" applyAlignment="1">
      <alignment horizontal="right" vertical="center"/>
    </xf>
    <xf numFmtId="167" fontId="79" fillId="18" borderId="7" xfId="0" applyNumberFormat="1" applyFont="1" applyFill="1" applyBorder="1" applyAlignment="1">
      <alignment horizontal="right" vertical="center"/>
    </xf>
    <xf numFmtId="0" fontId="16" fillId="3" borderId="12" xfId="0" applyFont="1" applyFill="1" applyBorder="1"/>
    <xf numFmtId="168" fontId="16" fillId="3" borderId="7" xfId="0" applyNumberFormat="1" applyFont="1" applyFill="1" applyBorder="1" applyAlignment="1"/>
    <xf numFmtId="168" fontId="16" fillId="3" borderId="7" xfId="0" applyNumberFormat="1" applyFont="1" applyFill="1" applyBorder="1" applyAlignment="1">
      <alignment horizontal="center"/>
    </xf>
    <xf numFmtId="0" fontId="79" fillId="18" borderId="9" xfId="0" applyFont="1" applyFill="1" applyBorder="1"/>
    <xf numFmtId="167" fontId="79" fillId="18" borderId="7" xfId="0" applyNumberFormat="1" applyFont="1" applyFill="1" applyBorder="1"/>
    <xf numFmtId="167" fontId="79" fillId="18" borderId="7" xfId="0" applyNumberFormat="1" applyFont="1" applyFill="1" applyBorder="1" applyAlignment="1">
      <alignment horizontal="center"/>
    </xf>
    <xf numFmtId="168" fontId="16" fillId="3" borderId="9" xfId="0" applyNumberFormat="1" applyFont="1" applyFill="1" applyBorder="1" applyAlignment="1"/>
    <xf numFmtId="168" fontId="16" fillId="3" borderId="9" xfId="0" applyNumberFormat="1" applyFont="1" applyFill="1" applyBorder="1" applyAlignment="1">
      <alignment horizontal="center"/>
    </xf>
    <xf numFmtId="0" fontId="16" fillId="0" borderId="0" xfId="0" applyFont="1" applyAlignment="1">
      <alignment horizontal="center" vertical="center"/>
    </xf>
    <xf numFmtId="0" fontId="0" fillId="0" borderId="5" xfId="0" applyBorder="1" applyAlignment="1">
      <alignment horizontal="center" vertical="center"/>
    </xf>
    <xf numFmtId="0" fontId="3" fillId="48" borderId="3" xfId="0" applyFont="1" applyFill="1" applyBorder="1" applyAlignment="1">
      <alignment horizontal="center" vertical="center"/>
    </xf>
    <xf numFmtId="0" fontId="3" fillId="48" borderId="4" xfId="0" applyFont="1" applyFill="1" applyBorder="1" applyAlignment="1">
      <alignment horizontal="center" vertical="center"/>
    </xf>
    <xf numFmtId="0" fontId="0" fillId="4" borderId="6" xfId="0" applyFill="1" applyBorder="1" applyAlignment="1">
      <alignment horizontal="center" vertical="center"/>
    </xf>
    <xf numFmtId="0" fontId="0" fillId="4" borderId="7" xfId="0" applyFill="1" applyBorder="1" applyAlignment="1">
      <alignment horizontal="left" vertical="center"/>
    </xf>
    <xf numFmtId="0" fontId="3" fillId="4" borderId="134" xfId="0" applyFont="1" applyFill="1" applyBorder="1" applyAlignment="1">
      <alignment horizontal="center" vertical="center"/>
    </xf>
    <xf numFmtId="0" fontId="3" fillId="4" borderId="143" xfId="0" applyFont="1" applyFill="1" applyBorder="1" applyAlignment="1">
      <alignment horizontal="center" vertical="center"/>
    </xf>
    <xf numFmtId="0" fontId="3" fillId="4" borderId="144" xfId="0" applyFont="1" applyFill="1" applyBorder="1" applyAlignment="1">
      <alignment horizontal="center" vertical="center"/>
    </xf>
    <xf numFmtId="0" fontId="3" fillId="4" borderId="145" xfId="0" applyFont="1" applyFill="1" applyBorder="1" applyAlignment="1">
      <alignment horizontal="center" vertical="center"/>
    </xf>
    <xf numFmtId="0" fontId="3" fillId="4" borderId="136" xfId="0" applyFont="1" applyFill="1" applyBorder="1" applyAlignment="1">
      <alignment horizontal="center" vertical="center"/>
    </xf>
    <xf numFmtId="0" fontId="16" fillId="4" borderId="145" xfId="0" applyFont="1" applyFill="1" applyBorder="1" applyAlignment="1">
      <alignment horizontal="center" vertical="center"/>
    </xf>
    <xf numFmtId="0" fontId="3" fillId="11" borderId="117" xfId="0" applyFont="1" applyFill="1" applyBorder="1" applyAlignment="1">
      <alignment horizontal="center" vertical="center"/>
    </xf>
    <xf numFmtId="0" fontId="3" fillId="11" borderId="146" xfId="0" applyFont="1" applyFill="1" applyBorder="1" applyAlignment="1">
      <alignment horizontal="center" vertical="center"/>
    </xf>
    <xf numFmtId="0" fontId="3" fillId="11" borderId="147" xfId="0" applyFont="1" applyFill="1" applyBorder="1" applyAlignment="1">
      <alignment horizontal="center" vertical="center"/>
    </xf>
    <xf numFmtId="0" fontId="3" fillId="11" borderId="148" xfId="0" applyFont="1" applyFill="1" applyBorder="1" applyAlignment="1">
      <alignment horizontal="center" vertical="center"/>
    </xf>
    <xf numFmtId="0" fontId="3" fillId="11" borderId="118" xfId="0" applyFont="1" applyFill="1" applyBorder="1" applyAlignment="1">
      <alignment horizontal="center" vertical="center"/>
    </xf>
    <xf numFmtId="0" fontId="16" fillId="11" borderId="148" xfId="0" applyFont="1" applyFill="1" applyBorder="1" applyAlignment="1">
      <alignment horizontal="center" vertical="center"/>
    </xf>
    <xf numFmtId="0" fontId="3" fillId="11" borderId="119" xfId="0" applyFont="1" applyFill="1" applyBorder="1" applyAlignment="1">
      <alignment horizontal="center" vertical="center"/>
    </xf>
    <xf numFmtId="0" fontId="3" fillId="11" borderId="109" xfId="0" applyFont="1" applyFill="1" applyBorder="1" applyAlignment="1">
      <alignment horizontal="center" vertical="center"/>
    </xf>
    <xf numFmtId="0" fontId="3" fillId="11" borderId="149" xfId="0" applyFont="1" applyFill="1" applyBorder="1" applyAlignment="1">
      <alignment horizontal="center" vertical="center"/>
    </xf>
    <xf numFmtId="0" fontId="3" fillId="11" borderId="132" xfId="0" applyFont="1" applyFill="1" applyBorder="1" applyAlignment="1">
      <alignment horizontal="center" vertical="center"/>
    </xf>
    <xf numFmtId="0" fontId="3" fillId="11" borderId="120" xfId="0" applyFont="1" applyFill="1" applyBorder="1" applyAlignment="1">
      <alignment horizontal="center" vertical="center"/>
    </xf>
    <xf numFmtId="0" fontId="16" fillId="11" borderId="132" xfId="0" applyFont="1" applyFill="1" applyBorder="1" applyAlignment="1">
      <alignment horizontal="center" vertical="center"/>
    </xf>
    <xf numFmtId="0" fontId="3" fillId="11" borderId="150" xfId="0" applyFont="1" applyFill="1" applyBorder="1" applyAlignment="1">
      <alignment horizontal="center" vertical="center"/>
    </xf>
    <xf numFmtId="0" fontId="3" fillId="11" borderId="151" xfId="0" applyFont="1" applyFill="1" applyBorder="1" applyAlignment="1">
      <alignment horizontal="center" vertical="center"/>
    </xf>
    <xf numFmtId="0" fontId="3" fillId="11" borderId="152" xfId="0" applyFont="1" applyFill="1" applyBorder="1" applyAlignment="1">
      <alignment horizontal="center" vertical="center"/>
    </xf>
    <xf numFmtId="0" fontId="3" fillId="11" borderId="153" xfId="0" applyFont="1" applyFill="1" applyBorder="1" applyAlignment="1">
      <alignment horizontal="center" vertical="center"/>
    </xf>
    <xf numFmtId="0" fontId="3" fillId="11" borderId="154" xfId="0" applyFont="1" applyFill="1" applyBorder="1" applyAlignment="1">
      <alignment horizontal="center" vertical="center"/>
    </xf>
    <xf numFmtId="0" fontId="16" fillId="11" borderId="153" xfId="0" applyFont="1" applyFill="1" applyBorder="1" applyAlignment="1">
      <alignment horizontal="center" vertical="center"/>
    </xf>
    <xf numFmtId="0" fontId="0" fillId="11" borderId="155" xfId="0" applyFill="1" applyBorder="1" applyAlignment="1">
      <alignment horizontal="center" vertical="center"/>
    </xf>
    <xf numFmtId="0" fontId="0" fillId="11" borderId="156" xfId="0" applyFill="1" applyBorder="1" applyAlignment="1">
      <alignment horizontal="left" vertical="center"/>
    </xf>
    <xf numFmtId="0" fontId="3" fillId="11" borderId="157" xfId="0" applyFont="1" applyFill="1" applyBorder="1" applyAlignment="1">
      <alignment horizontal="center" vertical="center"/>
    </xf>
    <xf numFmtId="0" fontId="3" fillId="11" borderId="158" xfId="0" applyFont="1" applyFill="1" applyBorder="1" applyAlignment="1">
      <alignment horizontal="center" vertical="center"/>
    </xf>
    <xf numFmtId="0" fontId="3" fillId="11" borderId="159" xfId="0" applyFont="1" applyFill="1" applyBorder="1" applyAlignment="1">
      <alignment horizontal="center" vertical="center"/>
    </xf>
    <xf numFmtId="0" fontId="3" fillId="11" borderId="160" xfId="0" applyFont="1" applyFill="1" applyBorder="1" applyAlignment="1">
      <alignment horizontal="center" vertical="center"/>
    </xf>
    <xf numFmtId="0" fontId="3" fillId="11" borderId="161" xfId="0" applyFont="1" applyFill="1" applyBorder="1" applyAlignment="1">
      <alignment horizontal="center" vertical="center"/>
    </xf>
    <xf numFmtId="0" fontId="16" fillId="11" borderId="160" xfId="0" applyFont="1" applyFill="1" applyBorder="1" applyAlignment="1">
      <alignment horizontal="center" vertical="center"/>
    </xf>
    <xf numFmtId="0" fontId="3" fillId="11" borderId="121" xfId="0" applyFont="1" applyFill="1" applyBorder="1" applyAlignment="1">
      <alignment horizontal="center" vertical="center"/>
    </xf>
    <xf numFmtId="0" fontId="3" fillId="11" borderId="162" xfId="0" applyFont="1" applyFill="1" applyBorder="1" applyAlignment="1">
      <alignment horizontal="center" vertical="center"/>
    </xf>
    <xf numFmtId="0" fontId="3" fillId="11" borderId="163" xfId="0" applyFont="1" applyFill="1" applyBorder="1" applyAlignment="1">
      <alignment horizontal="center" vertical="center"/>
    </xf>
    <xf numFmtId="0" fontId="3" fillId="11" borderId="164" xfId="0" applyFont="1" applyFill="1" applyBorder="1" applyAlignment="1">
      <alignment horizontal="center" vertical="center"/>
    </xf>
    <xf numFmtId="0" fontId="3" fillId="11" borderId="122" xfId="0" applyFont="1" applyFill="1" applyBorder="1" applyAlignment="1">
      <alignment horizontal="center" vertical="center"/>
    </xf>
    <xf numFmtId="0" fontId="16" fillId="11" borderId="164" xfId="0" applyFont="1" applyFill="1" applyBorder="1" applyAlignment="1">
      <alignment horizontal="center" vertical="center"/>
    </xf>
    <xf numFmtId="0" fontId="3" fillId="3" borderId="117" xfId="0" applyFont="1" applyFill="1" applyBorder="1" applyAlignment="1">
      <alignment horizontal="center" vertical="center"/>
    </xf>
    <xf numFmtId="0" fontId="3" fillId="3" borderId="146" xfId="0" applyFont="1" applyFill="1" applyBorder="1" applyAlignment="1">
      <alignment horizontal="center" vertical="center"/>
    </xf>
    <xf numFmtId="0" fontId="3" fillId="3" borderId="147" xfId="0" applyFont="1" applyFill="1" applyBorder="1" applyAlignment="1">
      <alignment horizontal="center" vertical="center"/>
    </xf>
    <xf numFmtId="0" fontId="3" fillId="3" borderId="148" xfId="0" applyFont="1" applyFill="1" applyBorder="1" applyAlignment="1">
      <alignment horizontal="center" vertical="center"/>
    </xf>
    <xf numFmtId="0" fontId="3" fillId="3" borderId="118" xfId="0" applyFont="1" applyFill="1" applyBorder="1" applyAlignment="1">
      <alignment horizontal="center" vertical="center"/>
    </xf>
    <xf numFmtId="0" fontId="16" fillId="3" borderId="148" xfId="0" applyFont="1" applyFill="1" applyBorder="1" applyAlignment="1">
      <alignment horizontal="center" vertical="center"/>
    </xf>
    <xf numFmtId="0" fontId="3" fillId="3" borderId="119" xfId="0" applyFont="1" applyFill="1" applyBorder="1" applyAlignment="1">
      <alignment horizontal="center" vertical="center"/>
    </xf>
    <xf numFmtId="0" fontId="80" fillId="3" borderId="109" xfId="0" applyFont="1" applyFill="1" applyBorder="1" applyAlignment="1">
      <alignment horizontal="center" vertical="center"/>
    </xf>
    <xf numFmtId="0" fontId="3" fillId="3" borderId="109" xfId="0" applyFont="1" applyFill="1" applyBorder="1" applyAlignment="1">
      <alignment horizontal="center" vertical="center"/>
    </xf>
    <xf numFmtId="0" fontId="80" fillId="3" borderId="149" xfId="0" applyFont="1" applyFill="1" applyBorder="1" applyAlignment="1">
      <alignment horizontal="center" vertical="center"/>
    </xf>
    <xf numFmtId="0" fontId="3" fillId="3" borderId="132" xfId="0" applyFont="1" applyFill="1" applyBorder="1" applyAlignment="1">
      <alignment horizontal="center" vertical="center"/>
    </xf>
    <xf numFmtId="0" fontId="3" fillId="3" borderId="120" xfId="0" applyFont="1" applyFill="1" applyBorder="1" applyAlignment="1">
      <alignment horizontal="center" vertical="center"/>
    </xf>
    <xf numFmtId="0" fontId="80" fillId="3" borderId="132" xfId="0" applyFont="1" applyFill="1" applyBorder="1" applyAlignment="1">
      <alignment horizontal="center" vertical="center"/>
    </xf>
    <xf numFmtId="0" fontId="16" fillId="3" borderId="132" xfId="0" applyFont="1" applyFill="1" applyBorder="1" applyAlignment="1">
      <alignment horizontal="center" vertical="center"/>
    </xf>
    <xf numFmtId="0" fontId="3" fillId="3" borderId="149" xfId="0" applyFont="1" applyFill="1" applyBorder="1" applyAlignment="1">
      <alignment horizontal="center" vertical="center"/>
    </xf>
    <xf numFmtId="0" fontId="81" fillId="3" borderId="132" xfId="0" applyFont="1" applyFill="1" applyBorder="1" applyAlignment="1">
      <alignment horizontal="center" vertical="center"/>
    </xf>
    <xf numFmtId="0" fontId="3" fillId="3" borderId="150" xfId="0" applyFont="1" applyFill="1" applyBorder="1" applyAlignment="1">
      <alignment horizontal="center" vertical="center"/>
    </xf>
    <xf numFmtId="0" fontId="3" fillId="3" borderId="151" xfId="0" applyFont="1" applyFill="1" applyBorder="1" applyAlignment="1">
      <alignment horizontal="center" vertical="center"/>
    </xf>
    <xf numFmtId="0" fontId="3" fillId="3" borderId="152" xfId="0" applyFont="1" applyFill="1" applyBorder="1" applyAlignment="1">
      <alignment horizontal="center" vertical="center"/>
    </xf>
    <xf numFmtId="0" fontId="3" fillId="3" borderId="153" xfId="0" applyFont="1" applyFill="1" applyBorder="1" applyAlignment="1">
      <alignment horizontal="center" vertical="center"/>
    </xf>
    <xf numFmtId="0" fontId="3" fillId="3" borderId="154" xfId="0" applyFont="1" applyFill="1" applyBorder="1" applyAlignment="1">
      <alignment horizontal="center" vertical="center"/>
    </xf>
    <xf numFmtId="0" fontId="16" fillId="3" borderId="153" xfId="0" applyFont="1" applyFill="1" applyBorder="1" applyAlignment="1">
      <alignment horizontal="center" vertical="center"/>
    </xf>
    <xf numFmtId="0" fontId="0" fillId="3" borderId="155" xfId="0" applyFill="1" applyBorder="1" applyAlignment="1">
      <alignment horizontal="center" vertical="center"/>
    </xf>
    <xf numFmtId="0" fontId="0" fillId="3" borderId="156" xfId="0" applyFill="1" applyBorder="1" applyAlignment="1">
      <alignment horizontal="left" vertical="center"/>
    </xf>
    <xf numFmtId="0" fontId="3" fillId="3" borderId="121" xfId="0" applyFont="1" applyFill="1" applyBorder="1" applyAlignment="1">
      <alignment horizontal="center" vertical="center"/>
    </xf>
    <xf numFmtId="0" fontId="3" fillId="3" borderId="162" xfId="0" applyFont="1" applyFill="1" applyBorder="1" applyAlignment="1">
      <alignment horizontal="center" vertical="center"/>
    </xf>
    <xf numFmtId="0" fontId="3" fillId="3" borderId="163" xfId="0" applyFont="1" applyFill="1" applyBorder="1" applyAlignment="1">
      <alignment horizontal="center" vertical="center"/>
    </xf>
    <xf numFmtId="0" fontId="3" fillId="3" borderId="164" xfId="0" applyFont="1" applyFill="1" applyBorder="1" applyAlignment="1">
      <alignment horizontal="center" vertical="center"/>
    </xf>
    <xf numFmtId="0" fontId="3" fillId="3" borderId="122" xfId="0" applyFont="1" applyFill="1" applyBorder="1" applyAlignment="1">
      <alignment horizontal="center" vertical="center"/>
    </xf>
    <xf numFmtId="0" fontId="16" fillId="3" borderId="164" xfId="0" applyFont="1" applyFill="1" applyBorder="1" applyAlignment="1">
      <alignment horizontal="center" vertical="center"/>
    </xf>
    <xf numFmtId="0" fontId="3" fillId="19" borderId="117" xfId="0" applyFont="1" applyFill="1" applyBorder="1" applyAlignment="1">
      <alignment horizontal="center" vertical="center"/>
    </xf>
    <xf numFmtId="0" fontId="3" fillId="19" borderId="148" xfId="0" applyFont="1" applyFill="1" applyBorder="1" applyAlignment="1">
      <alignment horizontal="center" vertical="center"/>
    </xf>
    <xf numFmtId="0" fontId="3" fillId="19" borderId="146" xfId="0" applyFont="1" applyFill="1" applyBorder="1" applyAlignment="1">
      <alignment horizontal="center" vertical="center"/>
    </xf>
    <xf numFmtId="0" fontId="3" fillId="19" borderId="147" xfId="0" applyFont="1" applyFill="1" applyBorder="1" applyAlignment="1">
      <alignment horizontal="center" vertical="center"/>
    </xf>
    <xf numFmtId="0" fontId="3" fillId="19" borderId="118" xfId="0" applyFont="1" applyFill="1" applyBorder="1" applyAlignment="1">
      <alignment horizontal="center" vertical="center"/>
    </xf>
    <xf numFmtId="0" fontId="16" fillId="19" borderId="148" xfId="0" applyFont="1" applyFill="1" applyBorder="1" applyAlignment="1">
      <alignment horizontal="center" vertical="center"/>
    </xf>
    <xf numFmtId="0" fontId="0" fillId="19" borderId="165" xfId="0" applyFill="1" applyBorder="1" applyAlignment="1">
      <alignment horizontal="center" vertical="center"/>
    </xf>
    <xf numFmtId="0" fontId="0" fillId="19" borderId="166" xfId="0" applyFill="1" applyBorder="1" applyAlignment="1">
      <alignment horizontal="left" vertical="center"/>
    </xf>
    <xf numFmtId="0" fontId="3" fillId="19" borderId="150" xfId="0" applyFont="1" applyFill="1" applyBorder="1" applyAlignment="1">
      <alignment horizontal="center" vertical="center"/>
    </xf>
    <xf numFmtId="0" fontId="3" fillId="19" borderId="153" xfId="0" applyFont="1" applyFill="1" applyBorder="1" applyAlignment="1">
      <alignment horizontal="center" vertical="center"/>
    </xf>
    <xf numFmtId="0" fontId="3" fillId="19" borderId="151" xfId="0" applyFont="1" applyFill="1" applyBorder="1" applyAlignment="1">
      <alignment horizontal="center" vertical="center"/>
    </xf>
    <xf numFmtId="0" fontId="3" fillId="19" borderId="152" xfId="0" applyFont="1" applyFill="1" applyBorder="1" applyAlignment="1">
      <alignment horizontal="center" vertical="center"/>
    </xf>
    <xf numFmtId="0" fontId="3" fillId="19" borderId="154" xfId="0" applyFont="1" applyFill="1" applyBorder="1" applyAlignment="1">
      <alignment horizontal="center" vertical="center"/>
    </xf>
    <xf numFmtId="0" fontId="16" fillId="19" borderId="153" xfId="0" applyFont="1" applyFill="1" applyBorder="1" applyAlignment="1">
      <alignment horizontal="center" vertical="center"/>
    </xf>
    <xf numFmtId="0" fontId="3" fillId="19" borderId="119" xfId="0" applyFont="1" applyFill="1" applyBorder="1" applyAlignment="1">
      <alignment horizontal="center" vertical="center"/>
    </xf>
    <xf numFmtId="0" fontId="3" fillId="19" borderId="132" xfId="0" applyFont="1" applyFill="1" applyBorder="1" applyAlignment="1">
      <alignment horizontal="center" vertical="center"/>
    </xf>
    <xf numFmtId="0" fontId="3" fillId="19" borderId="109" xfId="0" applyFont="1" applyFill="1" applyBorder="1" applyAlignment="1">
      <alignment horizontal="center" vertical="center"/>
    </xf>
    <xf numFmtId="0" fontId="3" fillId="19" borderId="149" xfId="0" applyFont="1" applyFill="1" applyBorder="1" applyAlignment="1">
      <alignment horizontal="center" vertical="center"/>
    </xf>
    <xf numFmtId="0" fontId="3" fillId="19" borderId="120" xfId="0" applyFont="1" applyFill="1" applyBorder="1" applyAlignment="1">
      <alignment horizontal="center" vertical="center"/>
    </xf>
    <xf numFmtId="0" fontId="16" fillId="19" borderId="132" xfId="0" applyFont="1" applyFill="1" applyBorder="1" applyAlignment="1">
      <alignment horizontal="center" vertical="center"/>
    </xf>
    <xf numFmtId="0" fontId="0" fillId="19" borderId="155" xfId="0" applyFill="1" applyBorder="1" applyAlignment="1">
      <alignment horizontal="center" vertical="center"/>
    </xf>
    <xf numFmtId="0" fontId="0" fillId="19" borderId="156" xfId="0" applyFill="1" applyBorder="1" applyAlignment="1">
      <alignment horizontal="left" vertical="center"/>
    </xf>
    <xf numFmtId="0" fontId="3" fillId="19" borderId="167" xfId="0" applyFont="1" applyFill="1" applyBorder="1" applyAlignment="1">
      <alignment horizontal="center" vertical="center"/>
    </xf>
    <xf numFmtId="0" fontId="3" fillId="19" borderId="168" xfId="0" applyFont="1" applyFill="1" applyBorder="1" applyAlignment="1">
      <alignment horizontal="center" vertical="center"/>
    </xf>
    <xf numFmtId="0" fontId="80" fillId="19" borderId="169" xfId="0" applyFont="1" applyFill="1" applyBorder="1" applyAlignment="1">
      <alignment horizontal="center" vertical="center"/>
    </xf>
    <xf numFmtId="0" fontId="80" fillId="19" borderId="170" xfId="0" applyFont="1" applyFill="1" applyBorder="1" applyAlignment="1">
      <alignment horizontal="center" vertical="center"/>
    </xf>
    <xf numFmtId="0" fontId="80" fillId="19" borderId="171" xfId="0" applyFont="1" applyFill="1" applyBorder="1" applyAlignment="1">
      <alignment horizontal="center" vertical="center"/>
    </xf>
    <xf numFmtId="0" fontId="16" fillId="19" borderId="168" xfId="0" applyFont="1" applyFill="1" applyBorder="1" applyAlignment="1">
      <alignment horizontal="center" vertical="center"/>
    </xf>
    <xf numFmtId="0" fontId="3" fillId="19" borderId="170" xfId="0" applyFont="1" applyFill="1" applyBorder="1" applyAlignment="1">
      <alignment horizontal="center" vertical="center"/>
    </xf>
    <xf numFmtId="0" fontId="3" fillId="19" borderId="121" xfId="0" applyFont="1" applyFill="1" applyBorder="1" applyAlignment="1">
      <alignment horizontal="center" vertical="center"/>
    </xf>
    <xf numFmtId="0" fontId="3" fillId="19" borderId="164" xfId="0" applyFont="1" applyFill="1" applyBorder="1" applyAlignment="1">
      <alignment horizontal="center" vertical="center"/>
    </xf>
    <xf numFmtId="0" fontId="80" fillId="19" borderId="162" xfId="0" applyFont="1" applyFill="1" applyBorder="1" applyAlignment="1">
      <alignment horizontal="center" vertical="center"/>
    </xf>
    <xf numFmtId="0" fontId="80" fillId="19" borderId="163" xfId="0" applyFont="1" applyFill="1" applyBorder="1" applyAlignment="1">
      <alignment horizontal="center" vertical="center"/>
    </xf>
    <xf numFmtId="0" fontId="3" fillId="19" borderId="162" xfId="0" applyFont="1" applyFill="1" applyBorder="1" applyAlignment="1">
      <alignment horizontal="center" vertical="center"/>
    </xf>
    <xf numFmtId="0" fontId="3" fillId="19" borderId="122" xfId="0" applyFont="1" applyFill="1" applyBorder="1" applyAlignment="1">
      <alignment horizontal="center" vertical="center"/>
    </xf>
    <xf numFmtId="0" fontId="16" fillId="19" borderId="164" xfId="0" applyFont="1" applyFill="1" applyBorder="1" applyAlignment="1">
      <alignment horizontal="center" vertical="center"/>
    </xf>
    <xf numFmtId="0" fontId="3" fillId="19" borderId="163" xfId="0" applyFont="1" applyFill="1" applyBorder="1" applyAlignment="1">
      <alignment horizontal="center" vertical="center"/>
    </xf>
    <xf numFmtId="0" fontId="3" fillId="31" borderId="119" xfId="0" applyFont="1" applyFill="1" applyBorder="1" applyAlignment="1">
      <alignment horizontal="center" vertical="center"/>
    </xf>
    <xf numFmtId="0" fontId="3" fillId="31" borderId="109" xfId="0" applyFont="1" applyFill="1" applyBorder="1" applyAlignment="1">
      <alignment horizontal="center" vertical="center"/>
    </xf>
    <xf numFmtId="0" fontId="3" fillId="31" borderId="149" xfId="0" applyFont="1" applyFill="1" applyBorder="1" applyAlignment="1">
      <alignment horizontal="center" vertical="center"/>
    </xf>
    <xf numFmtId="0" fontId="80" fillId="31" borderId="132" xfId="0" applyFont="1" applyFill="1" applyBorder="1" applyAlignment="1">
      <alignment horizontal="center" vertical="center"/>
    </xf>
    <xf numFmtId="0" fontId="80" fillId="31" borderId="120" xfId="0" applyFont="1" applyFill="1" applyBorder="1" applyAlignment="1">
      <alignment horizontal="center" vertical="center"/>
    </xf>
    <xf numFmtId="0" fontId="3" fillId="31" borderId="132" xfId="0" applyFont="1" applyFill="1" applyBorder="1" applyAlignment="1">
      <alignment horizontal="center" vertical="center"/>
    </xf>
    <xf numFmtId="0" fontId="16" fillId="31" borderId="132" xfId="0" applyFont="1" applyFill="1" applyBorder="1" applyAlignment="1">
      <alignment horizontal="center" vertical="center"/>
    </xf>
    <xf numFmtId="0" fontId="0" fillId="31" borderId="165" xfId="0" applyFill="1" applyBorder="1" applyAlignment="1">
      <alignment horizontal="center" vertical="center"/>
    </xf>
    <xf numFmtId="0" fontId="0" fillId="31" borderId="166" xfId="0" applyFill="1" applyBorder="1" applyAlignment="1">
      <alignment horizontal="left" vertical="center"/>
    </xf>
    <xf numFmtId="0" fontId="3" fillId="31" borderId="150" xfId="0" applyFont="1" applyFill="1" applyBorder="1" applyAlignment="1">
      <alignment horizontal="center" vertical="center"/>
    </xf>
    <xf numFmtId="0" fontId="3" fillId="31" borderId="151" xfId="0" applyFont="1" applyFill="1" applyBorder="1" applyAlignment="1">
      <alignment horizontal="center" vertical="center"/>
    </xf>
    <xf numFmtId="0" fontId="3" fillId="31" borderId="152" xfId="0" applyFont="1" applyFill="1" applyBorder="1" applyAlignment="1">
      <alignment horizontal="center" vertical="center"/>
    </xf>
    <xf numFmtId="0" fontId="3" fillId="31" borderId="153" xfId="0" applyFont="1" applyFill="1" applyBorder="1" applyAlignment="1">
      <alignment horizontal="center" vertical="center"/>
    </xf>
    <xf numFmtId="0" fontId="3" fillId="31" borderId="154" xfId="0" applyFont="1" applyFill="1" applyBorder="1" applyAlignment="1">
      <alignment horizontal="center" vertical="center"/>
    </xf>
    <xf numFmtId="0" fontId="16" fillId="31" borderId="153" xfId="0" applyFont="1" applyFill="1" applyBorder="1" applyAlignment="1">
      <alignment horizontal="center" vertical="center"/>
    </xf>
    <xf numFmtId="0" fontId="3" fillId="31" borderId="120" xfId="0" applyFont="1" applyFill="1" applyBorder="1" applyAlignment="1">
      <alignment horizontal="center" vertical="center"/>
    </xf>
    <xf numFmtId="0" fontId="3" fillId="31" borderId="121" xfId="0" applyFont="1" applyFill="1" applyBorder="1" applyAlignment="1">
      <alignment horizontal="center" vertical="center"/>
    </xf>
    <xf numFmtId="0" fontId="3" fillId="31" borderId="162" xfId="0" applyFont="1" applyFill="1" applyBorder="1" applyAlignment="1">
      <alignment horizontal="center" vertical="center"/>
    </xf>
    <xf numFmtId="0" fontId="3" fillId="31" borderId="163" xfId="0" applyFont="1" applyFill="1" applyBorder="1" applyAlignment="1">
      <alignment horizontal="center" vertical="center"/>
    </xf>
    <xf numFmtId="0" fontId="3" fillId="31" borderId="164" xfId="0" applyFont="1" applyFill="1" applyBorder="1" applyAlignment="1">
      <alignment horizontal="center" vertical="center"/>
    </xf>
    <xf numFmtId="0" fontId="3" fillId="31" borderId="122" xfId="0" applyFont="1" applyFill="1" applyBorder="1" applyAlignment="1">
      <alignment horizontal="center" vertical="center"/>
    </xf>
    <xf numFmtId="0" fontId="16" fillId="31" borderId="164" xfId="0" applyFont="1" applyFill="1" applyBorder="1" applyAlignment="1">
      <alignment horizontal="center" vertical="center"/>
    </xf>
    <xf numFmtId="9" fontId="0" fillId="0" borderId="117" xfId="0" applyNumberFormat="1" applyBorder="1" applyAlignment="1">
      <alignment horizontal="center" vertical="center"/>
    </xf>
    <xf numFmtId="9" fontId="0" fillId="0" borderId="126" xfId="0" applyNumberFormat="1" applyBorder="1" applyAlignment="1">
      <alignment horizontal="center" vertical="center"/>
    </xf>
    <xf numFmtId="9" fontId="0" fillId="0" borderId="118" xfId="0" applyNumberFormat="1" applyBorder="1" applyAlignment="1">
      <alignment horizontal="center" vertical="center"/>
    </xf>
    <xf numFmtId="9" fontId="0" fillId="0" borderId="117" xfId="1" applyFont="1" applyBorder="1" applyAlignment="1">
      <alignment horizontal="center" vertical="center"/>
    </xf>
    <xf numFmtId="9" fontId="0" fillId="0" borderId="126" xfId="1" applyFont="1" applyBorder="1" applyAlignment="1">
      <alignment horizontal="center" vertical="center"/>
    </xf>
    <xf numFmtId="9" fontId="0" fillId="0" borderId="118" xfId="1" applyFont="1" applyBorder="1" applyAlignment="1">
      <alignment horizontal="center" vertical="center"/>
    </xf>
    <xf numFmtId="9" fontId="16" fillId="0" borderId="118" xfId="1" applyFont="1" applyBorder="1" applyAlignment="1">
      <alignment horizontal="center" vertical="center"/>
    </xf>
    <xf numFmtId="9" fontId="0" fillId="0" borderId="0" xfId="1" applyFont="1" applyAlignment="1">
      <alignment horizontal="center" vertical="center"/>
    </xf>
    <xf numFmtId="9" fontId="0" fillId="0" borderId="119" xfId="0" applyNumberFormat="1" applyBorder="1" applyAlignment="1">
      <alignment horizontal="center" vertical="center"/>
    </xf>
    <xf numFmtId="9" fontId="0" fillId="0" borderId="0" xfId="0" applyNumberFormat="1" applyAlignment="1">
      <alignment horizontal="center" vertical="center"/>
    </xf>
    <xf numFmtId="9" fontId="0" fillId="0" borderId="120" xfId="0" applyNumberFormat="1" applyBorder="1" applyAlignment="1">
      <alignment horizontal="center" vertical="center"/>
    </xf>
    <xf numFmtId="9" fontId="0" fillId="0" borderId="119" xfId="1" applyFont="1" applyBorder="1" applyAlignment="1">
      <alignment horizontal="center" vertical="center"/>
    </xf>
    <xf numFmtId="9" fontId="0" fillId="0" borderId="0" xfId="1" applyFont="1" applyBorder="1" applyAlignment="1">
      <alignment horizontal="center" vertical="center"/>
    </xf>
    <xf numFmtId="9" fontId="0" fillId="0" borderId="120" xfId="1" applyFont="1" applyBorder="1" applyAlignment="1">
      <alignment horizontal="center" vertical="center"/>
    </xf>
    <xf numFmtId="9" fontId="16" fillId="0" borderId="120" xfId="1" applyFont="1" applyBorder="1" applyAlignment="1">
      <alignment horizontal="center" vertical="center"/>
    </xf>
    <xf numFmtId="9" fontId="15" fillId="0" borderId="119" xfId="1" applyFont="1" applyBorder="1" applyAlignment="1">
      <alignment horizontal="center" vertical="center"/>
    </xf>
    <xf numFmtId="9" fontId="1" fillId="0" borderId="0" xfId="1" applyFont="1" applyBorder="1" applyAlignment="1">
      <alignment horizontal="center" vertical="center"/>
    </xf>
    <xf numFmtId="9" fontId="15" fillId="0" borderId="119" xfId="0" applyNumberFormat="1" applyFont="1" applyBorder="1" applyAlignment="1">
      <alignment horizontal="center" vertical="center"/>
    </xf>
    <xf numFmtId="9" fontId="15" fillId="0" borderId="0" xfId="0" applyNumberFormat="1" applyFont="1" applyAlignment="1">
      <alignment horizontal="center" vertical="center"/>
    </xf>
    <xf numFmtId="9" fontId="15" fillId="0" borderId="0" xfId="1" applyFont="1" applyBorder="1" applyAlignment="1">
      <alignment horizontal="center" vertical="center"/>
    </xf>
    <xf numFmtId="9" fontId="1" fillId="0" borderId="120" xfId="1" applyFont="1" applyBorder="1" applyAlignment="1">
      <alignment horizontal="center" vertical="center"/>
    </xf>
    <xf numFmtId="0" fontId="0" fillId="17" borderId="0" xfId="0" applyFill="1" applyAlignment="1">
      <alignment horizontal="center" vertical="center"/>
    </xf>
    <xf numFmtId="0" fontId="0" fillId="17" borderId="13" xfId="0" applyFill="1" applyBorder="1" applyAlignment="1">
      <alignment vertical="center"/>
    </xf>
    <xf numFmtId="0" fontId="0" fillId="17" borderId="0" xfId="0" applyFill="1" applyAlignment="1">
      <alignment vertical="center"/>
    </xf>
    <xf numFmtId="0" fontId="0" fillId="0" borderId="121" xfId="0" applyBorder="1" applyAlignment="1">
      <alignment horizontal="center" vertical="center"/>
    </xf>
    <xf numFmtId="9" fontId="0" fillId="0" borderId="127" xfId="0" applyNumberFormat="1" applyBorder="1" applyAlignment="1">
      <alignment horizontal="center" vertical="center"/>
    </xf>
    <xf numFmtId="9" fontId="15" fillId="0" borderId="127" xfId="0" applyNumberFormat="1" applyFont="1" applyBorder="1" applyAlignment="1">
      <alignment horizontal="center" vertical="center"/>
    </xf>
    <xf numFmtId="9" fontId="15" fillId="0" borderId="122" xfId="0" applyNumberFormat="1" applyFont="1" applyBorder="1" applyAlignment="1">
      <alignment horizontal="center" vertical="center"/>
    </xf>
    <xf numFmtId="9" fontId="0" fillId="0" borderId="121" xfId="1" applyFont="1" applyBorder="1" applyAlignment="1">
      <alignment horizontal="center" vertical="center"/>
    </xf>
    <xf numFmtId="9" fontId="0" fillId="0" borderId="127" xfId="1" applyFont="1" applyBorder="1" applyAlignment="1">
      <alignment horizontal="center" vertical="center"/>
    </xf>
    <xf numFmtId="9" fontId="15" fillId="0" borderId="127" xfId="1" applyFont="1" applyBorder="1" applyAlignment="1">
      <alignment horizontal="center" vertical="center"/>
    </xf>
    <xf numFmtId="9" fontId="15" fillId="0" borderId="122" xfId="1" applyFont="1" applyBorder="1" applyAlignment="1">
      <alignment horizontal="center" vertical="center"/>
    </xf>
    <xf numFmtId="9" fontId="81" fillId="0" borderId="122" xfId="1" applyFont="1" applyBorder="1" applyAlignment="1">
      <alignment horizontal="center" vertical="center"/>
    </xf>
    <xf numFmtId="0" fontId="0" fillId="0" borderId="66" xfId="0" applyBorder="1" applyAlignment="1">
      <alignment horizontal="center" vertical="center"/>
    </xf>
    <xf numFmtId="167" fontId="0" fillId="11" borderId="117" xfId="0" applyNumberFormat="1" applyFill="1" applyBorder="1" applyAlignment="1">
      <alignment horizontal="center" vertical="center"/>
    </xf>
    <xf numFmtId="167" fontId="0" fillId="11" borderId="126" xfId="0" applyNumberFormat="1" applyFill="1" applyBorder="1" applyAlignment="1">
      <alignment horizontal="center" vertical="center"/>
    </xf>
    <xf numFmtId="167" fontId="0" fillId="11" borderId="118" xfId="0" applyNumberFormat="1" applyFill="1" applyBorder="1" applyAlignment="1">
      <alignment horizontal="center" vertical="center"/>
    </xf>
    <xf numFmtId="167" fontId="16" fillId="11" borderId="118" xfId="0" applyNumberFormat="1" applyFont="1" applyFill="1" applyBorder="1" applyAlignment="1">
      <alignment horizontal="center" vertical="center"/>
    </xf>
    <xf numFmtId="0" fontId="0" fillId="0" borderId="24" xfId="0" applyBorder="1" applyAlignment="1">
      <alignment horizontal="center" vertical="center"/>
    </xf>
    <xf numFmtId="167" fontId="0" fillId="11" borderId="119" xfId="0" applyNumberFormat="1" applyFill="1" applyBorder="1" applyAlignment="1">
      <alignment horizontal="center" vertical="center"/>
    </xf>
    <xf numFmtId="167" fontId="0" fillId="11" borderId="0" xfId="0" applyNumberFormat="1" applyFill="1" applyAlignment="1">
      <alignment horizontal="center" vertical="center"/>
    </xf>
    <xf numFmtId="167" fontId="0" fillId="11" borderId="120" xfId="0" applyNumberFormat="1" applyFill="1" applyBorder="1" applyAlignment="1">
      <alignment horizontal="center" vertical="center"/>
    </xf>
    <xf numFmtId="167" fontId="16" fillId="11" borderId="120" xfId="0" applyNumberFormat="1" applyFont="1" applyFill="1" applyBorder="1" applyAlignment="1">
      <alignment horizontal="center" vertical="center"/>
    </xf>
    <xf numFmtId="167" fontId="0" fillId="3" borderId="119" xfId="0" applyNumberFormat="1" applyFill="1" applyBorder="1" applyAlignment="1">
      <alignment horizontal="center" vertical="center"/>
    </xf>
    <xf numFmtId="167" fontId="0" fillId="3" borderId="0" xfId="0" applyNumberFormat="1" applyFill="1" applyAlignment="1">
      <alignment horizontal="center" vertical="center"/>
    </xf>
    <xf numFmtId="167" fontId="0" fillId="3" borderId="120" xfId="0" applyNumberFormat="1" applyFill="1" applyBorder="1" applyAlignment="1">
      <alignment horizontal="center" vertical="center"/>
    </xf>
    <xf numFmtId="167" fontId="16" fillId="3" borderId="120" xfId="0" applyNumberFormat="1" applyFont="1" applyFill="1" applyBorder="1" applyAlignment="1">
      <alignment horizontal="center" vertical="center"/>
    </xf>
    <xf numFmtId="0" fontId="0" fillId="0" borderId="67" xfId="0" applyBorder="1" applyAlignment="1">
      <alignment horizontal="center" vertical="center"/>
    </xf>
    <xf numFmtId="167" fontId="0" fillId="19" borderId="119" xfId="0" applyNumberFormat="1" applyFill="1" applyBorder="1" applyAlignment="1">
      <alignment horizontal="center" vertical="center"/>
    </xf>
    <xf numFmtId="167" fontId="0" fillId="19" borderId="0" xfId="0" applyNumberFormat="1" applyFill="1" applyAlignment="1">
      <alignment horizontal="center" vertical="center"/>
    </xf>
    <xf numFmtId="167" fontId="0" fillId="19" borderId="120" xfId="0" applyNumberFormat="1" applyFill="1" applyBorder="1" applyAlignment="1">
      <alignment horizontal="center" vertical="center"/>
    </xf>
    <xf numFmtId="167" fontId="16" fillId="19" borderId="120" xfId="0" applyNumberFormat="1" applyFont="1" applyFill="1" applyBorder="1" applyAlignment="1">
      <alignment horizontal="center" vertical="center"/>
    </xf>
    <xf numFmtId="167" fontId="0" fillId="31" borderId="119" xfId="0" applyNumberFormat="1" applyFill="1" applyBorder="1" applyAlignment="1">
      <alignment horizontal="center" vertical="center"/>
    </xf>
    <xf numFmtId="167" fontId="0" fillId="31" borderId="0" xfId="0" applyNumberFormat="1" applyFill="1" applyAlignment="1">
      <alignment horizontal="center" vertical="center"/>
    </xf>
    <xf numFmtId="167" fontId="0" fillId="31" borderId="120" xfId="0" applyNumberFormat="1" applyFill="1" applyBorder="1" applyAlignment="1">
      <alignment horizontal="center" vertical="center"/>
    </xf>
    <xf numFmtId="167" fontId="16" fillId="31" borderId="120" xfId="0" applyNumberFormat="1" applyFont="1" applyFill="1" applyBorder="1" applyAlignment="1">
      <alignment horizontal="center" vertical="center"/>
    </xf>
    <xf numFmtId="167" fontId="0" fillId="0" borderId="119" xfId="0" applyNumberFormat="1" applyBorder="1" applyAlignment="1">
      <alignment horizontal="center" vertical="center"/>
    </xf>
    <xf numFmtId="167" fontId="0" fillId="0" borderId="0" xfId="0" applyNumberFormat="1" applyAlignment="1">
      <alignment horizontal="center" vertical="center"/>
    </xf>
    <xf numFmtId="167" fontId="0" fillId="0" borderId="120" xfId="0" applyNumberFormat="1" applyBorder="1" applyAlignment="1">
      <alignment horizontal="center" vertical="center"/>
    </xf>
    <xf numFmtId="167" fontId="16" fillId="0" borderId="120" xfId="0" applyNumberFormat="1" applyFont="1" applyBorder="1" applyAlignment="1">
      <alignment horizontal="center" vertical="center"/>
    </xf>
    <xf numFmtId="0" fontId="74" fillId="45" borderId="119" xfId="13" applyBorder="1" applyAlignment="1">
      <alignment horizontal="center" vertical="center"/>
    </xf>
    <xf numFmtId="0" fontId="74" fillId="45" borderId="0" xfId="13" applyBorder="1" applyAlignment="1">
      <alignment horizontal="center" vertical="center"/>
    </xf>
    <xf numFmtId="0" fontId="74" fillId="45" borderId="120" xfId="13" applyBorder="1" applyAlignment="1">
      <alignment horizontal="center" vertical="center"/>
    </xf>
    <xf numFmtId="0" fontId="75" fillId="46" borderId="119" xfId="14" applyBorder="1" applyAlignment="1">
      <alignment horizontal="center" vertical="center"/>
    </xf>
    <xf numFmtId="0" fontId="82" fillId="46" borderId="120" xfId="14" applyFont="1" applyBorder="1" applyAlignment="1">
      <alignment horizontal="center" vertical="center"/>
    </xf>
    <xf numFmtId="0" fontId="74" fillId="45" borderId="121" xfId="13" applyBorder="1" applyAlignment="1">
      <alignment horizontal="center" vertical="center"/>
    </xf>
    <xf numFmtId="0" fontId="74" fillId="45" borderId="127" xfId="13" applyBorder="1" applyAlignment="1">
      <alignment horizontal="center" vertical="center"/>
    </xf>
    <xf numFmtId="0" fontId="74" fillId="45" borderId="122" xfId="13" applyBorder="1" applyAlignment="1">
      <alignment horizontal="center" vertical="center"/>
    </xf>
    <xf numFmtId="0" fontId="75" fillId="46" borderId="121" xfId="14" applyBorder="1" applyAlignment="1">
      <alignment horizontal="center" vertical="center"/>
    </xf>
    <xf numFmtId="0" fontId="83" fillId="45" borderId="122" xfId="13" applyFont="1" applyBorder="1" applyAlignment="1">
      <alignment horizontal="center" vertical="center"/>
    </xf>
    <xf numFmtId="0" fontId="0" fillId="11" borderId="117" xfId="0" applyFill="1" applyBorder="1" applyAlignment="1">
      <alignment horizontal="center" vertical="center"/>
    </xf>
    <xf numFmtId="0" fontId="0" fillId="11" borderId="126" xfId="0" applyFill="1" applyBorder="1" applyAlignment="1">
      <alignment horizontal="center" vertical="center"/>
    </xf>
    <xf numFmtId="0" fontId="0" fillId="11" borderId="118" xfId="0" applyFill="1" applyBorder="1" applyAlignment="1">
      <alignment horizontal="center" vertical="center"/>
    </xf>
    <xf numFmtId="0" fontId="16" fillId="11" borderId="118" xfId="0" applyFont="1" applyFill="1" applyBorder="1" applyAlignment="1">
      <alignment horizontal="center" vertical="center"/>
    </xf>
    <xf numFmtId="0" fontId="0" fillId="11" borderId="119" xfId="0" applyFill="1" applyBorder="1" applyAlignment="1">
      <alignment horizontal="center" vertical="center"/>
    </xf>
    <xf numFmtId="0" fontId="0" fillId="11" borderId="120" xfId="0" applyFill="1" applyBorder="1" applyAlignment="1">
      <alignment horizontal="center" vertical="center"/>
    </xf>
    <xf numFmtId="0" fontId="16" fillId="11" borderId="120" xfId="0" applyFont="1" applyFill="1" applyBorder="1" applyAlignment="1">
      <alignment horizontal="center" vertical="center"/>
    </xf>
    <xf numFmtId="0" fontId="0" fillId="3" borderId="119" xfId="0" applyFill="1" applyBorder="1" applyAlignment="1">
      <alignment horizontal="center" vertical="center"/>
    </xf>
    <xf numFmtId="0" fontId="0" fillId="3" borderId="120" xfId="0" applyFill="1" applyBorder="1" applyAlignment="1">
      <alignment horizontal="center" vertical="center"/>
    </xf>
    <xf numFmtId="0" fontId="16" fillId="3" borderId="120" xfId="0" applyFont="1" applyFill="1" applyBorder="1" applyAlignment="1">
      <alignment horizontal="center" vertical="center"/>
    </xf>
    <xf numFmtId="0" fontId="0" fillId="19" borderId="119" xfId="0" applyFill="1" applyBorder="1" applyAlignment="1">
      <alignment horizontal="center" vertical="center"/>
    </xf>
    <xf numFmtId="0" fontId="0" fillId="19" borderId="120" xfId="0" applyFill="1" applyBorder="1" applyAlignment="1">
      <alignment horizontal="center" vertical="center"/>
    </xf>
    <xf numFmtId="0" fontId="16" fillId="19" borderId="120" xfId="0" applyFont="1" applyFill="1" applyBorder="1" applyAlignment="1">
      <alignment horizontal="center" vertical="center"/>
    </xf>
    <xf numFmtId="0" fontId="0" fillId="31" borderId="119" xfId="0" applyFill="1" applyBorder="1" applyAlignment="1">
      <alignment horizontal="center" vertical="center"/>
    </xf>
    <xf numFmtId="0" fontId="0" fillId="31" borderId="120" xfId="0" applyFill="1" applyBorder="1" applyAlignment="1">
      <alignment horizontal="center" vertical="center"/>
    </xf>
    <xf numFmtId="0" fontId="16" fillId="31" borderId="120" xfId="0" applyFont="1" applyFill="1" applyBorder="1" applyAlignment="1">
      <alignment horizontal="center" vertical="center"/>
    </xf>
    <xf numFmtId="0" fontId="0" fillId="0" borderId="119" xfId="0" applyBorder="1" applyAlignment="1">
      <alignment horizontal="center" vertical="center"/>
    </xf>
    <xf numFmtId="0" fontId="0" fillId="0" borderId="120" xfId="0" applyBorder="1" applyAlignment="1">
      <alignment horizontal="center" vertical="center"/>
    </xf>
    <xf numFmtId="0" fontId="16" fillId="0" borderId="120" xfId="0" applyFont="1" applyBorder="1" applyAlignment="1">
      <alignment horizontal="center" vertical="center"/>
    </xf>
    <xf numFmtId="0" fontId="0" fillId="11" borderId="67" xfId="0" applyFill="1" applyBorder="1" applyAlignment="1">
      <alignment horizontal="center" vertical="center"/>
    </xf>
    <xf numFmtId="0" fontId="0" fillId="11" borderId="24" xfId="0" applyFill="1" applyBorder="1" applyAlignment="1">
      <alignment horizontal="center" vertical="center"/>
    </xf>
    <xf numFmtId="0" fontId="0" fillId="11" borderId="66" xfId="0" applyFill="1" applyBorder="1" applyAlignment="1">
      <alignment horizontal="center" vertical="center"/>
    </xf>
    <xf numFmtId="0" fontId="9" fillId="3" borderId="11" xfId="4" applyFont="1" applyFill="1" applyBorder="1" applyAlignment="1">
      <alignment horizontal="center" vertical="center" wrapText="1"/>
    </xf>
    <xf numFmtId="0" fontId="14" fillId="0" borderId="0" xfId="7" applyFill="1" applyBorder="1" applyAlignment="1">
      <alignment vertical="center"/>
    </xf>
    <xf numFmtId="0" fontId="1" fillId="0" borderId="0" xfId="0" applyFont="1" applyFill="1" applyBorder="1" applyAlignment="1">
      <alignment horizontal="center"/>
    </xf>
    <xf numFmtId="0" fontId="1" fillId="0" borderId="0" xfId="0" applyFont="1" applyFill="1" applyBorder="1" applyAlignment="1">
      <alignment horizontal="center" vertical="center"/>
    </xf>
    <xf numFmtId="0" fontId="1" fillId="0" borderId="0" xfId="16" applyFont="1" applyFill="1" applyBorder="1" applyAlignment="1">
      <alignment horizontal="center" vertical="center"/>
    </xf>
    <xf numFmtId="0" fontId="76" fillId="0" borderId="0" xfId="15" applyFill="1" applyBorder="1" applyAlignment="1">
      <alignment horizontal="center" vertical="center"/>
    </xf>
    <xf numFmtId="173" fontId="0" fillId="0" borderId="0" xfId="0" applyNumberFormat="1" applyFill="1" applyBorder="1" applyAlignment="1">
      <alignment horizontal="center"/>
    </xf>
    <xf numFmtId="0" fontId="77" fillId="0" borderId="0" xfId="16" applyFill="1" applyBorder="1" applyAlignment="1">
      <alignment horizontal="center" vertical="center"/>
    </xf>
    <xf numFmtId="0" fontId="41" fillId="0" borderId="0" xfId="0" applyFont="1" applyFill="1" applyBorder="1" applyAlignment="1">
      <alignment vertical="center" wrapText="1"/>
    </xf>
    <xf numFmtId="0" fontId="78" fillId="0" borderId="0" xfId="4" applyFont="1" applyFill="1" applyBorder="1" applyAlignment="1">
      <alignment vertical="center"/>
    </xf>
    <xf numFmtId="0" fontId="3" fillId="21" borderId="65" xfId="0" applyFont="1" applyFill="1" applyBorder="1" applyAlignment="1">
      <alignment horizontal="center" vertical="center"/>
    </xf>
    <xf numFmtId="0" fontId="0" fillId="10" borderId="65" xfId="0" applyFill="1" applyBorder="1" applyAlignment="1">
      <alignment horizontal="center" vertical="center"/>
    </xf>
    <xf numFmtId="0" fontId="0" fillId="10" borderId="179" xfId="0" applyFill="1" applyBorder="1" applyAlignment="1">
      <alignment horizontal="left" vertical="center"/>
    </xf>
    <xf numFmtId="0" fontId="0" fillId="10" borderId="116" xfId="0" applyFill="1" applyBorder="1" applyAlignment="1">
      <alignment vertical="center"/>
    </xf>
    <xf numFmtId="0" fontId="0" fillId="11" borderId="64" xfId="0" applyFill="1" applyBorder="1" applyAlignment="1">
      <alignment horizontal="left" vertical="center"/>
    </xf>
    <xf numFmtId="0" fontId="0" fillId="11" borderId="106" xfId="0" applyFill="1" applyBorder="1" applyAlignment="1">
      <alignment horizontal="left" vertical="center"/>
    </xf>
    <xf numFmtId="0" fontId="0" fillId="11" borderId="107" xfId="0" applyFill="1" applyBorder="1" applyAlignment="1">
      <alignment vertical="center"/>
    </xf>
    <xf numFmtId="0" fontId="0" fillId="11" borderId="109" xfId="0" applyFill="1" applyBorder="1" applyAlignment="1">
      <alignment horizontal="left" vertical="center"/>
    </xf>
    <xf numFmtId="0" fontId="0" fillId="11" borderId="111" xfId="0" applyFill="1" applyBorder="1" applyAlignment="1">
      <alignment horizontal="left" vertical="center"/>
    </xf>
    <xf numFmtId="0" fontId="0" fillId="11" borderId="112" xfId="0" applyFill="1" applyBorder="1" applyAlignment="1">
      <alignment vertical="center"/>
    </xf>
    <xf numFmtId="0" fontId="0" fillId="31" borderId="113" xfId="0" applyFill="1" applyBorder="1" applyAlignment="1">
      <alignment vertical="center"/>
    </xf>
    <xf numFmtId="0" fontId="0" fillId="19" borderId="113" xfId="0" applyFill="1" applyBorder="1" applyAlignment="1">
      <alignment vertical="center"/>
    </xf>
    <xf numFmtId="0" fontId="0" fillId="19" borderId="115" xfId="0" applyFill="1" applyBorder="1" applyAlignment="1">
      <alignment vertical="center"/>
    </xf>
    <xf numFmtId="0" fontId="0" fillId="3" borderId="113" xfId="0" applyFill="1" applyBorder="1" applyAlignment="1">
      <alignment vertical="center"/>
    </xf>
    <xf numFmtId="0" fontId="0" fillId="11" borderId="108" xfId="0" applyFill="1" applyBorder="1" applyAlignment="1">
      <alignment vertical="center"/>
    </xf>
    <xf numFmtId="0" fontId="0" fillId="11" borderId="110" xfId="0" applyFill="1" applyBorder="1" applyAlignment="1">
      <alignment vertical="center"/>
    </xf>
    <xf numFmtId="0" fontId="0" fillId="11" borderId="113" xfId="0" applyFill="1" applyBorder="1" applyAlignment="1">
      <alignment vertical="center"/>
    </xf>
    <xf numFmtId="0" fontId="0" fillId="11" borderId="115" xfId="0" applyFill="1" applyBorder="1" applyAlignment="1">
      <alignment vertical="center"/>
    </xf>
    <xf numFmtId="0" fontId="0" fillId="10" borderId="115" xfId="0" applyFill="1" applyBorder="1" applyAlignment="1">
      <alignment vertical="center"/>
    </xf>
    <xf numFmtId="0" fontId="0" fillId="21" borderId="0" xfId="0" applyFont="1" applyFill="1" applyAlignment="1">
      <alignment vertical="center" wrapText="1"/>
    </xf>
    <xf numFmtId="0" fontId="0" fillId="12" borderId="0" xfId="0" applyFill="1" applyAlignment="1">
      <alignment horizontal="left" vertical="center" wrapText="1"/>
    </xf>
    <xf numFmtId="0" fontId="0" fillId="12" borderId="0" xfId="0" applyFill="1" applyAlignment="1">
      <alignment horizontal="left" wrapText="1"/>
    </xf>
    <xf numFmtId="0" fontId="0" fillId="12" borderId="0" xfId="0" applyFont="1" applyFill="1" applyAlignment="1">
      <alignment horizontal="left" wrapText="1"/>
    </xf>
    <xf numFmtId="0" fontId="0" fillId="20" borderId="65" xfId="0" applyFill="1" applyBorder="1" applyAlignment="1">
      <alignment horizontal="center" vertical="center"/>
    </xf>
    <xf numFmtId="0" fontId="0" fillId="20" borderId="60" xfId="0" applyFill="1" applyBorder="1" applyAlignment="1">
      <alignment horizontal="center" vertical="center"/>
    </xf>
    <xf numFmtId="167" fontId="0" fillId="21" borderId="0" xfId="0" applyNumberFormat="1" applyFill="1" applyBorder="1" applyAlignment="1">
      <alignment horizontal="center" vertical="center" wrapText="1"/>
    </xf>
    <xf numFmtId="0" fontId="67" fillId="21" borderId="0" xfId="1" applyNumberFormat="1" applyFont="1" applyFill="1" applyBorder="1" applyAlignment="1">
      <alignment horizontal="center" vertical="center"/>
    </xf>
    <xf numFmtId="0" fontId="19" fillId="20" borderId="0" xfId="0" applyFont="1" applyFill="1" applyBorder="1" applyAlignment="1">
      <alignment horizontal="left" vertical="center"/>
    </xf>
    <xf numFmtId="0" fontId="3" fillId="20" borderId="114" xfId="0" applyFont="1" applyFill="1" applyBorder="1" applyAlignment="1">
      <alignment horizontal="center" vertical="center"/>
    </xf>
    <xf numFmtId="0" fontId="3" fillId="20" borderId="115" xfId="0" applyFont="1" applyFill="1" applyBorder="1" applyAlignment="1">
      <alignment horizontal="center" vertical="center"/>
    </xf>
    <xf numFmtId="0" fontId="3" fillId="20" borderId="3" xfId="0" applyFont="1" applyFill="1" applyBorder="1" applyAlignment="1">
      <alignment horizontal="center" vertical="center"/>
    </xf>
    <xf numFmtId="0" fontId="3" fillId="20" borderId="2" xfId="0" applyFont="1" applyFill="1" applyBorder="1" applyAlignment="1">
      <alignment horizontal="center" vertical="center"/>
    </xf>
    <xf numFmtId="0" fontId="3" fillId="20" borderId="1" xfId="0" applyFont="1" applyFill="1" applyBorder="1" applyAlignment="1">
      <alignment horizontal="center" vertical="center"/>
    </xf>
    <xf numFmtId="0" fontId="53" fillId="20" borderId="3" xfId="0" applyFont="1" applyFill="1" applyBorder="1" applyAlignment="1">
      <alignment horizontal="center" vertical="center"/>
    </xf>
    <xf numFmtId="0" fontId="53" fillId="20" borderId="1" xfId="0" applyFont="1" applyFill="1" applyBorder="1" applyAlignment="1">
      <alignment horizontal="center" vertical="center"/>
    </xf>
    <xf numFmtId="0" fontId="0" fillId="31" borderId="169" xfId="0" applyFill="1" applyBorder="1" applyAlignment="1">
      <alignment horizontal="center" vertical="center"/>
    </xf>
    <xf numFmtId="0" fontId="0" fillId="31" borderId="23" xfId="0" applyFill="1" applyBorder="1" applyAlignment="1">
      <alignment horizontal="center" vertical="center"/>
    </xf>
    <xf numFmtId="0" fontId="0" fillId="31" borderId="151" xfId="0" applyFill="1" applyBorder="1" applyAlignment="1">
      <alignment horizontal="center" vertical="center"/>
    </xf>
    <xf numFmtId="0" fontId="0" fillId="31" borderId="26" xfId="0" applyFill="1" applyBorder="1" applyAlignment="1">
      <alignment horizontal="center" vertical="center"/>
    </xf>
    <xf numFmtId="0" fontId="0" fillId="31" borderId="111" xfId="0" applyFill="1" applyBorder="1" applyAlignment="1">
      <alignment horizontal="center" vertical="center"/>
    </xf>
    <xf numFmtId="0" fontId="0" fillId="31" borderId="177" xfId="0" applyFill="1" applyBorder="1" applyAlignment="1">
      <alignment horizontal="center" vertical="center"/>
    </xf>
    <xf numFmtId="0" fontId="53" fillId="12" borderId="66" xfId="0" applyFont="1" applyFill="1" applyBorder="1" applyAlignment="1" applyProtection="1">
      <alignment horizontal="center" vertical="center"/>
      <protection locked="0"/>
    </xf>
    <xf numFmtId="0" fontId="53" fillId="12" borderId="18" xfId="0" applyFont="1" applyFill="1" applyBorder="1" applyAlignment="1" applyProtection="1">
      <alignment horizontal="center" vertical="center"/>
      <protection locked="0"/>
    </xf>
    <xf numFmtId="0" fontId="53" fillId="12" borderId="175" xfId="0" applyFont="1" applyFill="1" applyBorder="1" applyAlignment="1" applyProtection="1">
      <alignment horizontal="center" vertical="center"/>
      <protection locked="0"/>
    </xf>
    <xf numFmtId="0" fontId="53" fillId="12" borderId="140" xfId="0" applyFont="1" applyFill="1" applyBorder="1" applyAlignment="1" applyProtection="1">
      <alignment horizontal="center" vertical="center"/>
      <protection locked="0"/>
    </xf>
    <xf numFmtId="0" fontId="53" fillId="12" borderId="172" xfId="0" applyFont="1" applyFill="1" applyBorder="1" applyAlignment="1" applyProtection="1">
      <alignment horizontal="center" vertical="center"/>
      <protection locked="0"/>
    </xf>
    <xf numFmtId="0" fontId="53" fillId="12" borderId="174" xfId="0" applyFont="1" applyFill="1" applyBorder="1" applyAlignment="1" applyProtection="1">
      <alignment horizontal="center" vertical="center"/>
      <protection locked="0"/>
    </xf>
    <xf numFmtId="0" fontId="53" fillId="12" borderId="24" xfId="0" applyFont="1" applyFill="1" applyBorder="1" applyAlignment="1" applyProtection="1">
      <alignment horizontal="center" vertical="center"/>
      <protection locked="0"/>
    </xf>
    <xf numFmtId="0" fontId="53" fillId="12" borderId="0" xfId="0" applyFont="1" applyFill="1" applyBorder="1" applyAlignment="1" applyProtection="1">
      <alignment horizontal="center" vertical="center"/>
      <protection locked="0"/>
    </xf>
    <xf numFmtId="0" fontId="53" fillId="12" borderId="110" xfId="0" applyFont="1" applyFill="1" applyBorder="1" applyAlignment="1" applyProtection="1">
      <alignment horizontal="center" vertical="center"/>
      <protection locked="0"/>
    </xf>
    <xf numFmtId="0" fontId="53" fillId="12" borderId="67" xfId="0" applyFont="1" applyFill="1" applyBorder="1" applyAlignment="1" applyProtection="1">
      <alignment horizontal="center" vertical="center"/>
      <protection locked="0"/>
    </xf>
    <xf numFmtId="0" fontId="53" fillId="12" borderId="17" xfId="0" applyFont="1" applyFill="1" applyBorder="1" applyAlignment="1" applyProtection="1">
      <alignment horizontal="center" vertical="center"/>
      <protection locked="0"/>
    </xf>
    <xf numFmtId="0" fontId="53" fillId="12" borderId="142" xfId="0" applyFont="1" applyFill="1" applyBorder="1" applyAlignment="1" applyProtection="1">
      <alignment horizontal="center" vertical="center"/>
      <protection locked="0"/>
    </xf>
    <xf numFmtId="0" fontId="53" fillId="12" borderId="23" xfId="0" applyFont="1" applyFill="1" applyBorder="1" applyAlignment="1" applyProtection="1">
      <alignment horizontal="center" vertical="center"/>
      <protection locked="0"/>
    </xf>
    <xf numFmtId="0" fontId="3" fillId="31" borderId="178" xfId="0" applyFont="1" applyFill="1" applyBorder="1" applyAlignment="1">
      <alignment horizontal="center" vertical="center"/>
    </xf>
    <xf numFmtId="0" fontId="3" fillId="31" borderId="177" xfId="0" applyFont="1" applyFill="1" applyBorder="1" applyAlignment="1">
      <alignment horizontal="center" vertical="center"/>
    </xf>
    <xf numFmtId="0" fontId="0" fillId="19" borderId="151" xfId="0" applyFill="1" applyBorder="1" applyAlignment="1">
      <alignment horizontal="center" vertical="center"/>
    </xf>
    <xf numFmtId="0" fontId="0" fillId="19" borderId="26" xfId="0" applyFill="1" applyBorder="1" applyAlignment="1">
      <alignment horizontal="center" vertical="center"/>
    </xf>
    <xf numFmtId="0" fontId="0" fillId="19" borderId="158" xfId="0" applyFill="1" applyBorder="1" applyAlignment="1">
      <alignment horizontal="center" vertical="center"/>
    </xf>
    <xf numFmtId="0" fontId="0" fillId="19" borderId="60" xfId="0" applyFill="1" applyBorder="1" applyAlignment="1">
      <alignment horizontal="center" vertical="center"/>
    </xf>
    <xf numFmtId="0" fontId="0" fillId="3" borderId="151" xfId="0" applyFill="1" applyBorder="1" applyAlignment="1">
      <alignment horizontal="center" vertical="center"/>
    </xf>
    <xf numFmtId="0" fontId="0" fillId="3" borderId="26" xfId="0" applyFill="1" applyBorder="1" applyAlignment="1">
      <alignment horizontal="center" vertical="center"/>
    </xf>
    <xf numFmtId="0" fontId="0" fillId="19" borderId="169" xfId="0" applyFill="1" applyBorder="1" applyAlignment="1">
      <alignment horizontal="center" vertical="center"/>
    </xf>
    <xf numFmtId="0" fontId="0" fillId="19" borderId="23" xfId="0" applyFill="1" applyBorder="1" applyAlignment="1">
      <alignment horizontal="center" vertical="center"/>
    </xf>
    <xf numFmtId="0" fontId="3" fillId="19" borderId="67" xfId="0" applyFont="1" applyFill="1" applyBorder="1" applyAlignment="1">
      <alignment horizontal="center" vertical="center"/>
    </xf>
    <xf numFmtId="0" fontId="3" fillId="19" borderId="26" xfId="0" applyFont="1" applyFill="1" applyBorder="1" applyAlignment="1">
      <alignment horizontal="center" vertical="center"/>
    </xf>
    <xf numFmtId="0" fontId="3" fillId="19" borderId="24" xfId="0" applyFont="1" applyFill="1" applyBorder="1" applyAlignment="1">
      <alignment horizontal="center" vertical="center"/>
    </xf>
    <xf numFmtId="0" fontId="3" fillId="19" borderId="25" xfId="0" applyFont="1" applyFill="1" applyBorder="1" applyAlignment="1">
      <alignment horizontal="center" vertical="center"/>
    </xf>
    <xf numFmtId="0" fontId="3" fillId="31" borderId="67" xfId="0" applyFont="1" applyFill="1" applyBorder="1" applyAlignment="1">
      <alignment horizontal="center" vertical="center"/>
    </xf>
    <xf numFmtId="0" fontId="3" fillId="31" borderId="26" xfId="0" applyFont="1" applyFill="1" applyBorder="1" applyAlignment="1">
      <alignment horizontal="center" vertical="center"/>
    </xf>
    <xf numFmtId="0" fontId="3" fillId="31" borderId="66" xfId="0" applyFont="1" applyFill="1" applyBorder="1" applyAlignment="1">
      <alignment horizontal="center" vertical="center"/>
    </xf>
    <xf numFmtId="0" fontId="3" fillId="31" borderId="23" xfId="0" applyFont="1" applyFill="1" applyBorder="1" applyAlignment="1">
      <alignment horizontal="center" vertical="center"/>
    </xf>
    <xf numFmtId="0" fontId="3" fillId="31" borderId="24" xfId="0" applyFont="1" applyFill="1" applyBorder="1" applyAlignment="1">
      <alignment horizontal="center" vertical="center"/>
    </xf>
    <xf numFmtId="0" fontId="3" fillId="31" borderId="25" xfId="0" applyFont="1" applyFill="1" applyBorder="1" applyAlignment="1">
      <alignment horizontal="center" vertical="center"/>
    </xf>
    <xf numFmtId="0" fontId="0" fillId="19" borderId="109" xfId="0" applyFill="1" applyBorder="1" applyAlignment="1">
      <alignment horizontal="center" vertical="center"/>
    </xf>
    <xf numFmtId="0" fontId="0" fillId="19" borderId="25" xfId="0" applyFill="1" applyBorder="1" applyAlignment="1">
      <alignment horizontal="center" vertical="center"/>
    </xf>
    <xf numFmtId="0" fontId="3" fillId="11" borderId="24" xfId="0" applyFont="1" applyFill="1" applyBorder="1" applyAlignment="1">
      <alignment horizontal="center" vertical="center"/>
    </xf>
    <xf numFmtId="0" fontId="3" fillId="11" borderId="25" xfId="0" applyFont="1" applyFill="1" applyBorder="1" applyAlignment="1">
      <alignment horizontal="center" vertical="center"/>
    </xf>
    <xf numFmtId="0" fontId="3" fillId="11" borderId="67" xfId="0" applyFont="1" applyFill="1" applyBorder="1" applyAlignment="1">
      <alignment horizontal="center" vertical="center"/>
    </xf>
    <xf numFmtId="0" fontId="3" fillId="11" borderId="26" xfId="0" applyFont="1" applyFill="1" applyBorder="1" applyAlignment="1">
      <alignment horizontal="center" vertical="center"/>
    </xf>
    <xf numFmtId="0" fontId="3" fillId="11" borderId="65" xfId="0" applyFont="1" applyFill="1" applyBorder="1" applyAlignment="1">
      <alignment horizontal="center" vertical="center"/>
    </xf>
    <xf numFmtId="0" fontId="3" fillId="11" borderId="60" xfId="0" applyFont="1" applyFill="1" applyBorder="1" applyAlignment="1">
      <alignment horizontal="center" vertical="center"/>
    </xf>
    <xf numFmtId="0" fontId="0" fillId="3" borderId="109" xfId="0" applyFill="1" applyBorder="1" applyAlignment="1">
      <alignment horizontal="center" vertical="center"/>
    </xf>
    <xf numFmtId="0" fontId="0" fillId="3" borderId="25" xfId="0" applyFill="1" applyBorder="1" applyAlignment="1">
      <alignment horizontal="center" vertical="center"/>
    </xf>
    <xf numFmtId="0" fontId="0" fillId="3" borderId="169" xfId="0" applyFill="1" applyBorder="1" applyAlignment="1">
      <alignment horizontal="center" vertical="center"/>
    </xf>
    <xf numFmtId="0" fontId="0" fillId="3" borderId="23" xfId="0" applyFill="1" applyBorder="1" applyAlignment="1">
      <alignment horizontal="center" vertical="center"/>
    </xf>
    <xf numFmtId="0" fontId="53" fillId="12" borderId="65" xfId="0" applyFont="1" applyFill="1" applyBorder="1" applyAlignment="1" applyProtection="1">
      <alignment horizontal="center" vertical="center"/>
      <protection locked="0"/>
    </xf>
    <xf numFmtId="0" fontId="53" fillId="12" borderId="58" xfId="0" applyFont="1" applyFill="1" applyBorder="1" applyAlignment="1" applyProtection="1">
      <alignment horizontal="center" vertical="center"/>
      <protection locked="0"/>
    </xf>
    <xf numFmtId="0" fontId="53" fillId="12" borderId="176" xfId="0" applyFont="1" applyFill="1" applyBorder="1" applyAlignment="1" applyProtection="1">
      <alignment horizontal="center" vertical="center"/>
      <protection locked="0"/>
    </xf>
    <xf numFmtId="0" fontId="0" fillId="4" borderId="0" xfId="0" applyFill="1" applyAlignment="1">
      <alignment horizontal="center" vertical="center"/>
    </xf>
    <xf numFmtId="0" fontId="0" fillId="11" borderId="151" xfId="0" applyFill="1" applyBorder="1" applyAlignment="1">
      <alignment horizontal="center" vertical="center"/>
    </xf>
    <xf numFmtId="0" fontId="0" fillId="11" borderId="26" xfId="0" applyFill="1" applyBorder="1" applyAlignment="1">
      <alignment horizontal="center" vertical="center"/>
    </xf>
    <xf numFmtId="0" fontId="32" fillId="27" borderId="12" xfId="0" applyFont="1" applyFill="1" applyBorder="1" applyAlignment="1">
      <alignment horizontal="center" vertical="center" textRotation="90"/>
    </xf>
    <xf numFmtId="0" fontId="32" fillId="27" borderId="9" xfId="0" applyFont="1" applyFill="1" applyBorder="1" applyAlignment="1">
      <alignment horizontal="center" vertical="center" textRotation="90"/>
    </xf>
    <xf numFmtId="0" fontId="32" fillId="27" borderId="7" xfId="0" applyFont="1" applyFill="1" applyBorder="1" applyAlignment="1">
      <alignment horizontal="center" vertical="center" textRotation="90"/>
    </xf>
    <xf numFmtId="0" fontId="3" fillId="3" borderId="67" xfId="0" applyFont="1" applyFill="1" applyBorder="1" applyAlignment="1">
      <alignment horizontal="center" vertical="center"/>
    </xf>
    <xf numFmtId="0" fontId="3" fillId="3" borderId="26" xfId="0" applyFont="1" applyFill="1" applyBorder="1" applyAlignment="1">
      <alignment horizontal="center" vertical="center"/>
    </xf>
    <xf numFmtId="0" fontId="3" fillId="3" borderId="24" xfId="0" applyFont="1" applyFill="1" applyBorder="1" applyAlignment="1">
      <alignment horizontal="center" vertical="center"/>
    </xf>
    <xf numFmtId="0" fontId="3" fillId="3" borderId="25" xfId="0" applyFont="1" applyFill="1" applyBorder="1" applyAlignment="1">
      <alignment horizontal="center" vertical="center"/>
    </xf>
    <xf numFmtId="0" fontId="3" fillId="3" borderId="66" xfId="0" applyFont="1" applyFill="1" applyBorder="1" applyAlignment="1">
      <alignment horizontal="center" vertical="center"/>
    </xf>
    <xf numFmtId="0" fontId="3" fillId="3" borderId="23" xfId="0" applyFont="1" applyFill="1" applyBorder="1" applyAlignment="1">
      <alignment horizontal="center" vertical="center"/>
    </xf>
    <xf numFmtId="0" fontId="21" fillId="21" borderId="0" xfId="0" applyFont="1" applyFill="1" applyBorder="1" applyAlignment="1">
      <alignment horizontal="left" vertical="center"/>
    </xf>
    <xf numFmtId="0" fontId="3" fillId="21" borderId="114" xfId="0" applyFont="1" applyFill="1" applyBorder="1" applyAlignment="1">
      <alignment horizontal="center" vertical="center"/>
    </xf>
    <xf numFmtId="0" fontId="3" fillId="21" borderId="116" xfId="0" applyFont="1" applyFill="1" applyBorder="1" applyAlignment="1">
      <alignment horizontal="center" vertical="center"/>
    </xf>
    <xf numFmtId="0" fontId="3" fillId="21" borderId="115" xfId="0" applyFont="1" applyFill="1" applyBorder="1" applyAlignment="1">
      <alignment horizontal="center" vertical="center"/>
    </xf>
    <xf numFmtId="0" fontId="0" fillId="21" borderId="106" xfId="0" applyFill="1" applyBorder="1" applyAlignment="1">
      <alignment horizontal="center" vertical="center"/>
    </xf>
    <xf numFmtId="0" fontId="0" fillId="21" borderId="108" xfId="0" applyFill="1" applyBorder="1" applyAlignment="1">
      <alignment horizontal="center" vertical="center"/>
    </xf>
    <xf numFmtId="0" fontId="3" fillId="21" borderId="18" xfId="0" applyFont="1" applyFill="1" applyBorder="1" applyAlignment="1">
      <alignment horizontal="center" vertical="center"/>
    </xf>
    <xf numFmtId="0" fontId="3" fillId="21" borderId="23" xfId="0" applyFont="1" applyFill="1" applyBorder="1" applyAlignment="1">
      <alignment horizontal="center" vertical="center"/>
    </xf>
    <xf numFmtId="0" fontId="0" fillId="11" borderId="109" xfId="0" applyFill="1" applyBorder="1" applyAlignment="1">
      <alignment horizontal="center" vertical="center"/>
    </xf>
    <xf numFmtId="0" fontId="0" fillId="11" borderId="25" xfId="0" applyFill="1" applyBorder="1" applyAlignment="1">
      <alignment horizontal="center" vertical="center"/>
    </xf>
    <xf numFmtId="0" fontId="0" fillId="11" borderId="169" xfId="0" applyFill="1" applyBorder="1" applyAlignment="1">
      <alignment horizontal="center" vertical="center"/>
    </xf>
    <xf numFmtId="0" fontId="0" fillId="11" borderId="23" xfId="0" applyFill="1" applyBorder="1" applyAlignment="1">
      <alignment horizontal="center" vertical="center"/>
    </xf>
    <xf numFmtId="0" fontId="0" fillId="10" borderId="173" xfId="0" applyFill="1" applyBorder="1" applyAlignment="1">
      <alignment horizontal="center" vertical="center"/>
    </xf>
    <xf numFmtId="0" fontId="0" fillId="10" borderId="141" xfId="0" applyFill="1" applyBorder="1" applyAlignment="1">
      <alignment horizontal="center" vertical="center"/>
    </xf>
    <xf numFmtId="0" fontId="19" fillId="3" borderId="11"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5" xfId="0" applyFont="1" applyFill="1" applyBorder="1" applyAlignment="1">
      <alignment horizontal="center" vertical="center"/>
    </xf>
    <xf numFmtId="0" fontId="19" fillId="3" borderId="6" xfId="0" applyFont="1" applyFill="1" applyBorder="1" applyAlignment="1">
      <alignment horizontal="center" vertical="center"/>
    </xf>
    <xf numFmtId="0" fontId="19" fillId="3" borderId="5" xfId="0" applyFont="1" applyFill="1" applyBorder="1" applyAlignment="1">
      <alignment horizontal="center" vertical="center"/>
    </xf>
    <xf numFmtId="0" fontId="19" fillId="3" borderId="13" xfId="0" applyFont="1" applyFill="1" applyBorder="1" applyAlignment="1">
      <alignment horizontal="center" vertical="center"/>
    </xf>
    <xf numFmtId="0" fontId="0" fillId="11" borderId="3" xfId="0" applyFill="1" applyBorder="1" applyAlignment="1">
      <alignment horizontal="center" vertical="center"/>
    </xf>
    <xf numFmtId="0" fontId="0" fillId="11" borderId="2" xfId="0" applyFill="1" applyBorder="1" applyAlignment="1">
      <alignment horizontal="center" vertical="center"/>
    </xf>
    <xf numFmtId="0" fontId="0" fillId="10" borderId="3" xfId="0" applyFill="1" applyBorder="1" applyAlignment="1">
      <alignment horizontal="center" vertical="center"/>
    </xf>
    <xf numFmtId="0" fontId="0" fillId="10" borderId="2" xfId="0" applyFill="1" applyBorder="1" applyAlignment="1">
      <alignment horizontal="center" vertical="center"/>
    </xf>
    <xf numFmtId="0" fontId="0" fillId="12" borderId="3" xfId="0" applyFill="1" applyBorder="1" applyAlignment="1" applyProtection="1">
      <alignment horizontal="center" vertical="center"/>
      <protection locked="0"/>
    </xf>
    <xf numFmtId="0" fontId="0" fillId="12" borderId="1" xfId="0" applyFill="1" applyBorder="1" applyAlignment="1" applyProtection="1">
      <alignment horizontal="center" vertical="center"/>
      <protection locked="0"/>
    </xf>
    <xf numFmtId="0" fontId="3" fillId="10" borderId="140" xfId="0" applyFont="1" applyFill="1" applyBorder="1" applyAlignment="1">
      <alignment horizontal="center" vertical="center"/>
    </xf>
    <xf numFmtId="0" fontId="3" fillId="10" borderId="141" xfId="0" applyFont="1" applyFill="1" applyBorder="1" applyAlignment="1">
      <alignment horizontal="center" vertical="center"/>
    </xf>
    <xf numFmtId="0" fontId="3" fillId="11" borderId="66" xfId="0" applyFont="1" applyFill="1" applyBorder="1" applyAlignment="1">
      <alignment horizontal="center" vertical="center"/>
    </xf>
    <xf numFmtId="0" fontId="3" fillId="11" borderId="23" xfId="0" applyFont="1" applyFill="1" applyBorder="1" applyAlignment="1">
      <alignment horizontal="center" vertical="center"/>
    </xf>
    <xf numFmtId="0" fontId="0" fillId="27" borderId="3" xfId="0" applyFill="1" applyBorder="1" applyAlignment="1">
      <alignment horizontal="center" vertical="center"/>
    </xf>
    <xf numFmtId="0" fontId="0" fillId="27" borderId="1" xfId="0" applyFill="1" applyBorder="1" applyAlignment="1">
      <alignment horizontal="center" vertical="center"/>
    </xf>
    <xf numFmtId="0" fontId="0" fillId="3" borderId="3" xfId="0" applyFill="1" applyBorder="1" applyAlignment="1">
      <alignment horizontal="center" vertical="center"/>
    </xf>
    <xf numFmtId="0" fontId="0" fillId="3" borderId="1" xfId="0" applyFill="1" applyBorder="1" applyAlignment="1">
      <alignment horizontal="center" vertical="center"/>
    </xf>
    <xf numFmtId="0" fontId="19" fillId="19" borderId="11" xfId="0" applyFont="1" applyFill="1" applyBorder="1" applyAlignment="1">
      <alignment horizontal="center" vertical="center"/>
    </xf>
    <xf numFmtId="0" fontId="19" fillId="19" borderId="10" xfId="0" applyFont="1" applyFill="1" applyBorder="1" applyAlignment="1">
      <alignment horizontal="center" vertical="center"/>
    </xf>
    <xf numFmtId="0" fontId="19" fillId="19" borderId="15" xfId="0" applyFont="1" applyFill="1" applyBorder="1" applyAlignment="1">
      <alignment horizontal="center" vertical="center"/>
    </xf>
    <xf numFmtId="0" fontId="19" fillId="19" borderId="6" xfId="0" applyFont="1" applyFill="1" applyBorder="1" applyAlignment="1">
      <alignment horizontal="center" vertical="center"/>
    </xf>
    <xf numFmtId="0" fontId="19" fillId="19" borderId="5" xfId="0" applyFont="1" applyFill="1" applyBorder="1" applyAlignment="1">
      <alignment horizontal="center" vertical="center"/>
    </xf>
    <xf numFmtId="0" fontId="19" fillId="19" borderId="13" xfId="0" applyFont="1" applyFill="1" applyBorder="1" applyAlignment="1">
      <alignment horizontal="center" vertical="center"/>
    </xf>
    <xf numFmtId="0" fontId="40" fillId="18" borderId="0" xfId="0" applyFont="1" applyFill="1" applyAlignment="1">
      <alignment horizontal="left" vertical="center"/>
    </xf>
    <xf numFmtId="0" fontId="32" fillId="19" borderId="12" xfId="0" applyFont="1" applyFill="1" applyBorder="1" applyAlignment="1">
      <alignment horizontal="center" vertical="center" textRotation="90"/>
    </xf>
    <xf numFmtId="0" fontId="32" fillId="19" borderId="9" xfId="0" applyFont="1" applyFill="1" applyBorder="1" applyAlignment="1">
      <alignment horizontal="center" vertical="center" textRotation="90"/>
    </xf>
    <xf numFmtId="0" fontId="32" fillId="19" borderId="7" xfId="0" applyFont="1" applyFill="1" applyBorder="1" applyAlignment="1">
      <alignment horizontal="center" vertical="center" textRotation="90"/>
    </xf>
    <xf numFmtId="0" fontId="2" fillId="18" borderId="0" xfId="0" applyFont="1" applyFill="1" applyAlignment="1">
      <alignment horizontal="center" vertical="center"/>
    </xf>
    <xf numFmtId="0" fontId="19" fillId="11" borderId="11" xfId="0" applyFont="1" applyFill="1" applyBorder="1" applyAlignment="1">
      <alignment horizontal="center" vertical="center"/>
    </xf>
    <xf numFmtId="0" fontId="19" fillId="11" borderId="10" xfId="0" applyFont="1" applyFill="1" applyBorder="1" applyAlignment="1">
      <alignment horizontal="center" vertical="center"/>
    </xf>
    <xf numFmtId="0" fontId="19" fillId="11" borderId="15" xfId="0" applyFont="1" applyFill="1" applyBorder="1" applyAlignment="1">
      <alignment horizontal="center" vertical="center"/>
    </xf>
    <xf numFmtId="0" fontId="19" fillId="11" borderId="6" xfId="0" applyFont="1" applyFill="1" applyBorder="1" applyAlignment="1">
      <alignment horizontal="center" vertical="center"/>
    </xf>
    <xf numFmtId="0" fontId="19" fillId="11" borderId="5" xfId="0" applyFont="1" applyFill="1" applyBorder="1" applyAlignment="1">
      <alignment horizontal="center" vertical="center"/>
    </xf>
    <xf numFmtId="0" fontId="19" fillId="11" borderId="13" xfId="0" applyFont="1" applyFill="1" applyBorder="1" applyAlignment="1">
      <alignment horizontal="center" vertical="center"/>
    </xf>
    <xf numFmtId="0" fontId="35" fillId="19" borderId="11" xfId="0" applyFont="1" applyFill="1" applyBorder="1" applyAlignment="1">
      <alignment horizontal="center" vertical="center"/>
    </xf>
    <xf numFmtId="0" fontId="35" fillId="19" borderId="10" xfId="0" applyFont="1" applyFill="1" applyBorder="1" applyAlignment="1">
      <alignment horizontal="center" vertical="center"/>
    </xf>
    <xf numFmtId="0" fontId="35" fillId="19" borderId="15" xfId="0" applyFont="1" applyFill="1" applyBorder="1" applyAlignment="1">
      <alignment horizontal="center" vertical="center"/>
    </xf>
    <xf numFmtId="0" fontId="35" fillId="19" borderId="6" xfId="0" applyFont="1" applyFill="1" applyBorder="1" applyAlignment="1">
      <alignment horizontal="center" vertical="center"/>
    </xf>
    <xf numFmtId="0" fontId="35" fillId="19" borderId="5" xfId="0" applyFont="1" applyFill="1" applyBorder="1" applyAlignment="1">
      <alignment horizontal="center" vertical="center"/>
    </xf>
    <xf numFmtId="0" fontId="35" fillId="19" borderId="13" xfId="0" applyFont="1" applyFill="1" applyBorder="1" applyAlignment="1">
      <alignment horizontal="center" vertical="center"/>
    </xf>
    <xf numFmtId="0" fontId="19" fillId="10" borderId="11" xfId="0" applyFont="1" applyFill="1" applyBorder="1" applyAlignment="1">
      <alignment horizontal="center" vertical="center"/>
    </xf>
    <xf numFmtId="0" fontId="19" fillId="10" borderId="10" xfId="0" applyFont="1" applyFill="1" applyBorder="1" applyAlignment="1">
      <alignment horizontal="center" vertical="center"/>
    </xf>
    <xf numFmtId="0" fontId="19" fillId="10" borderId="15" xfId="0" applyFont="1" applyFill="1" applyBorder="1" applyAlignment="1">
      <alignment horizontal="center" vertical="center"/>
    </xf>
    <xf numFmtId="0" fontId="19" fillId="10" borderId="6" xfId="0" applyFont="1" applyFill="1" applyBorder="1" applyAlignment="1">
      <alignment horizontal="center" vertical="center"/>
    </xf>
    <xf numFmtId="0" fontId="19" fillId="10" borderId="5" xfId="0" applyFont="1" applyFill="1" applyBorder="1" applyAlignment="1">
      <alignment horizontal="center" vertical="center"/>
    </xf>
    <xf numFmtId="0" fontId="19" fillId="10" borderId="13" xfId="0" applyFont="1" applyFill="1" applyBorder="1" applyAlignment="1">
      <alignment horizontal="center" vertical="center"/>
    </xf>
    <xf numFmtId="0" fontId="0" fillId="10" borderId="0" xfId="0" applyFill="1" applyBorder="1" applyAlignment="1">
      <alignment horizontal="center" vertical="center"/>
    </xf>
    <xf numFmtId="2" fontId="32" fillId="10" borderId="12" xfId="0" applyNumberFormat="1" applyFont="1" applyFill="1" applyBorder="1" applyAlignment="1">
      <alignment horizontal="center" vertical="center" textRotation="90" wrapText="1"/>
    </xf>
    <xf numFmtId="2" fontId="32" fillId="10" borderId="9" xfId="0" applyNumberFormat="1" applyFont="1" applyFill="1" applyBorder="1" applyAlignment="1">
      <alignment horizontal="center" vertical="center" textRotation="90" wrapText="1"/>
    </xf>
    <xf numFmtId="2" fontId="32" fillId="10" borderId="7" xfId="0" applyNumberFormat="1" applyFont="1" applyFill="1" applyBorder="1" applyAlignment="1">
      <alignment horizontal="center" vertical="center" textRotation="90" wrapText="1"/>
    </xf>
    <xf numFmtId="0" fontId="32" fillId="3" borderId="12" xfId="0" applyFont="1" applyFill="1" applyBorder="1" applyAlignment="1">
      <alignment horizontal="center" vertical="center" textRotation="90"/>
    </xf>
    <xf numFmtId="0" fontId="32" fillId="3" borderId="9" xfId="0" applyFont="1" applyFill="1" applyBorder="1" applyAlignment="1">
      <alignment horizontal="center" vertical="center" textRotation="90"/>
    </xf>
    <xf numFmtId="0" fontId="32" fillId="3" borderId="7" xfId="0" applyFont="1" applyFill="1" applyBorder="1" applyAlignment="1">
      <alignment horizontal="center" vertical="center" textRotation="90"/>
    </xf>
    <xf numFmtId="2" fontId="32" fillId="11" borderId="12" xfId="0" applyNumberFormat="1" applyFont="1" applyFill="1" applyBorder="1" applyAlignment="1">
      <alignment horizontal="center" vertical="center" textRotation="90"/>
    </xf>
    <xf numFmtId="2" fontId="32" fillId="11" borderId="9" xfId="0" applyNumberFormat="1" applyFont="1" applyFill="1" applyBorder="1" applyAlignment="1">
      <alignment horizontal="center" vertical="center" textRotation="90"/>
    </xf>
    <xf numFmtId="2" fontId="32" fillId="11" borderId="7" xfId="0" applyNumberFormat="1" applyFont="1" applyFill="1" applyBorder="1" applyAlignment="1">
      <alignment horizontal="center" vertical="center" textRotation="90"/>
    </xf>
    <xf numFmtId="0" fontId="55" fillId="20" borderId="0" xfId="0" applyFont="1" applyFill="1" applyBorder="1" applyAlignment="1">
      <alignment horizontal="left" vertical="center"/>
    </xf>
    <xf numFmtId="0" fontId="0" fillId="12" borderId="114" xfId="0" applyFont="1" applyFill="1" applyBorder="1" applyAlignment="1" applyProtection="1">
      <alignment horizontal="center" vertical="center"/>
      <protection locked="0"/>
    </xf>
    <xf numFmtId="0" fontId="0" fillId="12" borderId="116" xfId="0" applyFont="1" applyFill="1" applyBorder="1" applyAlignment="1" applyProtection="1">
      <alignment horizontal="center" vertical="center"/>
      <protection locked="0"/>
    </xf>
    <xf numFmtId="0" fontId="0" fillId="12" borderId="115" xfId="0" applyFont="1" applyFill="1" applyBorder="1" applyAlignment="1" applyProtection="1">
      <alignment horizontal="center" vertical="center"/>
      <protection locked="0"/>
    </xf>
    <xf numFmtId="0" fontId="3" fillId="19" borderId="66" xfId="0" applyFont="1" applyFill="1" applyBorder="1" applyAlignment="1">
      <alignment horizontal="center" vertical="center"/>
    </xf>
    <xf numFmtId="0" fontId="3" fillId="19" borderId="23" xfId="0" applyFont="1" applyFill="1" applyBorder="1" applyAlignment="1">
      <alignment horizontal="center" vertical="center"/>
    </xf>
    <xf numFmtId="0" fontId="0" fillId="11" borderId="158" xfId="0" applyFill="1" applyBorder="1" applyAlignment="1">
      <alignment horizontal="center" vertical="center"/>
    </xf>
    <xf numFmtId="0" fontId="0" fillId="11" borderId="60" xfId="0" applyFill="1" applyBorder="1" applyAlignment="1">
      <alignment horizontal="center" vertical="center"/>
    </xf>
    <xf numFmtId="0" fontId="0" fillId="21" borderId="0" xfId="0" applyFill="1" applyAlignment="1">
      <alignment horizontal="left" vertical="center" wrapText="1"/>
    </xf>
    <xf numFmtId="0" fontId="0" fillId="21" borderId="0" xfId="0" applyFont="1" applyFill="1" applyAlignment="1">
      <alignment horizontal="center" vertical="center" wrapText="1"/>
    </xf>
    <xf numFmtId="0" fontId="71" fillId="21" borderId="0" xfId="0" applyFont="1" applyFill="1" applyAlignment="1">
      <alignment horizontal="center" vertical="center"/>
    </xf>
    <xf numFmtId="0" fontId="0" fillId="19" borderId="169" xfId="0" applyFill="1" applyBorder="1" applyAlignment="1">
      <alignment horizontal="center" vertical="center" wrapText="1"/>
    </xf>
    <xf numFmtId="0" fontId="0" fillId="19" borderId="23" xfId="0" applyFill="1" applyBorder="1" applyAlignment="1">
      <alignment horizontal="center" vertical="center" wrapText="1"/>
    </xf>
    <xf numFmtId="0" fontId="0" fillId="19" borderId="109" xfId="0" applyFill="1" applyBorder="1" applyAlignment="1">
      <alignment horizontal="center" vertical="center" wrapText="1"/>
    </xf>
    <xf numFmtId="0" fontId="0" fillId="19" borderId="25" xfId="0" applyFill="1" applyBorder="1" applyAlignment="1">
      <alignment horizontal="center" vertical="center" wrapText="1"/>
    </xf>
    <xf numFmtId="0" fontId="0" fillId="12" borderId="106" xfId="0" applyFont="1" applyFill="1" applyBorder="1" applyAlignment="1" applyProtection="1">
      <alignment horizontal="center" vertical="center"/>
      <protection locked="0"/>
    </xf>
    <xf numFmtId="0" fontId="0" fillId="12" borderId="107" xfId="0" applyFont="1" applyFill="1" applyBorder="1" applyAlignment="1" applyProtection="1">
      <alignment horizontal="center" vertical="center"/>
      <protection locked="0"/>
    </xf>
    <xf numFmtId="0" fontId="0" fillId="12" borderId="108" xfId="0" applyFont="1" applyFill="1" applyBorder="1" applyAlignment="1" applyProtection="1">
      <alignment horizontal="center" vertical="center"/>
      <protection locked="0"/>
    </xf>
    <xf numFmtId="0" fontId="0" fillId="12" borderId="111" xfId="0" applyFont="1" applyFill="1" applyBorder="1" applyAlignment="1" applyProtection="1">
      <alignment horizontal="center" vertical="center"/>
      <protection locked="0"/>
    </xf>
    <xf numFmtId="0" fontId="0" fillId="12" borderId="112" xfId="0" applyFont="1" applyFill="1" applyBorder="1" applyAlignment="1" applyProtection="1">
      <alignment horizontal="center" vertical="center"/>
      <protection locked="0"/>
    </xf>
    <xf numFmtId="0" fontId="0" fillId="12" borderId="113" xfId="0" applyFont="1" applyFill="1" applyBorder="1" applyAlignment="1" applyProtection="1">
      <alignment horizontal="center" vertical="center"/>
      <protection locked="0"/>
    </xf>
    <xf numFmtId="0" fontId="56" fillId="27" borderId="11" xfId="0" applyFont="1" applyFill="1" applyBorder="1" applyAlignment="1">
      <alignment horizontal="center" vertical="center"/>
    </xf>
    <xf numFmtId="0" fontId="56" fillId="27" borderId="10" xfId="0" applyFont="1" applyFill="1" applyBorder="1" applyAlignment="1">
      <alignment horizontal="center" vertical="center"/>
    </xf>
    <xf numFmtId="0" fontId="56" fillId="27" borderId="15" xfId="0" applyFont="1" applyFill="1" applyBorder="1" applyAlignment="1">
      <alignment horizontal="center" vertical="center"/>
    </xf>
    <xf numFmtId="0" fontId="56" fillId="27" borderId="8" xfId="0" applyFont="1" applyFill="1" applyBorder="1" applyAlignment="1">
      <alignment horizontal="center" vertical="center"/>
    </xf>
    <xf numFmtId="0" fontId="56" fillId="27" borderId="0" xfId="0" applyFont="1" applyFill="1" applyBorder="1" applyAlignment="1">
      <alignment horizontal="center" vertical="center"/>
    </xf>
    <xf numFmtId="0" fontId="56" fillId="27" borderId="14" xfId="0" applyFont="1" applyFill="1" applyBorder="1" applyAlignment="1">
      <alignment horizontal="center" vertical="center"/>
    </xf>
    <xf numFmtId="0" fontId="56" fillId="27" borderId="6" xfId="0" applyFont="1" applyFill="1" applyBorder="1" applyAlignment="1">
      <alignment horizontal="center" vertical="center"/>
    </xf>
    <xf numFmtId="0" fontId="56" fillId="27" borderId="5" xfId="0" applyFont="1" applyFill="1" applyBorder="1" applyAlignment="1">
      <alignment horizontal="center" vertical="center"/>
    </xf>
    <xf numFmtId="0" fontId="56" fillId="27" borderId="13" xfId="0" applyFont="1" applyFill="1" applyBorder="1" applyAlignment="1">
      <alignment horizontal="center" vertical="center"/>
    </xf>
    <xf numFmtId="0" fontId="19" fillId="27" borderId="11" xfId="0" applyFont="1" applyFill="1" applyBorder="1" applyAlignment="1">
      <alignment horizontal="center" vertical="center"/>
    </xf>
    <xf numFmtId="0" fontId="19" fillId="27" borderId="10" xfId="0" applyFont="1" applyFill="1" applyBorder="1" applyAlignment="1">
      <alignment horizontal="center" vertical="center"/>
    </xf>
    <xf numFmtId="0" fontId="19" fillId="27" borderId="15" xfId="0" applyFont="1" applyFill="1" applyBorder="1" applyAlignment="1">
      <alignment horizontal="center" vertical="center"/>
    </xf>
    <xf numFmtId="0" fontId="19" fillId="27" borderId="6" xfId="0" applyFont="1" applyFill="1" applyBorder="1" applyAlignment="1">
      <alignment horizontal="center" vertical="center"/>
    </xf>
    <xf numFmtId="0" fontId="19" fillId="27" borderId="5" xfId="0" applyFont="1" applyFill="1" applyBorder="1" applyAlignment="1">
      <alignment horizontal="center" vertical="center"/>
    </xf>
    <xf numFmtId="0" fontId="19" fillId="27" borderId="13" xfId="0" applyFont="1" applyFill="1" applyBorder="1" applyAlignment="1">
      <alignment horizontal="center" vertical="center"/>
    </xf>
    <xf numFmtId="0" fontId="53" fillId="12" borderId="178" xfId="0" applyFont="1" applyFill="1" applyBorder="1" applyAlignment="1" applyProtection="1">
      <alignment horizontal="center" vertical="center"/>
      <protection locked="0"/>
    </xf>
    <xf numFmtId="0" fontId="53" fillId="12" borderId="112" xfId="0" applyFont="1" applyFill="1" applyBorder="1" applyAlignment="1" applyProtection="1">
      <alignment horizontal="center" vertical="center"/>
      <protection locked="0"/>
    </xf>
    <xf numFmtId="0" fontId="53" fillId="12" borderId="113" xfId="0" applyFont="1" applyFill="1" applyBorder="1" applyAlignment="1" applyProtection="1">
      <alignment horizontal="center" vertical="center"/>
      <protection locked="0"/>
    </xf>
    <xf numFmtId="0" fontId="0" fillId="12" borderId="117" xfId="0" applyFill="1" applyBorder="1" applyAlignment="1" applyProtection="1">
      <alignment horizontal="left" vertical="top"/>
      <protection locked="0"/>
    </xf>
    <xf numFmtId="0" fontId="0" fillId="12" borderId="126" xfId="0" applyFill="1" applyBorder="1" applyAlignment="1" applyProtection="1">
      <alignment horizontal="left" vertical="top"/>
      <protection locked="0"/>
    </xf>
    <xf numFmtId="0" fontId="0" fillId="12" borderId="118" xfId="0" applyFill="1" applyBorder="1" applyAlignment="1" applyProtection="1">
      <alignment horizontal="left" vertical="top"/>
      <protection locked="0"/>
    </xf>
    <xf numFmtId="0" fontId="0" fillId="12" borderId="119" xfId="0" applyFill="1" applyBorder="1" applyAlignment="1" applyProtection="1">
      <alignment horizontal="left" vertical="top"/>
      <protection locked="0"/>
    </xf>
    <xf numFmtId="0" fontId="0" fillId="12" borderId="0" xfId="0" applyFill="1" applyBorder="1" applyAlignment="1" applyProtection="1">
      <alignment horizontal="left" vertical="top"/>
      <protection locked="0"/>
    </xf>
    <xf numFmtId="0" fontId="0" fillId="12" borderId="120" xfId="0" applyFill="1" applyBorder="1" applyAlignment="1" applyProtection="1">
      <alignment horizontal="left" vertical="top"/>
      <protection locked="0"/>
    </xf>
    <xf numFmtId="0" fontId="0" fillId="12" borderId="121" xfId="0" applyFill="1" applyBorder="1" applyAlignment="1" applyProtection="1">
      <alignment horizontal="left" vertical="top"/>
      <protection locked="0"/>
    </xf>
    <xf numFmtId="0" fontId="0" fillId="12" borderId="127" xfId="0" applyFill="1" applyBorder="1" applyAlignment="1" applyProtection="1">
      <alignment horizontal="left" vertical="top"/>
      <protection locked="0"/>
    </xf>
    <xf numFmtId="0" fontId="0" fillId="12" borderId="122" xfId="0" applyFill="1" applyBorder="1" applyAlignment="1" applyProtection="1">
      <alignment horizontal="left" vertical="top"/>
      <protection locked="0"/>
    </xf>
    <xf numFmtId="0" fontId="0" fillId="12" borderId="0" xfId="0" applyFill="1" applyAlignment="1">
      <alignment horizontal="left"/>
    </xf>
    <xf numFmtId="0" fontId="0" fillId="12" borderId="0" xfId="0" applyFill="1" applyAlignment="1">
      <alignment horizontal="right" vertical="top"/>
    </xf>
    <xf numFmtId="0" fontId="3" fillId="12" borderId="0" xfId="0" applyFont="1" applyFill="1" applyAlignment="1">
      <alignment horizontal="left" vertical="center" wrapText="1"/>
    </xf>
    <xf numFmtId="0" fontId="3" fillId="12" borderId="0" xfId="0" applyFont="1" applyFill="1" applyAlignment="1">
      <alignment horizontal="left" vertical="top" wrapText="1"/>
    </xf>
    <xf numFmtId="0" fontId="3" fillId="12" borderId="0" xfId="0" applyFont="1" applyFill="1" applyAlignment="1">
      <alignment horizontal="left" wrapText="1"/>
    </xf>
    <xf numFmtId="0" fontId="30" fillId="11" borderId="79" xfId="0" applyFont="1" applyFill="1" applyBorder="1" applyAlignment="1">
      <alignment horizontal="center" wrapText="1" readingOrder="1"/>
    </xf>
    <xf numFmtId="0" fontId="30" fillId="11" borderId="104" xfId="0" applyFont="1" applyFill="1" applyBorder="1" applyAlignment="1">
      <alignment horizontal="center" wrapText="1" readingOrder="1"/>
    </xf>
    <xf numFmtId="0" fontId="30" fillId="11" borderId="80" xfId="0" applyFont="1" applyFill="1" applyBorder="1" applyAlignment="1">
      <alignment horizontal="center" wrapText="1" readingOrder="1"/>
    </xf>
    <xf numFmtId="0" fontId="30" fillId="11" borderId="102" xfId="0" applyFont="1" applyFill="1" applyBorder="1" applyAlignment="1">
      <alignment horizontal="center" wrapText="1" readingOrder="1"/>
    </xf>
    <xf numFmtId="0" fontId="29" fillId="11" borderId="89" xfId="0" applyFont="1" applyFill="1" applyBorder="1" applyAlignment="1">
      <alignment horizontal="center" vertical="center" wrapText="1" readingOrder="1"/>
    </xf>
    <xf numFmtId="0" fontId="23" fillId="21" borderId="100" xfId="0" applyFont="1" applyFill="1" applyBorder="1" applyAlignment="1">
      <alignment horizontal="center" vertical="center" wrapText="1" readingOrder="1"/>
    </xf>
    <xf numFmtId="0" fontId="30" fillId="11" borderId="105" xfId="0" applyFont="1" applyFill="1" applyBorder="1" applyAlignment="1">
      <alignment horizontal="center" vertical="top" wrapText="1" readingOrder="1"/>
    </xf>
    <xf numFmtId="0" fontId="30" fillId="11" borderId="79" xfId="0" applyFont="1" applyFill="1" applyBorder="1" applyAlignment="1">
      <alignment horizontal="center" vertical="top" wrapText="1" readingOrder="1"/>
    </xf>
    <xf numFmtId="0" fontId="30" fillId="11" borderId="103" xfId="0" applyFont="1" applyFill="1" applyBorder="1" applyAlignment="1">
      <alignment horizontal="center" vertical="top" wrapText="1" readingOrder="1"/>
    </xf>
    <xf numFmtId="0" fontId="30" fillId="11" borderId="96" xfId="0" applyFont="1" applyFill="1" applyBorder="1" applyAlignment="1">
      <alignment horizontal="center" vertical="top" wrapText="1" readingOrder="1"/>
    </xf>
    <xf numFmtId="0" fontId="23" fillId="12" borderId="84" xfId="0" applyFont="1" applyFill="1" applyBorder="1" applyAlignment="1">
      <alignment horizontal="center" vertical="center" wrapText="1" readingOrder="1"/>
    </xf>
    <xf numFmtId="0" fontId="23" fillId="12" borderId="86" xfId="0" applyFont="1" applyFill="1" applyBorder="1" applyAlignment="1">
      <alignment horizontal="center" vertical="center" wrapText="1" readingOrder="1"/>
    </xf>
    <xf numFmtId="0" fontId="23" fillId="12" borderId="87" xfId="0" applyFont="1" applyFill="1" applyBorder="1" applyAlignment="1">
      <alignment horizontal="center" vertical="center" wrapText="1" readingOrder="1"/>
    </xf>
    <xf numFmtId="0" fontId="23" fillId="12" borderId="85" xfId="0" applyFont="1" applyFill="1" applyBorder="1" applyAlignment="1">
      <alignment horizontal="center" vertical="center" wrapText="1" readingOrder="1"/>
    </xf>
    <xf numFmtId="0" fontId="23" fillId="12" borderId="94" xfId="0" applyFont="1" applyFill="1" applyBorder="1" applyAlignment="1">
      <alignment horizontal="center" vertical="center" wrapText="1" readingOrder="1"/>
    </xf>
    <xf numFmtId="0" fontId="28" fillId="11" borderId="89" xfId="0" applyFont="1" applyFill="1" applyBorder="1" applyAlignment="1">
      <alignment horizontal="center" vertical="center" wrapText="1" readingOrder="1"/>
    </xf>
    <xf numFmtId="0" fontId="28" fillId="11" borderId="89" xfId="0" applyFont="1" applyFill="1" applyBorder="1" applyAlignment="1">
      <alignment horizontal="left" vertical="center" wrapText="1" readingOrder="1"/>
    </xf>
    <xf numFmtId="0" fontId="28" fillId="11" borderId="79" xfId="0" applyFont="1" applyFill="1" applyBorder="1" applyAlignment="1">
      <alignment horizontal="center" vertical="center" wrapText="1" readingOrder="1"/>
    </xf>
    <xf numFmtId="0" fontId="28" fillId="11" borderId="80" xfId="0" applyFont="1" applyFill="1" applyBorder="1" applyAlignment="1">
      <alignment horizontal="center" vertical="center" wrapText="1" readingOrder="1"/>
    </xf>
    <xf numFmtId="0" fontId="28" fillId="11" borderId="74" xfId="0" applyFont="1" applyFill="1" applyBorder="1" applyAlignment="1">
      <alignment horizontal="center" vertical="center" wrapText="1" readingOrder="1"/>
    </xf>
    <xf numFmtId="0" fontId="27" fillId="11" borderId="74" xfId="0" applyFont="1" applyFill="1" applyBorder="1" applyAlignment="1">
      <alignment horizontal="center" vertical="center" wrapText="1"/>
    </xf>
    <xf numFmtId="0" fontId="27" fillId="11" borderId="80" xfId="0" applyFont="1" applyFill="1" applyBorder="1" applyAlignment="1">
      <alignment horizontal="center" vertical="center" wrapText="1"/>
    </xf>
    <xf numFmtId="0" fontId="28" fillId="11" borderId="91" xfId="0" applyFont="1" applyFill="1" applyBorder="1" applyAlignment="1">
      <alignment horizontal="center" vertical="center" wrapText="1" readingOrder="1"/>
    </xf>
    <xf numFmtId="0" fontId="28" fillId="11" borderId="92" xfId="0" applyFont="1" applyFill="1" applyBorder="1" applyAlignment="1">
      <alignment horizontal="center" vertical="center" wrapText="1" readingOrder="1"/>
    </xf>
    <xf numFmtId="0" fontId="28" fillId="11" borderId="93" xfId="0" applyFont="1" applyFill="1" applyBorder="1" applyAlignment="1">
      <alignment horizontal="center" vertical="center" wrapText="1" readingOrder="1"/>
    </xf>
    <xf numFmtId="0" fontId="50" fillId="23" borderId="0" xfId="0" applyFont="1" applyFill="1" applyBorder="1" applyAlignment="1">
      <alignment horizontal="center" vertical="center"/>
    </xf>
    <xf numFmtId="0" fontId="0" fillId="31" borderId="6" xfId="0" applyFill="1" applyBorder="1" applyAlignment="1">
      <alignment horizontal="left" vertical="center"/>
    </xf>
    <xf numFmtId="0" fontId="0" fillId="31" borderId="5" xfId="0" applyFill="1" applyBorder="1" applyAlignment="1">
      <alignment horizontal="left" vertical="center"/>
    </xf>
    <xf numFmtId="0" fontId="0" fillId="31" borderId="13" xfId="0" applyFill="1" applyBorder="1" applyAlignment="1">
      <alignment horizontal="left" vertical="center"/>
    </xf>
    <xf numFmtId="0" fontId="0" fillId="19" borderId="11" xfId="0" applyFill="1" applyBorder="1" applyAlignment="1">
      <alignment horizontal="left" vertical="center"/>
    </xf>
    <xf numFmtId="0" fontId="0" fillId="19" borderId="10" xfId="0" applyFill="1" applyBorder="1" applyAlignment="1">
      <alignment horizontal="left" vertical="center"/>
    </xf>
    <xf numFmtId="0" fontId="0" fillId="19" borderId="15" xfId="0" applyFill="1" applyBorder="1" applyAlignment="1">
      <alignment horizontal="left" vertical="center"/>
    </xf>
    <xf numFmtId="0" fontId="0" fillId="19" borderId="6" xfId="0" applyFill="1" applyBorder="1" applyAlignment="1">
      <alignment horizontal="left" vertical="center"/>
    </xf>
    <xf numFmtId="0" fontId="0" fillId="19" borderId="5" xfId="0" applyFill="1" applyBorder="1" applyAlignment="1">
      <alignment horizontal="left" vertical="center"/>
    </xf>
    <xf numFmtId="0" fontId="0" fillId="19" borderId="13" xfId="0" applyFill="1" applyBorder="1" applyAlignment="1">
      <alignment horizontal="left" vertical="center"/>
    </xf>
    <xf numFmtId="0" fontId="0" fillId="19" borderId="8" xfId="0" applyFill="1" applyBorder="1" applyAlignment="1">
      <alignment horizontal="left" vertical="center"/>
    </xf>
    <xf numFmtId="0" fontId="0" fillId="19" borderId="0" xfId="0" applyFill="1" applyBorder="1" applyAlignment="1">
      <alignment horizontal="left" vertical="center"/>
    </xf>
    <xf numFmtId="0" fontId="0" fillId="19" borderId="14" xfId="0" applyFill="1" applyBorder="1" applyAlignment="1">
      <alignment horizontal="left" vertical="center"/>
    </xf>
    <xf numFmtId="0" fontId="0" fillId="19" borderId="3" xfId="0" applyFill="1" applyBorder="1" applyAlignment="1">
      <alignment horizontal="left" vertical="center"/>
    </xf>
    <xf numFmtId="0" fontId="0" fillId="19" borderId="2" xfId="0" applyFill="1" applyBorder="1" applyAlignment="1">
      <alignment horizontal="left" vertical="center"/>
    </xf>
    <xf numFmtId="0" fontId="0" fillId="19" borderId="1" xfId="0" applyFill="1" applyBorder="1" applyAlignment="1">
      <alignment horizontal="left" vertical="center"/>
    </xf>
    <xf numFmtId="0" fontId="0" fillId="31" borderId="11" xfId="0" applyFill="1" applyBorder="1" applyAlignment="1">
      <alignment horizontal="left" vertical="center"/>
    </xf>
    <xf numFmtId="0" fontId="0" fillId="31" borderId="10" xfId="0" applyFill="1" applyBorder="1" applyAlignment="1">
      <alignment horizontal="left" vertical="center"/>
    </xf>
    <xf numFmtId="0" fontId="0" fillId="31" borderId="15" xfId="0" applyFill="1" applyBorder="1" applyAlignment="1">
      <alignment horizontal="left" vertical="center"/>
    </xf>
    <xf numFmtId="0" fontId="0" fillId="3" borderId="0" xfId="0" applyFill="1" applyAlignment="1">
      <alignment horizontal="center" vertical="center"/>
    </xf>
    <xf numFmtId="0" fontId="66" fillId="40" borderId="3" xfId="0" applyFont="1" applyFill="1" applyBorder="1" applyAlignment="1">
      <alignment horizontal="center"/>
    </xf>
    <xf numFmtId="0" fontId="66" fillId="40" borderId="2" xfId="0" applyFont="1" applyFill="1" applyBorder="1" applyAlignment="1">
      <alignment horizontal="center"/>
    </xf>
    <xf numFmtId="0" fontId="66" fillId="40" borderId="72" xfId="0" applyFont="1" applyFill="1" applyBorder="1" applyAlignment="1">
      <alignment horizontal="center"/>
    </xf>
    <xf numFmtId="0" fontId="3" fillId="31" borderId="3" xfId="0" applyFont="1" applyFill="1" applyBorder="1" applyAlignment="1">
      <alignment horizontal="center"/>
    </xf>
    <xf numFmtId="0" fontId="3" fillId="31" borderId="2" xfId="0" applyFont="1" applyFill="1" applyBorder="1" applyAlignment="1">
      <alignment horizontal="center"/>
    </xf>
    <xf numFmtId="0" fontId="3" fillId="31" borderId="1" xfId="0" applyFont="1" applyFill="1" applyBorder="1" applyAlignment="1">
      <alignment horizontal="center"/>
    </xf>
    <xf numFmtId="0" fontId="3" fillId="31" borderId="11" xfId="0" applyFont="1" applyFill="1" applyBorder="1" applyAlignment="1">
      <alignment horizontal="center"/>
    </xf>
    <xf numFmtId="0" fontId="3" fillId="31" borderId="10" xfId="0" applyFont="1" applyFill="1" applyBorder="1" applyAlignment="1">
      <alignment horizontal="center"/>
    </xf>
    <xf numFmtId="0" fontId="3" fillId="31" borderId="15" xfId="0" applyFont="1" applyFill="1" applyBorder="1" applyAlignment="1">
      <alignment horizontal="center"/>
    </xf>
    <xf numFmtId="0" fontId="3" fillId="19" borderId="3" xfId="0" applyFont="1" applyFill="1" applyBorder="1" applyAlignment="1">
      <alignment horizontal="center"/>
    </xf>
    <xf numFmtId="0" fontId="3" fillId="19" borderId="2" xfId="0" applyFont="1" applyFill="1" applyBorder="1" applyAlignment="1">
      <alignment horizontal="center"/>
    </xf>
    <xf numFmtId="0" fontId="3" fillId="19" borderId="1" xfId="0" applyFont="1" applyFill="1" applyBorder="1" applyAlignment="1">
      <alignment horizontal="center"/>
    </xf>
    <xf numFmtId="0" fontId="3" fillId="3" borderId="3" xfId="0" applyFont="1" applyFill="1" applyBorder="1" applyAlignment="1">
      <alignment horizontal="center"/>
    </xf>
    <xf numFmtId="0" fontId="3" fillId="3" borderId="2" xfId="0" applyFont="1" applyFill="1" applyBorder="1" applyAlignment="1">
      <alignment horizontal="center"/>
    </xf>
    <xf numFmtId="0" fontId="3" fillId="3" borderId="1" xfId="0" applyFont="1" applyFill="1" applyBorder="1" applyAlignment="1">
      <alignment horizontal="center"/>
    </xf>
    <xf numFmtId="0" fontId="0" fillId="19" borderId="0" xfId="0" applyFill="1" applyAlignment="1">
      <alignment horizontal="center" vertical="center"/>
    </xf>
    <xf numFmtId="0" fontId="55" fillId="20" borderId="3" xfId="0" applyFont="1" applyFill="1" applyBorder="1" applyAlignment="1">
      <alignment horizontal="center" vertical="center"/>
    </xf>
    <xf numFmtId="0" fontId="55" fillId="20" borderId="2" xfId="0" applyFont="1" applyFill="1" applyBorder="1" applyAlignment="1">
      <alignment horizontal="center" vertical="center"/>
    </xf>
    <xf numFmtId="0" fontId="55" fillId="20" borderId="1" xfId="0" applyFont="1" applyFill="1" applyBorder="1" applyAlignment="1">
      <alignment horizontal="center" vertical="center"/>
    </xf>
    <xf numFmtId="0" fontId="3" fillId="11" borderId="3" xfId="0" applyFont="1" applyFill="1" applyBorder="1" applyAlignment="1">
      <alignment horizontal="center"/>
    </xf>
    <xf numFmtId="0" fontId="3" fillId="11" borderId="2" xfId="0" applyFont="1" applyFill="1" applyBorder="1" applyAlignment="1">
      <alignment horizontal="center"/>
    </xf>
    <xf numFmtId="0" fontId="3" fillId="11" borderId="1" xfId="0" applyFont="1" applyFill="1" applyBorder="1" applyAlignment="1">
      <alignment horizontal="center"/>
    </xf>
    <xf numFmtId="2" fontId="32" fillId="10" borderId="123" xfId="0" applyNumberFormat="1" applyFont="1" applyFill="1" applyBorder="1" applyAlignment="1">
      <alignment horizontal="center" vertical="center" textRotation="90" wrapText="1"/>
    </xf>
    <xf numFmtId="2" fontId="32" fillId="10" borderId="124" xfId="0" applyNumberFormat="1" applyFont="1" applyFill="1" applyBorder="1" applyAlignment="1">
      <alignment horizontal="center" vertical="center" textRotation="90" wrapText="1"/>
    </xf>
    <xf numFmtId="2" fontId="32" fillId="10" borderId="125" xfId="0" applyNumberFormat="1" applyFont="1" applyFill="1" applyBorder="1" applyAlignment="1">
      <alignment horizontal="center" vertical="center" textRotation="90" wrapText="1"/>
    </xf>
    <xf numFmtId="0" fontId="0" fillId="11" borderId="0" xfId="0" applyFill="1" applyAlignment="1">
      <alignment horizontal="center" vertical="center"/>
    </xf>
    <xf numFmtId="0" fontId="21" fillId="12" borderId="11" xfId="0" applyFont="1" applyFill="1" applyBorder="1" applyAlignment="1">
      <alignment horizontal="center" vertical="center"/>
    </xf>
    <xf numFmtId="0" fontId="21" fillId="12" borderId="10" xfId="0" applyFont="1" applyFill="1" applyBorder="1" applyAlignment="1">
      <alignment horizontal="center" vertical="center"/>
    </xf>
    <xf numFmtId="0" fontId="21" fillId="12" borderId="15" xfId="0" applyFont="1" applyFill="1" applyBorder="1" applyAlignment="1">
      <alignment horizontal="center" vertical="center"/>
    </xf>
    <xf numFmtId="0" fontId="21" fillId="12" borderId="6" xfId="0" applyFont="1" applyFill="1" applyBorder="1" applyAlignment="1">
      <alignment horizontal="center" vertical="center"/>
    </xf>
    <xf numFmtId="0" fontId="21" fillId="12" borderId="5" xfId="0" applyFont="1" applyFill="1" applyBorder="1" applyAlignment="1">
      <alignment horizontal="center" vertical="center"/>
    </xf>
    <xf numFmtId="0" fontId="21" fillId="12" borderId="13" xfId="0" applyFont="1" applyFill="1" applyBorder="1" applyAlignment="1">
      <alignment horizontal="center" vertical="center"/>
    </xf>
    <xf numFmtId="0" fontId="0" fillId="27" borderId="2" xfId="0" applyFill="1" applyBorder="1" applyAlignment="1">
      <alignment horizontal="center" vertical="center"/>
    </xf>
    <xf numFmtId="0" fontId="0" fillId="19" borderId="0" xfId="0" applyFill="1" applyAlignment="1">
      <alignment horizontal="center" vertical="center" wrapText="1"/>
    </xf>
    <xf numFmtId="0" fontId="0" fillId="12" borderId="12" xfId="0" applyFill="1" applyBorder="1" applyAlignment="1">
      <alignment horizontal="center" vertical="center"/>
    </xf>
    <xf numFmtId="0" fontId="0" fillId="12" borderId="9" xfId="0" applyFill="1" applyBorder="1" applyAlignment="1">
      <alignment horizontal="center" vertical="center"/>
    </xf>
    <xf numFmtId="0" fontId="0" fillId="12" borderId="7" xfId="0" applyFill="1" applyBorder="1" applyAlignment="1">
      <alignment horizontal="center" vertical="center"/>
    </xf>
    <xf numFmtId="0" fontId="0" fillId="4" borderId="15" xfId="0" applyFill="1" applyBorder="1" applyAlignment="1">
      <alignment horizontal="center" vertical="center"/>
    </xf>
    <xf numFmtId="0" fontId="0" fillId="4" borderId="13" xfId="0" applyFill="1" applyBorder="1" applyAlignment="1">
      <alignment horizontal="center" vertical="center"/>
    </xf>
    <xf numFmtId="0" fontId="0" fillId="11" borderId="117" xfId="0" applyFill="1" applyBorder="1" applyAlignment="1">
      <alignment horizontal="left" vertical="center" wrapText="1"/>
    </xf>
    <xf numFmtId="0" fontId="0" fillId="11" borderId="126" xfId="0" applyFill="1" applyBorder="1" applyAlignment="1">
      <alignment horizontal="left" vertical="center" wrapText="1"/>
    </xf>
    <xf numFmtId="0" fontId="0" fillId="11" borderId="121" xfId="0" applyFill="1" applyBorder="1" applyAlignment="1">
      <alignment horizontal="left" vertical="center" wrapText="1"/>
    </xf>
    <xf numFmtId="0" fontId="0" fillId="11" borderId="127" xfId="0" applyFill="1" applyBorder="1" applyAlignment="1">
      <alignment horizontal="left" vertical="center" wrapText="1"/>
    </xf>
    <xf numFmtId="0" fontId="0" fillId="12" borderId="139" xfId="0" applyFill="1" applyBorder="1" applyAlignment="1">
      <alignment horizontal="center" vertical="center"/>
    </xf>
    <xf numFmtId="0" fontId="0" fillId="12" borderId="138" xfId="0" applyFill="1" applyBorder="1" applyAlignment="1">
      <alignment horizontal="center" vertical="center"/>
    </xf>
    <xf numFmtId="0" fontId="0" fillId="19" borderId="0" xfId="0" applyFill="1" applyBorder="1" applyAlignment="1">
      <alignment horizontal="center"/>
    </xf>
    <xf numFmtId="0" fontId="0" fillId="3" borderId="8" xfId="0" applyFill="1" applyBorder="1" applyAlignment="1">
      <alignment horizontal="left" wrapText="1"/>
    </xf>
    <xf numFmtId="0" fontId="0" fillId="3" borderId="6" xfId="0" applyFill="1" applyBorder="1" applyAlignment="1">
      <alignment horizontal="left" wrapText="1"/>
    </xf>
    <xf numFmtId="0" fontId="0" fillId="3" borderId="14" xfId="0" applyFill="1" applyBorder="1" applyAlignment="1">
      <alignment horizontal="left" vertical="center"/>
    </xf>
    <xf numFmtId="0" fontId="0" fillId="3" borderId="13" xfId="0" applyFill="1" applyBorder="1" applyAlignment="1">
      <alignment horizontal="left" vertical="center"/>
    </xf>
    <xf numFmtId="0" fontId="0" fillId="11" borderId="118" xfId="0" applyFill="1" applyBorder="1" applyAlignment="1">
      <alignment horizontal="center" vertical="center"/>
    </xf>
    <xf numFmtId="0" fontId="0" fillId="11" borderId="122" xfId="0" applyFill="1" applyBorder="1" applyAlignment="1">
      <alignment horizontal="center" vertical="center"/>
    </xf>
    <xf numFmtId="0" fontId="3" fillId="19" borderId="0" xfId="0" applyFont="1" applyFill="1" applyBorder="1" applyAlignment="1">
      <alignment horizontal="center" vertical="center"/>
    </xf>
    <xf numFmtId="0" fontId="0" fillId="12" borderId="0" xfId="0" applyFill="1" applyBorder="1" applyAlignment="1">
      <alignment horizontal="center"/>
    </xf>
    <xf numFmtId="0" fontId="0" fillId="23" borderId="134" xfId="0" applyFill="1" applyBorder="1" applyAlignment="1">
      <alignment horizontal="center"/>
    </xf>
    <xf numFmtId="0" fontId="0" fillId="23" borderId="135" xfId="0" applyFill="1" applyBorder="1" applyAlignment="1">
      <alignment horizontal="center"/>
    </xf>
    <xf numFmtId="0" fontId="0" fillId="23" borderId="136" xfId="0" applyFill="1" applyBorder="1" applyAlignment="1">
      <alignment horizontal="center"/>
    </xf>
    <xf numFmtId="0" fontId="0" fillId="4" borderId="11" xfId="0" applyFill="1" applyBorder="1" applyAlignment="1">
      <alignment horizontal="left" vertical="center" wrapText="1"/>
    </xf>
    <xf numFmtId="0" fontId="0" fillId="4" borderId="10" xfId="0" applyFill="1" applyBorder="1" applyAlignment="1">
      <alignment horizontal="left" vertical="center" wrapText="1"/>
    </xf>
    <xf numFmtId="0" fontId="0" fillId="4" borderId="6" xfId="0" applyFill="1" applyBorder="1" applyAlignment="1">
      <alignment horizontal="left" vertical="center" wrapText="1"/>
    </xf>
    <xf numFmtId="0" fontId="0" fillId="4" borderId="5" xfId="0" applyFill="1" applyBorder="1" applyAlignment="1">
      <alignment horizontal="left" vertical="center" wrapText="1"/>
    </xf>
    <xf numFmtId="0" fontId="0" fillId="23" borderId="3" xfId="0" applyFill="1" applyBorder="1" applyAlignment="1">
      <alignment horizontal="center"/>
    </xf>
    <xf numFmtId="0" fontId="0" fillId="23" borderId="2" xfId="0" applyFill="1" applyBorder="1" applyAlignment="1">
      <alignment horizontal="center"/>
    </xf>
    <xf numFmtId="0" fontId="0" fillId="23" borderId="1" xfId="0" applyFill="1" applyBorder="1" applyAlignment="1">
      <alignment horizontal="center"/>
    </xf>
    <xf numFmtId="0" fontId="0" fillId="11" borderId="11"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3" xfId="0" applyFill="1" applyBorder="1" applyAlignment="1">
      <alignment horizontal="center"/>
    </xf>
    <xf numFmtId="0" fontId="0" fillId="12" borderId="2" xfId="0" applyFill="1" applyBorder="1" applyAlignment="1">
      <alignment horizontal="center"/>
    </xf>
    <xf numFmtId="0" fontId="0" fillId="12" borderId="1" xfId="0" applyFill="1" applyBorder="1" applyAlignment="1">
      <alignment horizontal="center"/>
    </xf>
    <xf numFmtId="0" fontId="0" fillId="12" borderId="0" xfId="0" applyFill="1" applyBorder="1" applyAlignment="1">
      <alignment horizontal="left" vertical="center" wrapText="1"/>
    </xf>
    <xf numFmtId="0" fontId="0" fillId="12" borderId="0" xfId="0" applyFill="1" applyBorder="1" applyAlignment="1">
      <alignment horizontal="center" vertical="center"/>
    </xf>
    <xf numFmtId="0" fontId="0" fillId="11" borderId="11" xfId="0" applyFill="1" applyBorder="1" applyAlignment="1">
      <alignment horizontal="left" vertical="center" wrapText="1"/>
    </xf>
    <xf numFmtId="0" fontId="0" fillId="11" borderId="8" xfId="0" applyFill="1" applyBorder="1" applyAlignment="1">
      <alignment horizontal="left" vertical="center" wrapText="1"/>
    </xf>
    <xf numFmtId="0" fontId="0" fillId="11" borderId="6" xfId="0" applyFill="1" applyBorder="1" applyAlignment="1">
      <alignment horizontal="left" vertical="center" wrapText="1"/>
    </xf>
    <xf numFmtId="3" fontId="0" fillId="11" borderId="14" xfId="0" applyNumberFormat="1" applyFill="1" applyBorder="1" applyAlignment="1">
      <alignment horizontal="center" vertical="center"/>
    </xf>
    <xf numFmtId="3" fontId="0" fillId="11" borderId="13" xfId="0" applyNumberFormat="1" applyFill="1" applyBorder="1" applyAlignment="1">
      <alignment horizontal="center" vertical="center"/>
    </xf>
    <xf numFmtId="3" fontId="0" fillId="11" borderId="15" xfId="0" applyNumberFormat="1" applyFill="1" applyBorder="1" applyAlignment="1">
      <alignment horizontal="center" vertical="center"/>
    </xf>
    <xf numFmtId="0" fontId="0" fillId="11" borderId="117" xfId="0" applyFill="1" applyBorder="1" applyAlignment="1"/>
    <xf numFmtId="0" fontId="0" fillId="11" borderId="126" xfId="0" applyFill="1" applyBorder="1" applyAlignment="1"/>
    <xf numFmtId="0" fontId="0" fillId="11" borderId="121" xfId="0" applyFill="1" applyBorder="1" applyAlignment="1">
      <alignment horizontal="left"/>
    </xf>
    <xf numFmtId="0" fontId="0" fillId="11" borderId="127" xfId="0" applyFill="1" applyBorder="1" applyAlignment="1">
      <alignment horizontal="left"/>
    </xf>
    <xf numFmtId="0" fontId="0" fillId="4" borderId="121" xfId="0" applyFill="1" applyBorder="1" applyAlignment="1"/>
    <xf numFmtId="0" fontId="0" fillId="4" borderId="127" xfId="0" applyFill="1" applyBorder="1" applyAlignment="1"/>
    <xf numFmtId="0" fontId="0" fillId="4" borderId="122" xfId="0" applyFill="1" applyBorder="1" applyAlignment="1"/>
    <xf numFmtId="0" fontId="0" fillId="4" borderId="117" xfId="0" applyFill="1" applyBorder="1" applyAlignment="1">
      <alignment horizontal="left"/>
    </xf>
    <xf numFmtId="0" fontId="0" fillId="4" borderId="126" xfId="0" applyFill="1" applyBorder="1" applyAlignment="1">
      <alignment horizontal="left"/>
    </xf>
    <xf numFmtId="0" fontId="0" fillId="4" borderId="118" xfId="0" applyFill="1" applyBorder="1" applyAlignment="1">
      <alignment horizontal="left"/>
    </xf>
    <xf numFmtId="0" fontId="0" fillId="12" borderId="137" xfId="0" applyFill="1" applyBorder="1" applyAlignment="1">
      <alignment horizontal="center" vertical="center"/>
    </xf>
    <xf numFmtId="0" fontId="0" fillId="11" borderId="15" xfId="0" applyFill="1" applyBorder="1" applyAlignment="1">
      <alignment horizontal="center" vertical="center"/>
    </xf>
    <xf numFmtId="0" fontId="0" fillId="11" borderId="14" xfId="0" applyFill="1" applyBorder="1" applyAlignment="1">
      <alignment horizontal="center" vertical="center"/>
    </xf>
    <xf numFmtId="0" fontId="0" fillId="11" borderId="13" xfId="0" applyFill="1" applyBorder="1" applyAlignment="1">
      <alignment horizontal="center" vertical="center"/>
    </xf>
    <xf numFmtId="168" fontId="0" fillId="11" borderId="14" xfId="0" applyNumberFormat="1" applyFill="1" applyBorder="1" applyAlignment="1">
      <alignment horizontal="left" vertical="center" wrapText="1"/>
    </xf>
    <xf numFmtId="168" fontId="0" fillId="11" borderId="13" xfId="0" applyNumberFormat="1" applyFill="1" applyBorder="1" applyAlignment="1">
      <alignment horizontal="left" vertical="center" wrapText="1"/>
    </xf>
    <xf numFmtId="0" fontId="0" fillId="23" borderId="11" xfId="0" applyFill="1" applyBorder="1" applyAlignment="1">
      <alignment horizontal="center"/>
    </xf>
    <xf numFmtId="0" fontId="0" fillId="23" borderId="10" xfId="0" applyFill="1" applyBorder="1" applyAlignment="1">
      <alignment horizontal="center"/>
    </xf>
    <xf numFmtId="0" fontId="0" fillId="23" borderId="15" xfId="0" applyFill="1" applyBorder="1" applyAlignment="1">
      <alignment horizontal="center"/>
    </xf>
    <xf numFmtId="0" fontId="0" fillId="11" borderId="10" xfId="0" applyFill="1" applyBorder="1" applyAlignment="1">
      <alignment horizontal="left" vertical="center" wrapText="1"/>
    </xf>
    <xf numFmtId="0" fontId="0" fillId="11" borderId="5" xfId="0" applyFill="1" applyBorder="1" applyAlignment="1">
      <alignment horizontal="left" vertical="center" wrapText="1"/>
    </xf>
    <xf numFmtId="0" fontId="0" fillId="4" borderId="10" xfId="0" applyFill="1" applyBorder="1" applyAlignment="1">
      <alignment horizontal="left"/>
    </xf>
    <xf numFmtId="0" fontId="0" fillId="4" borderId="15" xfId="0" applyFill="1" applyBorder="1" applyAlignment="1">
      <alignment horizontal="left"/>
    </xf>
    <xf numFmtId="0" fontId="0" fillId="4" borderId="14" xfId="0" applyFill="1" applyBorder="1" applyAlignment="1">
      <alignment horizontal="left"/>
    </xf>
    <xf numFmtId="0" fontId="0" fillId="3" borderId="0" xfId="0" applyFill="1" applyBorder="1" applyAlignment="1">
      <alignment horizontal="left" vertical="center"/>
    </xf>
    <xf numFmtId="0" fontId="0" fillId="3" borderId="5" xfId="0" applyFill="1" applyBorder="1" applyAlignment="1">
      <alignment horizontal="left" vertical="center"/>
    </xf>
    <xf numFmtId="0" fontId="0" fillId="11" borderId="15" xfId="0" applyFill="1" applyBorder="1" applyAlignment="1">
      <alignment horizontal="left"/>
    </xf>
    <xf numFmtId="0" fontId="0" fillId="11" borderId="5" xfId="0" applyFill="1" applyBorder="1" applyAlignment="1">
      <alignment horizontal="left"/>
    </xf>
    <xf numFmtId="0" fontId="0" fillId="11" borderId="13" xfId="0" applyFill="1" applyBorder="1" applyAlignment="1">
      <alignment horizontal="left"/>
    </xf>
    <xf numFmtId="167" fontId="0" fillId="11" borderId="15" xfId="0" applyNumberFormat="1" applyFill="1" applyBorder="1" applyAlignment="1">
      <alignment horizontal="center" vertical="center"/>
    </xf>
    <xf numFmtId="167" fontId="0" fillId="11" borderId="14" xfId="0" applyNumberFormat="1" applyFill="1" applyBorder="1" applyAlignment="1">
      <alignment horizontal="center" vertical="center"/>
    </xf>
    <xf numFmtId="167" fontId="0" fillId="11" borderId="13" xfId="0" applyNumberFormat="1" applyFill="1" applyBorder="1" applyAlignment="1">
      <alignment horizontal="center" vertical="center"/>
    </xf>
    <xf numFmtId="0" fontId="0" fillId="19" borderId="0" xfId="0" applyFill="1" applyAlignment="1">
      <alignment horizontal="center"/>
    </xf>
    <xf numFmtId="0" fontId="0" fillId="12" borderId="12" xfId="0" applyFill="1" applyBorder="1" applyAlignment="1">
      <alignment horizontal="center" vertical="center" wrapText="1"/>
    </xf>
    <xf numFmtId="0" fontId="0" fillId="12" borderId="9" xfId="0" applyFill="1" applyBorder="1" applyAlignment="1">
      <alignment horizontal="center" vertical="center" wrapText="1"/>
    </xf>
    <xf numFmtId="0" fontId="0" fillId="12" borderId="7" xfId="0" applyFill="1" applyBorder="1" applyAlignment="1">
      <alignment horizontal="center" vertical="center" wrapText="1"/>
    </xf>
    <xf numFmtId="0" fontId="3" fillId="12" borderId="0" xfId="0" applyFont="1" applyFill="1" applyBorder="1" applyAlignment="1">
      <alignment horizontal="center"/>
    </xf>
    <xf numFmtId="0" fontId="0" fillId="12" borderId="32" xfId="0" applyFill="1" applyBorder="1" applyAlignment="1">
      <alignment horizontal="center"/>
    </xf>
    <xf numFmtId="0" fontId="0" fillId="12" borderId="29" xfId="0" applyFill="1" applyBorder="1" applyAlignment="1">
      <alignment horizontal="left" vertical="center" wrapText="1"/>
    </xf>
    <xf numFmtId="0" fontId="0" fillId="23" borderId="8" xfId="0" applyFill="1" applyBorder="1" applyAlignment="1">
      <alignment horizontal="left" vertical="center" wrapText="1"/>
    </xf>
    <xf numFmtId="0" fontId="0" fillId="23" borderId="6" xfId="0" applyFill="1" applyBorder="1" applyAlignment="1">
      <alignment horizontal="left" vertical="center" wrapText="1"/>
    </xf>
    <xf numFmtId="0" fontId="0" fillId="12" borderId="3" xfId="0" applyFill="1" applyBorder="1" applyAlignment="1">
      <alignment horizontal="center" vertical="center"/>
    </xf>
    <xf numFmtId="0" fontId="0" fillId="12" borderId="2" xfId="0" applyFill="1" applyBorder="1" applyAlignment="1">
      <alignment horizontal="center" vertical="center"/>
    </xf>
    <xf numFmtId="0" fontId="0" fillId="12" borderId="1" xfId="0" applyFill="1" applyBorder="1" applyAlignment="1">
      <alignment horizontal="center" vertical="center"/>
    </xf>
    <xf numFmtId="0" fontId="0" fillId="19" borderId="39" xfId="0" applyFill="1" applyBorder="1" applyAlignment="1">
      <alignment horizontal="left"/>
    </xf>
    <xf numFmtId="0" fontId="0" fillId="19" borderId="40" xfId="0" applyFill="1" applyBorder="1" applyAlignment="1">
      <alignment horizontal="left"/>
    </xf>
    <xf numFmtId="0" fontId="0" fillId="19" borderId="36" xfId="0" applyFill="1" applyBorder="1" applyAlignment="1">
      <alignment horizontal="center" vertical="center"/>
    </xf>
    <xf numFmtId="0" fontId="0" fillId="19" borderId="33" xfId="0" applyFill="1" applyBorder="1" applyAlignment="1">
      <alignment horizontal="center" vertical="center"/>
    </xf>
    <xf numFmtId="0" fontId="0" fillId="19" borderId="31" xfId="0" applyFill="1" applyBorder="1" applyAlignment="1">
      <alignment horizontal="center" vertical="center"/>
    </xf>
    <xf numFmtId="0" fontId="0" fillId="19" borderId="28" xfId="0" applyFill="1" applyBorder="1" applyAlignment="1">
      <alignment horizontal="center" vertical="center"/>
    </xf>
    <xf numFmtId="0" fontId="0" fillId="19" borderId="37" xfId="0" applyFill="1" applyBorder="1" applyAlignment="1">
      <alignment horizontal="center" vertical="center"/>
    </xf>
    <xf numFmtId="0" fontId="0" fillId="19" borderId="35" xfId="0" applyFill="1" applyBorder="1" applyAlignment="1">
      <alignment horizontal="center" vertical="center"/>
    </xf>
    <xf numFmtId="0" fontId="16" fillId="11" borderId="14" xfId="0" applyFont="1" applyFill="1" applyBorder="1" applyAlignment="1">
      <alignment horizontal="center" vertical="center"/>
    </xf>
    <xf numFmtId="0" fontId="16" fillId="11" borderId="13" xfId="0" applyFont="1" applyFill="1" applyBorder="1" applyAlignment="1">
      <alignment horizontal="center" vertical="center"/>
    </xf>
    <xf numFmtId="0" fontId="16" fillId="3" borderId="14" xfId="0" applyFont="1" applyFill="1" applyBorder="1" applyAlignment="1">
      <alignment horizontal="center" vertical="center"/>
    </xf>
    <xf numFmtId="0" fontId="16" fillId="3" borderId="13" xfId="0" applyFont="1" applyFill="1" applyBorder="1" applyAlignment="1">
      <alignment horizontal="center" vertical="center"/>
    </xf>
    <xf numFmtId="168" fontId="16" fillId="11" borderId="14" xfId="0" applyNumberFormat="1" applyFont="1" applyFill="1" applyBorder="1" applyAlignment="1">
      <alignment horizontal="center" vertical="center" wrapText="1"/>
    </xf>
    <xf numFmtId="168" fontId="16" fillId="11" borderId="13" xfId="0" applyNumberFormat="1" applyFont="1" applyFill="1" applyBorder="1" applyAlignment="1">
      <alignment horizontal="center" vertical="center" wrapText="1"/>
    </xf>
    <xf numFmtId="168" fontId="16" fillId="11" borderId="15" xfId="0" applyNumberFormat="1" applyFont="1" applyFill="1" applyBorder="1" applyAlignment="1">
      <alignment horizontal="center" vertical="center" wrapText="1"/>
    </xf>
    <xf numFmtId="0" fontId="0" fillId="12" borderId="0" xfId="0" applyFill="1" applyBorder="1" applyAlignment="1">
      <alignment horizontal="left"/>
    </xf>
    <xf numFmtId="0" fontId="0" fillId="19" borderId="0" xfId="0" applyFont="1" applyFill="1" applyBorder="1" applyAlignment="1">
      <alignment horizontal="center"/>
    </xf>
    <xf numFmtId="0" fontId="0" fillId="19" borderId="0" xfId="0" applyFont="1" applyFill="1" applyAlignment="1">
      <alignment horizontal="center" vertical="center" wrapText="1"/>
    </xf>
    <xf numFmtId="0" fontId="0" fillId="17" borderId="11" xfId="0" applyFont="1" applyFill="1" applyBorder="1" applyAlignment="1">
      <alignment horizontal="center" vertical="center" textRotation="90"/>
    </xf>
    <xf numFmtId="0" fontId="0" fillId="17" borderId="15" xfId="0" applyFont="1" applyFill="1" applyBorder="1" applyAlignment="1">
      <alignment horizontal="center" vertical="center" textRotation="90"/>
    </xf>
    <xf numFmtId="0" fontId="0" fillId="17" borderId="6" xfId="0" applyFont="1" applyFill="1" applyBorder="1" applyAlignment="1">
      <alignment horizontal="center" vertical="center" textRotation="90"/>
    </xf>
    <xf numFmtId="0" fontId="0" fillId="17" borderId="13" xfId="0" applyFont="1" applyFill="1" applyBorder="1" applyAlignment="1">
      <alignment horizontal="center" vertical="center" textRotation="90"/>
    </xf>
    <xf numFmtId="0" fontId="0" fillId="11" borderId="11" xfId="0" applyFont="1" applyFill="1" applyBorder="1" applyAlignment="1">
      <alignment horizontal="center" vertical="center" textRotation="90" wrapText="1"/>
    </xf>
    <xf numFmtId="0" fontId="0" fillId="11" borderId="15" xfId="0" applyFont="1" applyFill="1" applyBorder="1" applyAlignment="1">
      <alignment horizontal="center" vertical="center" textRotation="90" wrapText="1"/>
    </xf>
    <xf numFmtId="0" fontId="0" fillId="11" borderId="8" xfId="0" applyFont="1" applyFill="1" applyBorder="1" applyAlignment="1">
      <alignment horizontal="center" vertical="center" textRotation="90" wrapText="1"/>
    </xf>
    <xf numFmtId="0" fontId="0" fillId="11" borderId="14" xfId="0" applyFont="1" applyFill="1" applyBorder="1" applyAlignment="1">
      <alignment horizontal="center" vertical="center" textRotation="90" wrapText="1"/>
    </xf>
    <xf numFmtId="0" fontId="0" fillId="11" borderId="6" xfId="0" applyFont="1" applyFill="1" applyBorder="1" applyAlignment="1">
      <alignment horizontal="center" vertical="center" textRotation="90" wrapText="1"/>
    </xf>
    <xf numFmtId="0" fontId="0" fillId="11" borderId="13" xfId="0" applyFont="1" applyFill="1" applyBorder="1" applyAlignment="1">
      <alignment horizontal="center" vertical="center" textRotation="90" wrapText="1"/>
    </xf>
    <xf numFmtId="0" fontId="0" fillId="10" borderId="11" xfId="0" applyFont="1" applyFill="1" applyBorder="1" applyAlignment="1">
      <alignment horizontal="center" vertical="center" textRotation="90"/>
    </xf>
    <xf numFmtId="0" fontId="0" fillId="10" borderId="15" xfId="0" applyFont="1" applyFill="1" applyBorder="1" applyAlignment="1">
      <alignment horizontal="center" vertical="center" textRotation="90"/>
    </xf>
    <xf numFmtId="0" fontId="0" fillId="10" borderId="8" xfId="0" applyFont="1" applyFill="1" applyBorder="1" applyAlignment="1">
      <alignment horizontal="center" vertical="center" textRotation="90"/>
    </xf>
    <xf numFmtId="0" fontId="0" fillId="10" borderId="14" xfId="0" applyFont="1" applyFill="1" applyBorder="1" applyAlignment="1">
      <alignment horizontal="center" vertical="center" textRotation="90"/>
    </xf>
    <xf numFmtId="0" fontId="0" fillId="10" borderId="6" xfId="0" applyFont="1" applyFill="1" applyBorder="1" applyAlignment="1">
      <alignment horizontal="center" vertical="center" textRotation="90"/>
    </xf>
    <xf numFmtId="0" fontId="0" fillId="10" borderId="13" xfId="0" applyFont="1" applyFill="1" applyBorder="1" applyAlignment="1">
      <alignment horizontal="center" vertical="center" textRotation="90"/>
    </xf>
    <xf numFmtId="0" fontId="43" fillId="18" borderId="3" xfId="0" applyFont="1" applyFill="1" applyBorder="1" applyAlignment="1">
      <alignment horizontal="center" vertical="center"/>
    </xf>
    <xf numFmtId="0" fontId="43" fillId="18" borderId="2" xfId="0" applyFont="1" applyFill="1" applyBorder="1" applyAlignment="1">
      <alignment horizontal="center" vertical="center"/>
    </xf>
    <xf numFmtId="0" fontId="43" fillId="18" borderId="1" xfId="0" applyFont="1" applyFill="1" applyBorder="1" applyAlignment="1">
      <alignment horizontal="center" vertical="center"/>
    </xf>
    <xf numFmtId="0" fontId="0" fillId="19" borderId="11" xfId="0" applyFont="1" applyFill="1" applyBorder="1" applyAlignment="1">
      <alignment horizontal="center" vertical="center" textRotation="90" wrapText="1"/>
    </xf>
    <xf numFmtId="0" fontId="0" fillId="19" borderId="15" xfId="0" applyFont="1" applyFill="1" applyBorder="1" applyAlignment="1">
      <alignment horizontal="center" vertical="center" textRotation="90" wrapText="1"/>
    </xf>
    <xf numFmtId="0" fontId="0" fillId="19" borderId="8" xfId="0" applyFont="1" applyFill="1" applyBorder="1" applyAlignment="1">
      <alignment horizontal="center" vertical="center" textRotation="90" wrapText="1"/>
    </xf>
    <xf numFmtId="0" fontId="0" fillId="19" borderId="14" xfId="0" applyFont="1" applyFill="1" applyBorder="1" applyAlignment="1">
      <alignment horizontal="center" vertical="center" textRotation="90" wrapText="1"/>
    </xf>
    <xf numFmtId="0" fontId="0" fillId="19" borderId="6" xfId="0" applyFont="1" applyFill="1" applyBorder="1" applyAlignment="1">
      <alignment horizontal="center" vertical="center" textRotation="90" wrapText="1"/>
    </xf>
    <xf numFmtId="0" fontId="0" fillId="19" borderId="13" xfId="0" applyFont="1" applyFill="1" applyBorder="1" applyAlignment="1">
      <alignment horizontal="center" vertical="center" textRotation="90" wrapText="1"/>
    </xf>
    <xf numFmtId="0" fontId="0" fillId="31" borderId="11" xfId="0" applyFont="1" applyFill="1" applyBorder="1" applyAlignment="1">
      <alignment horizontal="center" vertical="center" textRotation="90"/>
    </xf>
    <xf numFmtId="0" fontId="0" fillId="31" borderId="15" xfId="0" applyFont="1" applyFill="1" applyBorder="1" applyAlignment="1">
      <alignment horizontal="center" vertical="center" textRotation="90"/>
    </xf>
    <xf numFmtId="0" fontId="0" fillId="31" borderId="8" xfId="0" applyFont="1" applyFill="1" applyBorder="1" applyAlignment="1">
      <alignment horizontal="center" vertical="center" textRotation="90"/>
    </xf>
    <xf numFmtId="0" fontId="0" fillId="31" borderId="14" xfId="0" applyFont="1" applyFill="1" applyBorder="1" applyAlignment="1">
      <alignment horizontal="center" vertical="center" textRotation="90"/>
    </xf>
    <xf numFmtId="0" fontId="0" fillId="31" borderId="6" xfId="0" applyFont="1" applyFill="1" applyBorder="1" applyAlignment="1">
      <alignment horizontal="center" vertical="center" textRotation="90"/>
    </xf>
    <xf numFmtId="0" fontId="0" fillId="31" borderId="13" xfId="0" applyFont="1" applyFill="1" applyBorder="1" applyAlignment="1">
      <alignment horizontal="center" vertical="center" textRotation="90"/>
    </xf>
    <xf numFmtId="0" fontId="0" fillId="3" borderId="11" xfId="0" applyFont="1" applyFill="1" applyBorder="1" applyAlignment="1">
      <alignment horizontal="center" vertical="center" textRotation="90"/>
    </xf>
    <xf numFmtId="0" fontId="0" fillId="3" borderId="15" xfId="0" applyFont="1" applyFill="1" applyBorder="1" applyAlignment="1">
      <alignment horizontal="center" vertical="center" textRotation="90"/>
    </xf>
    <xf numFmtId="0" fontId="0" fillId="3" borderId="8" xfId="0" applyFont="1" applyFill="1" applyBorder="1" applyAlignment="1">
      <alignment horizontal="center" vertical="center" textRotation="90"/>
    </xf>
    <xf numFmtId="0" fontId="0" fillId="3" borderId="14" xfId="0" applyFont="1" applyFill="1" applyBorder="1" applyAlignment="1">
      <alignment horizontal="center" vertical="center" textRotation="90"/>
    </xf>
    <xf numFmtId="0" fontId="0" fillId="3" borderId="6" xfId="0" applyFont="1" applyFill="1" applyBorder="1" applyAlignment="1">
      <alignment horizontal="center" vertical="center" textRotation="90"/>
    </xf>
    <xf numFmtId="0" fontId="0" fillId="3" borderId="13" xfId="0" applyFont="1" applyFill="1" applyBorder="1" applyAlignment="1">
      <alignment horizontal="center" vertical="center" textRotation="90"/>
    </xf>
    <xf numFmtId="0" fontId="0" fillId="17" borderId="3" xfId="0" applyFont="1" applyFill="1" applyBorder="1" applyAlignment="1">
      <alignment horizontal="center" vertical="center"/>
    </xf>
    <xf numFmtId="0" fontId="0" fillId="17" borderId="1" xfId="0" applyFont="1" applyFill="1" applyBorder="1" applyAlignment="1">
      <alignment horizontal="center" vertical="center"/>
    </xf>
    <xf numFmtId="0" fontId="0" fillId="31" borderId="3" xfId="0" applyFill="1" applyBorder="1" applyAlignment="1">
      <alignment horizontal="center" vertical="center"/>
    </xf>
    <xf numFmtId="0" fontId="0" fillId="31" borderId="1" xfId="0" applyFill="1" applyBorder="1" applyAlignment="1">
      <alignment horizontal="center" vertical="center"/>
    </xf>
    <xf numFmtId="0" fontId="0" fillId="19" borderId="3" xfId="0" applyFill="1" applyBorder="1" applyAlignment="1">
      <alignment horizontal="center" vertical="center"/>
    </xf>
    <xf numFmtId="0" fontId="0" fillId="19" borderId="1" xfId="0" applyFill="1" applyBorder="1" applyAlignment="1">
      <alignment horizontal="center" vertical="center"/>
    </xf>
    <xf numFmtId="0" fontId="0" fillId="11" borderId="1" xfId="0" applyFill="1" applyBorder="1" applyAlignment="1">
      <alignment horizontal="center" vertical="center"/>
    </xf>
    <xf numFmtId="0" fontId="0" fillId="10" borderId="1" xfId="0" applyFill="1" applyBorder="1" applyAlignment="1">
      <alignment horizontal="center" vertical="center"/>
    </xf>
    <xf numFmtId="0" fontId="9" fillId="3" borderId="11" xfId="4" applyFont="1" applyFill="1" applyBorder="1" applyAlignment="1">
      <alignment horizontal="center" vertical="center" wrapText="1"/>
    </xf>
    <xf numFmtId="0" fontId="9" fillId="3" borderId="8" xfId="4" applyFont="1" applyFill="1" applyBorder="1" applyAlignment="1">
      <alignment horizontal="center" vertical="center" wrapText="1"/>
    </xf>
    <xf numFmtId="0" fontId="9" fillId="3" borderId="6" xfId="4" applyFont="1" applyFill="1" applyBorder="1" applyAlignment="1">
      <alignment horizontal="center" vertical="center" wrapText="1"/>
    </xf>
    <xf numFmtId="0" fontId="3" fillId="16" borderId="3" xfId="0" applyFont="1" applyFill="1" applyBorder="1" applyAlignment="1">
      <alignment horizontal="center"/>
    </xf>
    <xf numFmtId="0" fontId="3" fillId="16" borderId="2" xfId="0" applyFont="1" applyFill="1" applyBorder="1" applyAlignment="1">
      <alignment horizontal="center"/>
    </xf>
    <xf numFmtId="0" fontId="3" fillId="16" borderId="1" xfId="0" applyFont="1" applyFill="1" applyBorder="1" applyAlignment="1">
      <alignment horizontal="center"/>
    </xf>
    <xf numFmtId="0" fontId="0" fillId="23" borderId="67" xfId="0" applyFill="1" applyBorder="1" applyAlignment="1">
      <alignment horizontal="center"/>
    </xf>
    <xf numFmtId="0" fontId="0" fillId="23" borderId="26" xfId="0" applyFill="1" applyBorder="1" applyAlignment="1">
      <alignment horizontal="center"/>
    </xf>
    <xf numFmtId="0" fontId="0" fillId="12" borderId="10" xfId="0" applyFill="1" applyBorder="1" applyAlignment="1">
      <alignment horizontal="center" vertical="center" wrapText="1"/>
    </xf>
    <xf numFmtId="0" fontId="2" fillId="18" borderId="3" xfId="0" applyFont="1" applyFill="1" applyBorder="1" applyAlignment="1">
      <alignment horizontal="center"/>
    </xf>
    <xf numFmtId="0" fontId="2" fillId="18" borderId="1" xfId="0" applyFont="1" applyFill="1" applyBorder="1" applyAlignment="1">
      <alignment horizontal="center"/>
    </xf>
    <xf numFmtId="0" fontId="2" fillId="18" borderId="11" xfId="0" applyFont="1" applyFill="1" applyBorder="1" applyAlignment="1">
      <alignment horizontal="center"/>
    </xf>
    <xf numFmtId="0" fontId="2" fillId="18" borderId="15" xfId="0" applyFont="1" applyFill="1" applyBorder="1" applyAlignment="1">
      <alignment horizontal="center"/>
    </xf>
    <xf numFmtId="0" fontId="3" fillId="23" borderId="65" xfId="0" applyFont="1" applyFill="1" applyBorder="1" applyAlignment="1">
      <alignment horizontal="center" vertical="center"/>
    </xf>
    <xf numFmtId="0" fontId="3" fillId="23" borderId="60" xfId="0" applyFont="1" applyFill="1" applyBorder="1" applyAlignment="1">
      <alignment horizontal="center" vertical="center"/>
    </xf>
    <xf numFmtId="0" fontId="0" fillId="23" borderId="24" xfId="0" applyFill="1" applyBorder="1" applyAlignment="1">
      <alignment horizontal="center"/>
    </xf>
    <xf numFmtId="0" fontId="0" fillId="23" borderId="25" xfId="0" applyFill="1" applyBorder="1" applyAlignment="1">
      <alignment horizontal="center"/>
    </xf>
    <xf numFmtId="0" fontId="23" fillId="3" borderId="3" xfId="4" applyFont="1" applyFill="1" applyBorder="1" applyAlignment="1">
      <alignment horizontal="center" vertical="center" wrapText="1"/>
    </xf>
    <xf numFmtId="0" fontId="23" fillId="3" borderId="2" xfId="4" applyFont="1" applyFill="1" applyBorder="1" applyAlignment="1">
      <alignment horizontal="center" vertical="center" wrapText="1"/>
    </xf>
    <xf numFmtId="0" fontId="23" fillId="3" borderId="10" xfId="4" applyFont="1" applyFill="1" applyBorder="1" applyAlignment="1">
      <alignment horizontal="center" vertical="center" wrapText="1"/>
    </xf>
    <xf numFmtId="0" fontId="23" fillId="3" borderId="15" xfId="4" applyFont="1" applyFill="1" applyBorder="1" applyAlignment="1">
      <alignment horizontal="center" vertical="center" wrapText="1"/>
    </xf>
    <xf numFmtId="0" fontId="0" fillId="3" borderId="2" xfId="0" applyFill="1" applyBorder="1" applyAlignment="1">
      <alignment horizontal="center" vertical="center"/>
    </xf>
    <xf numFmtId="0" fontId="0" fillId="3" borderId="8" xfId="0" applyFill="1" applyBorder="1" applyAlignment="1">
      <alignment horizontal="left" vertical="center"/>
    </xf>
    <xf numFmtId="0" fontId="0" fillId="3" borderId="6" xfId="0" applyFill="1" applyBorder="1" applyAlignment="1">
      <alignment horizontal="left" vertical="center"/>
    </xf>
    <xf numFmtId="0" fontId="0" fillId="12" borderId="56" xfId="0" applyFill="1" applyBorder="1" applyAlignment="1">
      <alignment horizontal="center" vertical="center" wrapText="1"/>
    </xf>
    <xf numFmtId="0" fontId="0" fillId="12" borderId="2" xfId="0" applyFill="1" applyBorder="1" applyAlignment="1">
      <alignment horizontal="center" vertical="center" wrapText="1"/>
    </xf>
    <xf numFmtId="0" fontId="0" fillId="16" borderId="5" xfId="0" applyFill="1" applyBorder="1" applyAlignment="1">
      <alignment horizontal="center" vertical="center"/>
    </xf>
    <xf numFmtId="0" fontId="0" fillId="16" borderId="13" xfId="0" applyFill="1" applyBorder="1" applyAlignment="1">
      <alignment horizontal="center" vertical="center"/>
    </xf>
    <xf numFmtId="0" fontId="0" fillId="3" borderId="0" xfId="0" applyFill="1" applyBorder="1" applyAlignment="1">
      <alignment horizontal="center" vertical="center"/>
    </xf>
    <xf numFmtId="0" fontId="0" fillId="3" borderId="14" xfId="0" applyFill="1" applyBorder="1" applyAlignment="1">
      <alignment horizontal="center" vertical="center"/>
    </xf>
    <xf numFmtId="0" fontId="0" fillId="16" borderId="0" xfId="0" applyFill="1" applyBorder="1" applyAlignment="1">
      <alignment horizontal="center" vertical="center"/>
    </xf>
    <xf numFmtId="0" fontId="0" fillId="16" borderId="14" xfId="0" applyFill="1" applyBorder="1" applyAlignment="1">
      <alignment horizontal="center" vertical="center"/>
    </xf>
    <xf numFmtId="0" fontId="0" fillId="12" borderId="0" xfId="0" applyFill="1" applyAlignment="1">
      <alignment horizontal="right"/>
    </xf>
    <xf numFmtId="0" fontId="2" fillId="13" borderId="17" xfId="0" applyFont="1" applyFill="1" applyBorder="1" applyAlignment="1">
      <alignment horizontal="center"/>
    </xf>
    <xf numFmtId="0" fontId="0" fillId="11" borderId="8" xfId="0" applyFill="1" applyBorder="1" applyAlignment="1">
      <alignment horizontal="left"/>
    </xf>
    <xf numFmtId="0" fontId="0" fillId="11" borderId="14" xfId="0" applyFill="1" applyBorder="1" applyAlignment="1">
      <alignment horizontal="left"/>
    </xf>
    <xf numFmtId="0" fontId="0" fillId="11" borderId="8" xfId="0" applyFill="1" applyBorder="1" applyAlignment="1">
      <alignment horizontal="center"/>
    </xf>
    <xf numFmtId="0" fontId="0" fillId="11" borderId="14" xfId="0" applyFill="1" applyBorder="1" applyAlignment="1">
      <alignment horizontal="center"/>
    </xf>
    <xf numFmtId="0" fontId="0" fillId="13" borderId="8" xfId="0" applyFill="1" applyBorder="1" applyAlignment="1">
      <alignment horizontal="center"/>
    </xf>
    <xf numFmtId="0" fontId="0" fillId="13" borderId="14" xfId="0" applyFill="1" applyBorder="1" applyAlignment="1">
      <alignment horizontal="center"/>
    </xf>
    <xf numFmtId="0" fontId="0" fillId="11" borderId="3" xfId="0" applyFill="1" applyBorder="1" applyAlignment="1">
      <alignment horizontal="center"/>
    </xf>
    <xf numFmtId="0" fontId="0" fillId="11" borderId="2" xfId="0" applyFill="1" applyBorder="1" applyAlignment="1">
      <alignment horizontal="center"/>
    </xf>
    <xf numFmtId="0" fontId="0" fillId="11" borderId="1" xfId="0" applyFill="1" applyBorder="1" applyAlignment="1">
      <alignment horizontal="center"/>
    </xf>
    <xf numFmtId="0" fontId="17" fillId="11" borderId="12" xfId="4" applyFont="1" applyFill="1" applyBorder="1" applyAlignment="1">
      <alignment horizontal="center" vertical="center"/>
    </xf>
    <xf numFmtId="0" fontId="17" fillId="11" borderId="9" xfId="4" applyFont="1" applyFill="1" applyBorder="1" applyAlignment="1">
      <alignment horizontal="center" vertical="center"/>
    </xf>
    <xf numFmtId="0" fontId="17" fillId="11" borderId="7" xfId="4" applyFont="1" applyFill="1" applyBorder="1" applyAlignment="1">
      <alignment horizontal="center" vertical="center"/>
    </xf>
    <xf numFmtId="0" fontId="3" fillId="11" borderId="3" xfId="0" applyFont="1" applyFill="1" applyBorder="1" applyAlignment="1">
      <alignment horizontal="center" vertical="center"/>
    </xf>
    <xf numFmtId="0" fontId="3" fillId="11" borderId="2" xfId="0" applyFont="1" applyFill="1" applyBorder="1" applyAlignment="1">
      <alignment horizontal="center" vertical="center"/>
    </xf>
    <xf numFmtId="0" fontId="3" fillId="11" borderId="1" xfId="0" applyFont="1" applyFill="1" applyBorder="1" applyAlignment="1">
      <alignment horizontal="center" vertical="center"/>
    </xf>
    <xf numFmtId="0" fontId="0" fillId="11" borderId="6" xfId="0" applyFill="1" applyBorder="1" applyAlignment="1">
      <alignment horizontal="left"/>
    </xf>
    <xf numFmtId="0" fontId="0" fillId="13" borderId="6" xfId="0" applyFill="1" applyBorder="1" applyAlignment="1">
      <alignment horizontal="center"/>
    </xf>
    <xf numFmtId="0" fontId="0" fillId="13" borderId="13" xfId="0" applyFill="1" applyBorder="1" applyAlignment="1">
      <alignment horizontal="center"/>
    </xf>
    <xf numFmtId="0" fontId="0" fillId="19" borderId="18" xfId="0" applyFill="1" applyBorder="1" applyAlignment="1">
      <alignment horizontal="center" vertical="center"/>
    </xf>
    <xf numFmtId="0" fontId="0" fillId="17" borderId="11" xfId="0" applyFill="1" applyBorder="1" applyAlignment="1">
      <alignment horizontal="center" vertical="center" textRotation="90"/>
    </xf>
    <xf numFmtId="0" fontId="0" fillId="17" borderId="15" xfId="0" applyFill="1" applyBorder="1" applyAlignment="1">
      <alignment horizontal="center" vertical="center" textRotation="90"/>
    </xf>
    <xf numFmtId="0" fontId="0" fillId="17" borderId="6" xfId="0" applyFill="1" applyBorder="1" applyAlignment="1">
      <alignment horizontal="center" vertical="center" textRotation="90"/>
    </xf>
    <xf numFmtId="0" fontId="0" fillId="17" borderId="13" xfId="0" applyFill="1" applyBorder="1" applyAlignment="1">
      <alignment horizontal="center" vertical="center" textRotation="90"/>
    </xf>
    <xf numFmtId="0" fontId="0" fillId="17" borderId="3" xfId="0" applyFill="1" applyBorder="1" applyAlignment="1">
      <alignment horizontal="center" vertical="center"/>
    </xf>
    <xf numFmtId="0" fontId="0" fillId="17" borderId="1" xfId="0" applyFill="1" applyBorder="1" applyAlignment="1">
      <alignment horizontal="center" vertical="center"/>
    </xf>
    <xf numFmtId="0" fontId="0" fillId="19" borderId="5" xfId="0" applyFill="1" applyBorder="1" applyAlignment="1">
      <alignment horizontal="center" vertical="center"/>
    </xf>
    <xf numFmtId="0" fontId="0" fillId="31" borderId="0" xfId="0" applyFill="1" applyAlignment="1">
      <alignment horizontal="center" vertical="center"/>
    </xf>
    <xf numFmtId="0" fontId="0" fillId="31" borderId="17" xfId="0" applyFill="1" applyBorder="1" applyAlignment="1">
      <alignment horizontal="center" vertical="center"/>
    </xf>
    <xf numFmtId="0" fontId="0" fillId="31" borderId="5" xfId="0" applyFill="1" applyBorder="1" applyAlignment="1">
      <alignment horizontal="center" vertical="center"/>
    </xf>
    <xf numFmtId="0" fontId="0" fillId="31" borderId="8" xfId="0" applyFill="1" applyBorder="1" applyAlignment="1">
      <alignment horizontal="center" vertical="center" textRotation="90"/>
    </xf>
    <xf numFmtId="0" fontId="0" fillId="31" borderId="14" xfId="0" applyFill="1" applyBorder="1" applyAlignment="1">
      <alignment horizontal="center" vertical="center" textRotation="90"/>
    </xf>
    <xf numFmtId="0" fontId="0" fillId="31" borderId="6" xfId="0" applyFill="1" applyBorder="1" applyAlignment="1">
      <alignment horizontal="center" vertical="center" textRotation="90"/>
    </xf>
    <xf numFmtId="0" fontId="0" fillId="31" borderId="13" xfId="0" applyFill="1" applyBorder="1" applyAlignment="1">
      <alignment horizontal="center" vertical="center" textRotation="90"/>
    </xf>
    <xf numFmtId="0" fontId="0" fillId="11" borderId="5" xfId="0" applyFill="1" applyBorder="1" applyAlignment="1">
      <alignment horizontal="center" vertical="center"/>
    </xf>
    <xf numFmtId="0" fontId="0" fillId="3" borderId="11" xfId="0" applyFill="1" applyBorder="1" applyAlignment="1">
      <alignment horizontal="center" vertical="center" textRotation="90"/>
    </xf>
    <xf numFmtId="0" fontId="0" fillId="3" borderId="15" xfId="0" applyFill="1" applyBorder="1" applyAlignment="1">
      <alignment horizontal="center" vertical="center" textRotation="90"/>
    </xf>
    <xf numFmtId="0" fontId="0" fillId="3" borderId="8" xfId="0" applyFill="1" applyBorder="1" applyAlignment="1">
      <alignment horizontal="center" vertical="center" textRotation="90"/>
    </xf>
    <xf numFmtId="0" fontId="0" fillId="3" borderId="14" xfId="0" applyFill="1" applyBorder="1" applyAlignment="1">
      <alignment horizontal="center" vertical="center" textRotation="90"/>
    </xf>
    <xf numFmtId="0" fontId="0" fillId="3" borderId="6" xfId="0" applyFill="1" applyBorder="1" applyAlignment="1">
      <alignment horizontal="center" vertical="center" textRotation="90"/>
    </xf>
    <xf numFmtId="0" fontId="0" fillId="3" borderId="13" xfId="0" applyFill="1" applyBorder="1" applyAlignment="1">
      <alignment horizontal="center" vertical="center" textRotation="90"/>
    </xf>
    <xf numFmtId="0" fontId="0" fillId="3" borderId="18" xfId="0" applyFill="1" applyBorder="1" applyAlignment="1">
      <alignment horizontal="center" vertical="center"/>
    </xf>
    <xf numFmtId="0" fontId="0" fillId="3" borderId="5" xfId="0" applyFill="1" applyBorder="1" applyAlignment="1">
      <alignment horizontal="center" vertical="center"/>
    </xf>
    <xf numFmtId="0" fontId="0" fillId="19" borderId="17" xfId="0" applyFill="1" applyBorder="1" applyAlignment="1">
      <alignment horizontal="center" vertical="center"/>
    </xf>
    <xf numFmtId="0" fontId="0" fillId="11" borderId="18" xfId="0" applyFill="1" applyBorder="1" applyAlignment="1">
      <alignment horizontal="center" vertical="center"/>
    </xf>
    <xf numFmtId="0" fontId="0" fillId="0" borderId="134" xfId="0" applyBorder="1" applyAlignment="1">
      <alignment horizontal="center" vertical="center"/>
    </xf>
    <xf numFmtId="0" fontId="0" fillId="0" borderId="135" xfId="0" applyBorder="1" applyAlignment="1">
      <alignment horizontal="center" vertical="center"/>
    </xf>
    <xf numFmtId="0" fontId="0" fillId="0" borderId="136" xfId="0" applyBorder="1" applyAlignment="1">
      <alignment horizontal="center" vertical="center"/>
    </xf>
    <xf numFmtId="0" fontId="0" fillId="4" borderId="5" xfId="0" applyFill="1" applyBorder="1" applyAlignment="1">
      <alignment horizontal="center" vertical="center"/>
    </xf>
    <xf numFmtId="0" fontId="0" fillId="11" borderId="11" xfId="0" applyFill="1" applyBorder="1" applyAlignment="1">
      <alignment horizontal="center" vertical="center" textRotation="90" wrapText="1"/>
    </xf>
    <xf numFmtId="0" fontId="0" fillId="11" borderId="15" xfId="0" applyFill="1" applyBorder="1" applyAlignment="1">
      <alignment horizontal="center" vertical="center" textRotation="90" wrapText="1"/>
    </xf>
    <xf numFmtId="0" fontId="0" fillId="11" borderId="8" xfId="0" applyFill="1" applyBorder="1" applyAlignment="1">
      <alignment horizontal="center" vertical="center" textRotation="90" wrapText="1"/>
    </xf>
    <xf numFmtId="0" fontId="0" fillId="11" borderId="14" xfId="0" applyFill="1" applyBorder="1" applyAlignment="1">
      <alignment horizontal="center" vertical="center" textRotation="90" wrapText="1"/>
    </xf>
    <xf numFmtId="0" fontId="0" fillId="11" borderId="6" xfId="0" applyFill="1" applyBorder="1" applyAlignment="1">
      <alignment horizontal="center" vertical="center" textRotation="90" wrapText="1"/>
    </xf>
    <xf numFmtId="0" fontId="0" fillId="11" borderId="13" xfId="0" applyFill="1" applyBorder="1" applyAlignment="1">
      <alignment horizontal="center" vertical="center" textRotation="90" wrapText="1"/>
    </xf>
    <xf numFmtId="0" fontId="0" fillId="4" borderId="11" xfId="0" applyFill="1" applyBorder="1" applyAlignment="1">
      <alignment horizontal="center" vertical="center" textRotation="90"/>
    </xf>
    <xf numFmtId="0" fontId="0" fillId="4" borderId="15" xfId="0" applyFill="1" applyBorder="1" applyAlignment="1">
      <alignment horizontal="center" vertical="center" textRotation="90"/>
    </xf>
    <xf numFmtId="0" fontId="0" fillId="4" borderId="8" xfId="0" applyFill="1" applyBorder="1" applyAlignment="1">
      <alignment horizontal="center" vertical="center" textRotation="90"/>
    </xf>
    <xf numFmtId="0" fontId="0" fillId="4" borderId="14" xfId="0" applyFill="1" applyBorder="1" applyAlignment="1">
      <alignment horizontal="center" vertical="center" textRotation="90"/>
    </xf>
    <xf numFmtId="0" fontId="0" fillId="4" borderId="6" xfId="0" applyFill="1" applyBorder="1" applyAlignment="1">
      <alignment horizontal="center" vertical="center" textRotation="90"/>
    </xf>
    <xf numFmtId="0" fontId="0" fillId="4" borderId="13" xfId="0" applyFill="1" applyBorder="1" applyAlignment="1">
      <alignment horizontal="center" vertical="center" textRotation="90"/>
    </xf>
    <xf numFmtId="0" fontId="0" fillId="4" borderId="3" xfId="0" applyFill="1" applyBorder="1" applyAlignment="1">
      <alignment horizontal="center" vertical="center"/>
    </xf>
    <xf numFmtId="0" fontId="0" fillId="4" borderId="1" xfId="0" applyFill="1" applyBorder="1" applyAlignment="1">
      <alignment horizontal="center" vertical="center"/>
    </xf>
    <xf numFmtId="0" fontId="0" fillId="48" borderId="2" xfId="0" applyFill="1" applyBorder="1" applyAlignment="1">
      <alignment horizontal="center" vertical="center"/>
    </xf>
  </cellXfs>
  <cellStyles count="17">
    <cellStyle name="40% - Accent4" xfId="2" builtinId="43"/>
    <cellStyle name="Bad" xfId="14" builtinId="27"/>
    <cellStyle name="Even" xfId="5" xr:uid="{5D9FA5FA-C1B7-4A4F-A1BC-6FD213DCDF71}"/>
    <cellStyle name="Good" xfId="13" builtinId="26"/>
    <cellStyle name="Hyperlink" xfId="7" builtinId="8"/>
    <cellStyle name="Input" xfId="15" builtinId="20"/>
    <cellStyle name="Normal" xfId="0" builtinId="0"/>
    <cellStyle name="Normal 2" xfId="8" xr:uid="{F8285CC0-D1E8-8445-9428-A3C02000A4D3}"/>
    <cellStyle name="Normal 2 2" xfId="4" xr:uid="{E573A2A3-CB70-5C42-BEEA-CF29BB66BEAE}"/>
    <cellStyle name="Normal 3" xfId="3" xr:uid="{A09EE894-9B22-364B-9344-D54516781C4D}"/>
    <cellStyle name="Normal 3 2" xfId="12" xr:uid="{1D831A41-F745-A045-A9DE-9F8A621F3B13}"/>
    <cellStyle name="Normal 5" xfId="10" xr:uid="{F8FD314B-F400-A443-9225-E1A08ADE8B4F}"/>
    <cellStyle name="Normal 5 2" xfId="9" xr:uid="{7E390F40-5982-694C-A063-443ED3EF8A18}"/>
    <cellStyle name="Odd" xfId="6" xr:uid="{6993962C-111F-FD49-904D-78A6C0A861C1}"/>
    <cellStyle name="Percent" xfId="1" builtinId="5"/>
    <cellStyle name="Publication_style" xfId="11" xr:uid="{97AA262B-CC22-204E-A936-7A6FF4622DD1}"/>
    <cellStyle name="Warning Text" xfId="16" builtinId="11"/>
  </cellStyles>
  <dxfs count="297">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rgb="FFFAE9E8"/>
      </font>
      <fill>
        <patternFill>
          <bgColor rgb="FFFAE9E8"/>
        </patternFill>
      </fill>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color theme="9" tint="0.79998168889431442"/>
      </font>
      <fill>
        <patternFill>
          <bgColor theme="9" tint="0.79998168889431442"/>
        </patternFill>
      </fill>
      <border>
        <left/>
        <right/>
        <top/>
        <bottom/>
        <vertical/>
        <horizontal/>
      </border>
    </dxf>
    <dxf>
      <font>
        <b val="0"/>
        <i val="0"/>
        <color rgb="FFFAE9E8"/>
      </font>
      <fill>
        <patternFill>
          <bgColor rgb="FFFAE9E8"/>
        </patternFill>
      </fill>
      <border>
        <left/>
        <right/>
        <top/>
        <bottom/>
        <vertical/>
        <horizontal/>
      </border>
    </dxf>
    <dxf>
      <font>
        <b val="0"/>
        <i val="0"/>
        <color rgb="FFFAE9E8"/>
      </font>
      <fill>
        <patternFill>
          <bgColor rgb="FFFAE9E8"/>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b val="0"/>
        <i val="0"/>
        <color theme="9" tint="0.79998168889431442"/>
      </font>
      <fill>
        <patternFill>
          <bgColor theme="9" tint="0.79998168889431442"/>
        </patternFill>
      </fill>
      <border>
        <left/>
        <right/>
        <top/>
        <bottom/>
        <vertical/>
        <horizontal/>
      </border>
    </dxf>
    <dxf>
      <font>
        <b val="0"/>
        <i val="0"/>
        <color theme="9" tint="0.79998168889431442"/>
      </font>
      <fill>
        <patternFill>
          <bgColor theme="9" tint="0.79998168889431442"/>
        </patternFill>
      </fill>
      <border>
        <left/>
        <right/>
        <top/>
        <bottom/>
        <vertical/>
        <horizontal/>
      </border>
    </dxf>
    <dxf>
      <font>
        <b val="0"/>
        <i val="0"/>
        <color theme="9" tint="0.79998168889431442"/>
      </font>
      <fill>
        <patternFill>
          <bgColor theme="9" tint="0.79998168889431442"/>
        </patternFill>
      </fill>
      <border>
        <left/>
        <right/>
        <top/>
        <bottom/>
        <vertical/>
        <horizontal/>
      </border>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9" tint="0.79998168889431442"/>
      </font>
      <fill>
        <patternFill>
          <bgColor theme="9" tint="0.79998168889431442"/>
        </patternFill>
      </fill>
    </dxf>
    <dxf>
      <font>
        <color theme="9" tint="0.79998168889431442"/>
      </font>
      <fill>
        <patternFill>
          <bgColor theme="9" tint="0.79998168889431442"/>
        </patternFill>
      </fill>
    </dxf>
    <dxf>
      <font>
        <b val="0"/>
        <i val="0"/>
        <color theme="9" tint="0.79998168889431442"/>
      </font>
      <fill>
        <patternFill>
          <bgColor theme="9" tint="0.79998168889431442"/>
        </patternFill>
      </fill>
      <border>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
      <font>
        <color rgb="FFFAE9E8"/>
      </font>
      <fill>
        <patternFill>
          <bgColor rgb="FFFAE9E8"/>
        </patternFill>
      </fill>
      <border>
        <left/>
        <right/>
        <top/>
        <bottom/>
        <vertical/>
        <horizontal/>
      </border>
    </dxf>
    <dxf>
      <font>
        <color rgb="FFFAE9E8"/>
      </font>
      <fill>
        <patternFill>
          <bgColor rgb="FFFAE9E8"/>
        </patternFill>
      </fill>
      <border>
        <left/>
        <right/>
        <top/>
        <bottom/>
        <vertical/>
        <horizontal/>
      </border>
    </dxf>
    <dxf>
      <font>
        <color theme="0" tint="-4.9989318521683403E-2"/>
      </font>
      <fill>
        <patternFill patternType="solid">
          <bgColor theme="0" tint="-4.9989318521683403E-2"/>
        </patternFill>
      </fill>
      <border>
        <left/>
        <right/>
        <top/>
        <bottom/>
        <vertical/>
        <horizontal/>
      </border>
    </dxf>
    <dxf>
      <font>
        <color theme="9" tint="0.79998168889431442"/>
      </font>
      <fill>
        <patternFill>
          <bgColor theme="9" tint="0.79998168889431442"/>
        </patternFill>
      </fill>
      <border>
        <left/>
        <right/>
        <top/>
        <bottom/>
        <vertical/>
        <horizontal/>
      </border>
    </dxf>
    <dxf>
      <font>
        <color rgb="FFFAE9E8"/>
      </font>
      <fill>
        <patternFill>
          <bgColor rgb="FFFAE9E8"/>
        </patternFill>
      </fill>
    </dxf>
    <dxf>
      <font>
        <color rgb="FFFAE9E8"/>
      </font>
      <fill>
        <patternFill>
          <bgColor rgb="FFFAE9E8"/>
        </patternFill>
      </fill>
    </dxf>
    <dxf>
      <font>
        <color rgb="FFFAE9E8"/>
      </font>
      <fill>
        <patternFill>
          <bgColor rgb="FFFAE9E8"/>
        </patternFill>
      </fill>
    </dxf>
    <dxf>
      <font>
        <color rgb="FFFAE9E8"/>
      </font>
      <fill>
        <patternFill>
          <bgColor rgb="FFFAE9E8"/>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b val="0"/>
        <i val="0"/>
        <color theme="8" tint="0.79998168889431442"/>
      </font>
      <fill>
        <patternFill>
          <bgColor theme="8" tint="0.79998168889431442"/>
        </patternFill>
      </fill>
      <border>
        <left/>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theme="7" tint="-0.24994659260841701"/>
      </font>
    </dxf>
    <dxf>
      <font>
        <color rgb="FF9C0006"/>
      </font>
    </dxf>
    <dxf>
      <font>
        <color theme="9"/>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rgb="FF9C0006"/>
      </font>
    </dxf>
    <dxf>
      <font>
        <color theme="9"/>
      </font>
    </dxf>
    <dxf>
      <font>
        <color theme="7" tint="-0.24994659260841701"/>
      </font>
    </dxf>
    <dxf>
      <font>
        <color theme="7" tint="-0.24994659260841701"/>
      </font>
    </dxf>
    <dxf>
      <font>
        <color rgb="FF9C0006"/>
      </font>
    </dxf>
    <dxf>
      <font>
        <color theme="9"/>
      </font>
    </dxf>
    <dxf>
      <font>
        <color rgb="FF9C0006"/>
      </font>
    </dxf>
    <dxf>
      <font>
        <color theme="9"/>
      </font>
    </dxf>
    <dxf>
      <font>
        <color theme="7" tint="-0.24994659260841701"/>
      </font>
    </dxf>
    <dxf>
      <font>
        <color theme="9"/>
      </font>
    </dxf>
    <dxf>
      <font>
        <color rgb="FF9C0006"/>
      </font>
    </dxf>
    <dxf>
      <font>
        <color theme="7" tint="-0.24994659260841701"/>
      </font>
    </dxf>
    <dxf>
      <font>
        <color theme="0"/>
      </font>
    </dxf>
    <dxf>
      <font>
        <color theme="0"/>
      </font>
    </dxf>
    <dxf>
      <font>
        <color theme="0"/>
      </font>
    </dxf>
    <dxf>
      <font>
        <color theme="0"/>
      </font>
    </dxf>
    <dxf>
      <font>
        <color theme="0"/>
      </font>
    </dxf>
    <dxf>
      <font>
        <color theme="0"/>
      </font>
    </dxf>
    <dxf>
      <font>
        <strike/>
        <color theme="0"/>
      </font>
      <border>
        <vertical/>
        <horizontal/>
      </border>
    </dxf>
    <dxf>
      <font>
        <color theme="0"/>
      </font>
    </dxf>
    <dxf>
      <font>
        <color theme="0"/>
      </font>
    </dxf>
    <dxf>
      <font>
        <b val="0"/>
        <i val="0"/>
        <color theme="9" tint="0.79998168889431442"/>
      </font>
      <fill>
        <patternFill>
          <bgColor theme="9"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3" tint="0.79998168889431442"/>
      </font>
      <fill>
        <patternFill>
          <bgColor theme="3"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b val="0"/>
        <i val="0"/>
        <color theme="8" tint="0.79998168889431442"/>
      </font>
      <fill>
        <patternFill>
          <bgColor theme="8" tint="0.79998168889431442"/>
        </patternFill>
      </fill>
      <border>
        <left/>
        <right/>
        <top/>
        <bottom/>
        <vertical/>
        <horizontal/>
      </border>
    </dxf>
    <dxf>
      <font>
        <b val="0"/>
        <i val="0"/>
        <color theme="9" tint="0.79998168889431442"/>
      </font>
      <fill>
        <patternFill>
          <bgColor theme="9" tint="0.79998168889431442"/>
        </patternFill>
      </fill>
      <border>
        <left/>
        <right/>
        <top/>
        <bottom/>
        <vertical/>
        <horizontal/>
      </border>
    </dxf>
    <dxf>
      <font>
        <b val="0"/>
        <i val="0"/>
        <color theme="9" tint="0.79998168889431442"/>
      </font>
      <fill>
        <patternFill>
          <bgColor theme="9" tint="0.79998168889431442"/>
        </patternFill>
      </fill>
      <border>
        <left/>
        <right/>
        <top/>
        <bottom/>
        <vertical/>
        <horizontal/>
      </border>
    </dxf>
  </dxfs>
  <tableStyles count="0" defaultTableStyle="TableStyleMedium2" defaultPivotStyle="PivotStyleLight16"/>
  <colors>
    <mruColors>
      <color rgb="FFFAE9E8"/>
      <color rgb="FFDADFF3"/>
      <color rgb="FFF8CCAD"/>
      <color rgb="FFFDD7D7"/>
      <color rgb="FFF5C9C9"/>
      <color rgb="FFDFE6DA"/>
      <color rgb="FFFDE4E4"/>
      <color rgb="FFE6EEF0"/>
      <color rgb="FFFFEAED"/>
      <color rgb="FFFDF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6">
                  <a:lumMod val="20000"/>
                  <a:lumOff val="80000"/>
                </a:schemeClr>
              </a:solidFill>
            </c:spPr>
            <c:extLst>
              <c:ext xmlns:c16="http://schemas.microsoft.com/office/drawing/2014/chart" uri="{C3380CC4-5D6E-409C-BE32-E72D297353CC}">
                <c16:uniqueId val="{00000001-B735-4843-8600-7FB5672F5CDE}"/>
              </c:ext>
            </c:extLst>
          </c:dPt>
          <c:dPt>
            <c:idx val="1"/>
            <c:bubble3D val="0"/>
            <c:spPr>
              <a:solidFill>
                <a:schemeClr val="accent5">
                  <a:lumMod val="20000"/>
                  <a:lumOff val="80000"/>
                </a:schemeClr>
              </a:solidFill>
            </c:spPr>
            <c:extLst>
              <c:ext xmlns:c16="http://schemas.microsoft.com/office/drawing/2014/chart" uri="{C3380CC4-5D6E-409C-BE32-E72D297353CC}">
                <c16:uniqueId val="{00000003-B735-4843-8600-7FB5672F5CDE}"/>
              </c:ext>
            </c:extLst>
          </c:dPt>
          <c:dPt>
            <c:idx val="2"/>
            <c:bubble3D val="0"/>
            <c:spPr>
              <a:solidFill>
                <a:schemeClr val="tx2">
                  <a:lumMod val="20000"/>
                  <a:lumOff val="80000"/>
                </a:schemeClr>
              </a:solidFill>
            </c:spPr>
            <c:extLst>
              <c:ext xmlns:c16="http://schemas.microsoft.com/office/drawing/2014/chart" uri="{C3380CC4-5D6E-409C-BE32-E72D297353CC}">
                <c16:uniqueId val="{00000005-B735-4843-8600-7FB5672F5CDE}"/>
              </c:ext>
            </c:extLst>
          </c:dPt>
          <c:dPt>
            <c:idx val="3"/>
            <c:bubble3D val="0"/>
            <c:spPr>
              <a:solidFill>
                <a:srgbClr val="FAE9E8"/>
              </a:solidFill>
            </c:spPr>
            <c:extLst>
              <c:ext xmlns:c16="http://schemas.microsoft.com/office/drawing/2014/chart" uri="{C3380CC4-5D6E-409C-BE32-E72D297353CC}">
                <c16:uniqueId val="{00000007-B735-4843-8600-7FB5672F5C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'Iteration II Simulation'!$S$264:$S$267</c:f>
              <c:strCache>
                <c:ptCount val="4"/>
                <c:pt idx="0">
                  <c:v>Section 1 Road Transport (Commuting)</c:v>
                </c:pt>
                <c:pt idx="1">
                  <c:v>Section 2 Road Transport (Leisure)</c:v>
                </c:pt>
                <c:pt idx="2">
                  <c:v>Section 3 Domestic Heating &amp; Electricity Consumption</c:v>
                </c:pt>
                <c:pt idx="3">
                  <c:v>Section 4 Delivery</c:v>
                </c:pt>
              </c:strCache>
            </c:strRef>
          </c:cat>
          <c:val>
            <c:numRef>
              <c:f>'Iteration II Simulation'!$T$264:$T$267</c:f>
              <c:numCache>
                <c:formatCode>_-[$£-809]* #,##0.00_-;\-[$£-809]* #,##0.00_-;_-[$£-809]* "-"??_-;_-@_-</c:formatCode>
                <c:ptCount val="4"/>
                <c:pt idx="0">
                  <c:v>0</c:v>
                </c:pt>
                <c:pt idx="1">
                  <c:v>0</c:v>
                </c:pt>
                <c:pt idx="2">
                  <c:v>#N/A</c:v>
                </c:pt>
                <c:pt idx="3">
                  <c:v>0</c:v>
                </c:pt>
              </c:numCache>
            </c:numRef>
          </c:val>
          <c:extLst>
            <c:ext xmlns:c16="http://schemas.microsoft.com/office/drawing/2014/chart" uri="{C3380CC4-5D6E-409C-BE32-E72D297353CC}">
              <c16:uniqueId val="{00000008-B735-4843-8600-7FB5672F5CDE}"/>
            </c:ext>
          </c:extLst>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5415310911990896"/>
          <c:y val="6.427922714419694E-2"/>
          <c:w val="0.3563637546310926"/>
          <c:h val="0.81468623605612223"/>
        </c:manualLayout>
      </c:layout>
      <c:overlay val="0"/>
      <c:txPr>
        <a:bodyPr/>
        <a:lstStyle/>
        <a:p>
          <a:pPr rtl="0">
            <a:defRPr sz="900">
              <a:solidFill>
                <a:schemeClr val="tx1">
                  <a:lumMod val="50000"/>
                  <a:lumOff val="50000"/>
                </a:schemeClr>
              </a:solidFill>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Adjustments</a:t>
            </a:r>
          </a:p>
        </c:rich>
      </c:tx>
      <c:overlay val="0"/>
    </c:title>
    <c:autoTitleDeleted val="0"/>
    <c:plotArea>
      <c:layout/>
      <c:doughnutChart>
        <c:varyColors val="1"/>
        <c:ser>
          <c:idx val="0"/>
          <c:order val="0"/>
          <c:dPt>
            <c:idx val="0"/>
            <c:bubble3D val="0"/>
            <c:spPr>
              <a:solidFill>
                <a:schemeClr val="accent6">
                  <a:lumMod val="20000"/>
                  <a:lumOff val="80000"/>
                </a:schemeClr>
              </a:solidFill>
            </c:spPr>
            <c:extLst>
              <c:ext xmlns:c16="http://schemas.microsoft.com/office/drawing/2014/chart" uri="{C3380CC4-5D6E-409C-BE32-E72D297353CC}">
                <c16:uniqueId val="{00000001-428B-3F47-B999-611D607F5F37}"/>
              </c:ext>
            </c:extLst>
          </c:dPt>
          <c:dPt>
            <c:idx val="1"/>
            <c:bubble3D val="0"/>
            <c:spPr>
              <a:solidFill>
                <a:schemeClr val="accent5">
                  <a:lumMod val="20000"/>
                  <a:lumOff val="80000"/>
                </a:schemeClr>
              </a:solidFill>
            </c:spPr>
            <c:extLst>
              <c:ext xmlns:c16="http://schemas.microsoft.com/office/drawing/2014/chart" uri="{C3380CC4-5D6E-409C-BE32-E72D297353CC}">
                <c16:uniqueId val="{00000003-428B-3F47-B999-611D607F5F37}"/>
              </c:ext>
            </c:extLst>
          </c:dPt>
          <c:dPt>
            <c:idx val="2"/>
            <c:bubble3D val="0"/>
            <c:spPr>
              <a:solidFill>
                <a:schemeClr val="tx2">
                  <a:lumMod val="20000"/>
                  <a:lumOff val="80000"/>
                </a:schemeClr>
              </a:solidFill>
            </c:spPr>
            <c:extLst>
              <c:ext xmlns:c16="http://schemas.microsoft.com/office/drawing/2014/chart" uri="{C3380CC4-5D6E-409C-BE32-E72D297353CC}">
                <c16:uniqueId val="{00000005-428B-3F47-B999-611D607F5F37}"/>
              </c:ext>
            </c:extLst>
          </c:dPt>
          <c:dPt>
            <c:idx val="3"/>
            <c:bubble3D val="0"/>
            <c:spPr>
              <a:solidFill>
                <a:srgbClr val="FAE9E8"/>
              </a:solidFill>
            </c:spPr>
            <c:extLst>
              <c:ext xmlns:c16="http://schemas.microsoft.com/office/drawing/2014/chart" uri="{C3380CC4-5D6E-409C-BE32-E72D297353CC}">
                <c16:uniqueId val="{00000007-428B-3F47-B999-611D607F5F37}"/>
              </c:ext>
            </c:extLst>
          </c:dPt>
          <c:dPt>
            <c:idx val="4"/>
            <c:bubble3D val="0"/>
            <c:spPr>
              <a:solidFill>
                <a:schemeClr val="tx1">
                  <a:lumMod val="50000"/>
                  <a:lumOff val="50000"/>
                </a:schemeClr>
              </a:solidFill>
            </c:spPr>
            <c:extLst>
              <c:ext xmlns:c16="http://schemas.microsoft.com/office/drawing/2014/chart" uri="{C3380CC4-5D6E-409C-BE32-E72D297353CC}">
                <c16:uniqueId val="{0000000A-428B-3F47-B999-611D607F5F37}"/>
              </c:ext>
            </c:extLst>
          </c:dPt>
          <c:dPt>
            <c:idx val="5"/>
            <c:bubble3D val="0"/>
            <c:spPr>
              <a:solidFill>
                <a:srgbClr val="C00000"/>
              </a:solidFill>
            </c:spPr>
            <c:extLst>
              <c:ext xmlns:c16="http://schemas.microsoft.com/office/drawing/2014/chart" uri="{C3380CC4-5D6E-409C-BE32-E72D297353CC}">
                <c16:uniqueId val="{0000000B-428B-3F47-B999-611D607F5F3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'Iteration II Simulation'!$S$270:$S$275</c:f>
              <c:strCache>
                <c:ptCount val="6"/>
                <c:pt idx="0">
                  <c:v>Section 1 Road Transport (Commuting)</c:v>
                </c:pt>
                <c:pt idx="1">
                  <c:v>Section 2 Road Transport (Leisure)</c:v>
                </c:pt>
                <c:pt idx="2">
                  <c:v>Section 3 Domestic Heating &amp; Electricity Consumption</c:v>
                </c:pt>
                <c:pt idx="3">
                  <c:v>Section 4 Delivery</c:v>
                </c:pt>
                <c:pt idx="4">
                  <c:v>Decrease</c:v>
                </c:pt>
                <c:pt idx="5">
                  <c:v>Increase</c:v>
                </c:pt>
              </c:strCache>
            </c:strRef>
          </c:cat>
          <c:val>
            <c:numRef>
              <c:f>'Iteration II Simulation'!$T$270:$T$275</c:f>
              <c:numCache>
                <c:formatCode>_-[$£-809]* #,##0.00_-;\-[$£-809]* #,##0.00_-;_-[$£-809]* "-"??_-;_-@_-</c:formatCode>
                <c:ptCount val="6"/>
                <c:pt idx="0">
                  <c:v>0</c:v>
                </c:pt>
                <c:pt idx="1">
                  <c:v>0</c:v>
                </c:pt>
                <c:pt idx="2">
                  <c:v>#N/A</c:v>
                </c:pt>
                <c:pt idx="3">
                  <c:v>0</c:v>
                </c:pt>
                <c:pt idx="4" formatCode="0.00">
                  <c:v>#N/A</c:v>
                </c:pt>
                <c:pt idx="5" formatCode="General">
                  <c:v>#N/A</c:v>
                </c:pt>
              </c:numCache>
            </c:numRef>
          </c:val>
          <c:extLst>
            <c:ext xmlns:c16="http://schemas.microsoft.com/office/drawing/2014/chart" uri="{C3380CC4-5D6E-409C-BE32-E72D297353CC}">
              <c16:uniqueId val="{00000008-428B-3F47-B999-611D607F5F37}"/>
            </c:ext>
          </c:extLst>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5540712939292235"/>
          <c:y val="0.14945677689270309"/>
          <c:w val="0.3563637546310926"/>
          <c:h val="0.81468623605612223"/>
        </c:manualLayout>
      </c:layout>
      <c:overlay val="0"/>
      <c:txPr>
        <a:bodyPr/>
        <a:lstStyle/>
        <a:p>
          <a:pPr rtl="0">
            <a:defRPr sz="900">
              <a:solidFill>
                <a:schemeClr val="tx1">
                  <a:lumMod val="50000"/>
                  <a:lumOff val="50000"/>
                </a:schemeClr>
              </a:solidFill>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Answer</a:t>
            </a:r>
          </a:p>
        </c:rich>
      </c:tx>
      <c:overlay val="0"/>
    </c:title>
    <c:autoTitleDeleted val="0"/>
    <c:plotArea>
      <c:layout/>
      <c:doughnutChart>
        <c:varyColors val="1"/>
        <c:ser>
          <c:idx val="0"/>
          <c:order val="0"/>
          <c:dPt>
            <c:idx val="0"/>
            <c:bubble3D val="0"/>
            <c:spPr>
              <a:solidFill>
                <a:schemeClr val="accent6">
                  <a:lumMod val="20000"/>
                  <a:lumOff val="80000"/>
                </a:schemeClr>
              </a:solidFill>
            </c:spPr>
            <c:extLst>
              <c:ext xmlns:c16="http://schemas.microsoft.com/office/drawing/2014/chart" uri="{C3380CC4-5D6E-409C-BE32-E72D297353CC}">
                <c16:uniqueId val="{00000001-87F8-F847-A3F4-7530B11A6CB7}"/>
              </c:ext>
            </c:extLst>
          </c:dPt>
          <c:dPt>
            <c:idx val="1"/>
            <c:bubble3D val="0"/>
            <c:spPr>
              <a:solidFill>
                <a:schemeClr val="accent5">
                  <a:lumMod val="20000"/>
                  <a:lumOff val="80000"/>
                </a:schemeClr>
              </a:solidFill>
            </c:spPr>
            <c:extLst>
              <c:ext xmlns:c16="http://schemas.microsoft.com/office/drawing/2014/chart" uri="{C3380CC4-5D6E-409C-BE32-E72D297353CC}">
                <c16:uniqueId val="{00000003-87F8-F847-A3F4-7530B11A6CB7}"/>
              </c:ext>
            </c:extLst>
          </c:dPt>
          <c:dPt>
            <c:idx val="2"/>
            <c:bubble3D val="0"/>
            <c:spPr>
              <a:solidFill>
                <a:schemeClr val="tx2">
                  <a:lumMod val="20000"/>
                  <a:lumOff val="80000"/>
                </a:schemeClr>
              </a:solidFill>
            </c:spPr>
            <c:extLst>
              <c:ext xmlns:c16="http://schemas.microsoft.com/office/drawing/2014/chart" uri="{C3380CC4-5D6E-409C-BE32-E72D297353CC}">
                <c16:uniqueId val="{00000005-87F8-F847-A3F4-7530B11A6CB7}"/>
              </c:ext>
            </c:extLst>
          </c:dPt>
          <c:dPt>
            <c:idx val="3"/>
            <c:bubble3D val="0"/>
            <c:spPr>
              <a:solidFill>
                <a:srgbClr val="FAE9E8"/>
              </a:solidFill>
            </c:spPr>
            <c:extLst>
              <c:ext xmlns:c16="http://schemas.microsoft.com/office/drawing/2014/chart" uri="{C3380CC4-5D6E-409C-BE32-E72D297353CC}">
                <c16:uniqueId val="{00000007-87F8-F847-A3F4-7530B11A6CB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'Iteration II Simulation'!$S$264:$S$267</c:f>
              <c:strCache>
                <c:ptCount val="4"/>
                <c:pt idx="0">
                  <c:v>Section 1 Road Transport (Commuting)</c:v>
                </c:pt>
                <c:pt idx="1">
                  <c:v>Section 2 Road Transport (Leisure)</c:v>
                </c:pt>
                <c:pt idx="2">
                  <c:v>Section 3 Domestic Heating &amp; Electricity Consumption</c:v>
                </c:pt>
                <c:pt idx="3">
                  <c:v>Section 4 Delivery</c:v>
                </c:pt>
              </c:strCache>
            </c:strRef>
          </c:cat>
          <c:val>
            <c:numRef>
              <c:f>'Iteration II Simulation'!$T$264:$T$267</c:f>
              <c:numCache>
                <c:formatCode>_-[$£-809]* #,##0.00_-;\-[$£-809]* #,##0.00_-;_-[$£-809]* "-"??_-;_-@_-</c:formatCode>
                <c:ptCount val="4"/>
                <c:pt idx="0">
                  <c:v>0</c:v>
                </c:pt>
                <c:pt idx="1">
                  <c:v>0</c:v>
                </c:pt>
                <c:pt idx="2">
                  <c:v>#N/A</c:v>
                </c:pt>
                <c:pt idx="3">
                  <c:v>0</c:v>
                </c:pt>
              </c:numCache>
            </c:numRef>
          </c:val>
          <c:extLst>
            <c:ext xmlns:c16="http://schemas.microsoft.com/office/drawing/2014/chart" uri="{C3380CC4-5D6E-409C-BE32-E72D297353CC}">
              <c16:uniqueId val="{00000008-87F8-F847-A3F4-7530B11A6CB7}"/>
            </c:ext>
          </c:extLst>
        </c:ser>
        <c:dLbls>
          <c:showLegendKey val="0"/>
          <c:showVal val="0"/>
          <c:showCatName val="0"/>
          <c:showSerName val="0"/>
          <c:showPercent val="1"/>
          <c:showBubbleSize val="0"/>
          <c:showLeaderLines val="1"/>
        </c:dLbls>
        <c:firstSliceAng val="0"/>
        <c:holeSize val="50"/>
      </c:doughnutChart>
    </c:plotArea>
    <c:legend>
      <c:legendPos val="r"/>
      <c:layout>
        <c:manualLayout>
          <c:xMode val="edge"/>
          <c:yMode val="edge"/>
          <c:x val="0.5415310911990896"/>
          <c:y val="6.427922714419694E-2"/>
          <c:w val="0.3563637546310926"/>
          <c:h val="0.81468623605612223"/>
        </c:manualLayout>
      </c:layout>
      <c:overlay val="0"/>
      <c:txPr>
        <a:bodyPr/>
        <a:lstStyle/>
        <a:p>
          <a:pPr rtl="0">
            <a:defRPr sz="900">
              <a:solidFill>
                <a:schemeClr val="tx1">
                  <a:lumMod val="50000"/>
                  <a:lumOff val="50000"/>
                </a:schemeClr>
              </a:solidFill>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drawing5.xml.rels><?xml version="1.0" encoding="UTF-8" standalone="yes"?>
<Relationships xmlns="http://schemas.openxmlformats.org/package/2006/relationships"><Relationship Id="rId1" Type="http://schemas.openxmlformats.org/officeDocument/2006/relationships/image" Target="../media/image8.emf"/></Relationships>
</file>

<file path=xl/drawings/_rels/drawing6.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336647</xdr:colOff>
      <xdr:row>2</xdr:row>
      <xdr:rowOff>190500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4000" y="203200"/>
          <a:ext cx="1987647"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42</xdr:row>
          <xdr:rowOff>177800</xdr:rowOff>
        </xdr:from>
        <xdr:to>
          <xdr:col>7</xdr:col>
          <xdr:colOff>850900</xdr:colOff>
          <xdr:row>44</xdr:row>
          <xdr:rowOff>152400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 Agree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294377</xdr:colOff>
      <xdr:row>198</xdr:row>
      <xdr:rowOff>55216</xdr:rowOff>
    </xdr:from>
    <xdr:to>
      <xdr:col>7</xdr:col>
      <xdr:colOff>840153</xdr:colOff>
      <xdr:row>211</xdr:row>
      <xdr:rowOff>143283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493549</xdr:colOff>
      <xdr:row>232</xdr:row>
      <xdr:rowOff>198383</xdr:rowOff>
    </xdr:from>
    <xdr:to>
      <xdr:col>23</xdr:col>
      <xdr:colOff>139700</xdr:colOff>
      <xdr:row>247</xdr:row>
      <xdr:rowOff>127000</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496676</xdr:colOff>
      <xdr:row>217</xdr:row>
      <xdr:rowOff>34429</xdr:rowOff>
    </xdr:from>
    <xdr:to>
      <xdr:col>23</xdr:col>
      <xdr:colOff>127000</xdr:colOff>
      <xdr:row>232</xdr:row>
      <xdr:rowOff>12701</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317500</xdr:colOff>
          <xdr:row>2</xdr:row>
          <xdr:rowOff>139700</xdr:rowOff>
        </xdr:from>
        <xdr:to>
          <xdr:col>8</xdr:col>
          <xdr:colOff>698500</xdr:colOff>
          <xdr:row>3</xdr:row>
          <xdr:rowOff>304800</xdr:rowOff>
        </xdr:to>
        <xdr:sp macro="" textlink="">
          <xdr:nvSpPr>
            <xdr:cNvPr id="16413" name="Button 29" descr="Refresh" hidden="1">
              <a:extLst>
                <a:ext uri="{63B3BB69-23CF-44E3-9099-C40C66FF867C}">
                  <a14:compatExt spid="_x0000_s16413"/>
                </a:ext>
                <a:ext uri="{FF2B5EF4-FFF2-40B4-BE49-F238E27FC236}">
                  <a16:creationId xmlns:a16="http://schemas.microsoft.com/office/drawing/2014/main" id="{00000000-0008-0000-0200-00001D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REFRESH</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723900</xdr:colOff>
          <xdr:row>214</xdr:row>
          <xdr:rowOff>127000</xdr:rowOff>
        </xdr:from>
        <xdr:to>
          <xdr:col>15</xdr:col>
          <xdr:colOff>1003300</xdr:colOff>
          <xdr:row>215</xdr:row>
          <xdr:rowOff>317500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200-00003D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MATCH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0</xdr:colOff>
      <xdr:row>13</xdr:row>
      <xdr:rowOff>0</xdr:rowOff>
    </xdr:from>
    <xdr:ext cx="7730067" cy="388780"/>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371600" y="3064933"/>
          <a:ext cx="7730067" cy="388780"/>
        </a:xfrm>
        <a:prstGeom prst="rect">
          <a:avLst/>
        </a:prstGeom>
      </xdr:spPr>
    </xdr:pic>
    <xdr:clientData/>
  </xdr:oneCellAnchor>
  <xdr:twoCellAnchor editAs="oneCell">
    <xdr:from>
      <xdr:col>1</xdr:col>
      <xdr:colOff>0</xdr:colOff>
      <xdr:row>19</xdr:row>
      <xdr:rowOff>0</xdr:rowOff>
    </xdr:from>
    <xdr:to>
      <xdr:col>4</xdr:col>
      <xdr:colOff>567233</xdr:colOff>
      <xdr:row>23</xdr:row>
      <xdr:rowOff>102885</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2"/>
        <a:stretch>
          <a:fillRect/>
        </a:stretch>
      </xdr:blipFill>
      <xdr:spPr>
        <a:xfrm>
          <a:off x="548409" y="16726477"/>
          <a:ext cx="5209886" cy="911067"/>
        </a:xfrm>
        <a:prstGeom prst="rect">
          <a:avLst/>
        </a:prstGeom>
      </xdr:spPr>
    </xdr:pic>
    <xdr:clientData/>
  </xdr:twoCellAnchor>
  <xdr:twoCellAnchor editAs="oneCell">
    <xdr:from>
      <xdr:col>1</xdr:col>
      <xdr:colOff>0</xdr:colOff>
      <xdr:row>27</xdr:row>
      <xdr:rowOff>0</xdr:rowOff>
    </xdr:from>
    <xdr:to>
      <xdr:col>4</xdr:col>
      <xdr:colOff>584174</xdr:colOff>
      <xdr:row>30</xdr:row>
      <xdr:rowOff>101023</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stretch>
          <a:fillRect/>
        </a:stretch>
      </xdr:blipFill>
      <xdr:spPr>
        <a:xfrm>
          <a:off x="548409" y="18415000"/>
          <a:ext cx="5226827" cy="707159"/>
        </a:xfrm>
        <a:prstGeom prst="rect">
          <a:avLst/>
        </a:prstGeom>
      </xdr:spPr>
    </xdr:pic>
    <xdr:clientData/>
  </xdr:twoCellAnchor>
  <xdr:twoCellAnchor editAs="oneCell">
    <xdr:from>
      <xdr:col>5</xdr:col>
      <xdr:colOff>1</xdr:colOff>
      <xdr:row>19</xdr:row>
      <xdr:rowOff>0</xdr:rowOff>
    </xdr:from>
    <xdr:to>
      <xdr:col>10</xdr:col>
      <xdr:colOff>53382</xdr:colOff>
      <xdr:row>23</xdr:row>
      <xdr:rowOff>104498</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stretch>
          <a:fillRect/>
        </a:stretch>
      </xdr:blipFill>
      <xdr:spPr>
        <a:xfrm>
          <a:off x="6906518" y="14968876"/>
          <a:ext cx="5375965" cy="903600"/>
        </a:xfrm>
        <a:prstGeom prst="rect">
          <a:avLst/>
        </a:prstGeom>
      </xdr:spPr>
    </xdr:pic>
    <xdr:clientData/>
  </xdr:twoCellAnchor>
  <xdr:twoCellAnchor editAs="oneCell">
    <xdr:from>
      <xdr:col>1</xdr:col>
      <xdr:colOff>0</xdr:colOff>
      <xdr:row>43</xdr:row>
      <xdr:rowOff>0</xdr:rowOff>
    </xdr:from>
    <xdr:to>
      <xdr:col>10</xdr:col>
      <xdr:colOff>1069461</xdr:colOff>
      <xdr:row>60</xdr:row>
      <xdr:rowOff>179917</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38788" y="9871364"/>
          <a:ext cx="12192000" cy="3778250"/>
        </a:xfrm>
        <a:prstGeom prst="rect">
          <a:avLst/>
        </a:prstGeom>
      </xdr:spPr>
    </xdr:pic>
    <xdr:clientData/>
  </xdr:twoCellAnchor>
  <xdr:twoCellAnchor editAs="oneCell">
    <xdr:from>
      <xdr:col>1</xdr:col>
      <xdr:colOff>0</xdr:colOff>
      <xdr:row>70</xdr:row>
      <xdr:rowOff>0</xdr:rowOff>
    </xdr:from>
    <xdr:to>
      <xdr:col>10</xdr:col>
      <xdr:colOff>1069461</xdr:colOff>
      <xdr:row>87</xdr:row>
      <xdr:rowOff>179916</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38788" y="15798030"/>
          <a:ext cx="12192000" cy="37782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30</xdr:col>
      <xdr:colOff>0</xdr:colOff>
      <xdr:row>23</xdr:row>
      <xdr:rowOff>0</xdr:rowOff>
    </xdr:from>
    <xdr:to>
      <xdr:col>34</xdr:col>
      <xdr:colOff>796050</xdr:colOff>
      <xdr:row>31</xdr:row>
      <xdr:rowOff>127605</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22834600" y="6400800"/>
          <a:ext cx="4110750" cy="1765905"/>
        </a:xfrm>
        <a:prstGeom prst="rect">
          <a:avLst/>
        </a:prstGeom>
      </xdr:spPr>
    </xdr:pic>
    <xdr:clientData/>
  </xdr:twoCellAnchor>
  <xdr:twoCellAnchor>
    <xdr:from>
      <xdr:col>24</xdr:col>
      <xdr:colOff>333262</xdr:colOff>
      <xdr:row>48</xdr:row>
      <xdr:rowOff>117093</xdr:rowOff>
    </xdr:from>
    <xdr:to>
      <xdr:col>30</xdr:col>
      <xdr:colOff>546397</xdr:colOff>
      <xdr:row>50</xdr:row>
      <xdr:rowOff>184097</xdr:rowOff>
    </xdr:to>
    <mc:AlternateContent xmlns:mc="http://schemas.openxmlformats.org/markup-compatibility/2006" xmlns:a14="http://schemas.microsoft.com/office/drawing/2010/main">
      <mc:Choice Requires="a14">
        <xdr:sp macro="" textlink="">
          <xdr:nvSpPr>
            <xdr:cNvPr id="4" name="TextBox 1">
              <a:extLst>
                <a:ext uri="{FF2B5EF4-FFF2-40B4-BE49-F238E27FC236}">
                  <a16:creationId xmlns:a16="http://schemas.microsoft.com/office/drawing/2014/main" id="{00000000-0008-0000-0B00-000004000000}"/>
                </a:ext>
              </a:extLst>
            </xdr:cNvPr>
            <xdr:cNvSpPr txBox="1"/>
          </xdr:nvSpPr>
          <xdr:spPr>
            <a:xfrm>
              <a:off x="23409432" y="11565107"/>
              <a:ext cx="5896610" cy="48133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GB" sz="110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EF</m:t>
                    </m:r>
                    <m:r>
                      <a:rPr lang="en-GB" sz="110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m:t>
                    </m:r>
                    <m:r>
                      <a:rPr lang="en-GB" sz="1100" i="1">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 </m:t>
                    </m:r>
                    <m:f>
                      <m:fPr>
                        <m:ctrlPr>
                          <a:rPr lang="en-MY" sz="1100" i="1">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ctrlPr>
                      </m:fPr>
                      <m:num>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3</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sSup>
                              <m:sSup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sSup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sup>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2</m:t>
                                </m:r>
                              </m:sup>
                            </m:sSup>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4×</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5+(</m:t>
                        </m:r>
                        <m:f>
                          <m:f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fPr>
                          <m:num>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6</m:t>
                            </m:r>
                          </m:num>
                          <m:den>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den>
                        </m:f>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num>
                      <m:den>
                        <m:d>
                          <m:dPr>
                            <m:begChr m:val="["/>
                            <m:endChr m:val="]"/>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7×</m:t>
                                </m:r>
                                <m:sSup>
                                  <m:sSup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sSup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sup>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2</m:t>
                                    </m:r>
                                  </m:sup>
                                </m:sSup>
                              </m:e>
                            </m:d>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8×</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9</m:t>
                            </m:r>
                          </m:e>
                        </m:d>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den>
                    </m:f>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10)</m:t>
                    </m:r>
                  </m:oMath>
                </m:oMathPara>
              </a14:m>
              <a:endParaRPr lang="en-MY" sz="1200">
                <a:effectLst/>
                <a:latin typeface="Times New Roman" panose="02020603050405020304" pitchFamily="18" charset="0"/>
                <a:ea typeface="DengXian" panose="02010600030101010101" pitchFamily="2" charset="-122"/>
                <a:cs typeface="Times New Roman" panose="02020603050405020304" pitchFamily="18" charset="0"/>
              </a:endParaRPr>
            </a:p>
          </xdr:txBody>
        </xdr:sp>
      </mc:Choice>
      <mc:Fallback xmlns="">
        <xdr:sp macro="" textlink="">
          <xdr:nvSpPr>
            <xdr:cNvPr id="4" name="TextBox 1">
              <a:extLst>
                <a:ext uri="{FF2B5EF4-FFF2-40B4-BE49-F238E27FC236}">
                  <a16:creationId xmlns:a16="http://schemas.microsoft.com/office/drawing/2014/main" id="{D3DE74C0-0368-4B4C-8CC1-A42F46D3D20B}"/>
                </a:ext>
              </a:extLst>
            </xdr:cNvPr>
            <xdr:cNvSpPr txBox="1"/>
          </xdr:nvSpPr>
          <xdr:spPr>
            <a:xfrm>
              <a:off x="23409432" y="11565107"/>
              <a:ext cx="5896610" cy="48133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a:r>
                <a:rPr lang="en-GB" sz="1100" i="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a:t>EF=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Extract3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2 )+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Extract4×Output1)+Extract5+(Extract6</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Extract7×</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2 )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Extract8×Output1)+Extract9]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(1−Extract10)</a:t>
              </a:r>
              <a:endParaRPr lang="en-MY" sz="1200">
                <a:effectLst/>
                <a:latin typeface="Times New Roman" panose="02020603050405020304" pitchFamily="18" charset="0"/>
                <a:ea typeface="DengXian" panose="02010600030101010101" pitchFamily="2" charset="-122"/>
                <a:cs typeface="Times New Roman" panose="02020603050405020304" pitchFamily="18" charset="0"/>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0</xdr:colOff>
      <xdr:row>29</xdr:row>
      <xdr:rowOff>16933</xdr:rowOff>
    </xdr:from>
    <xdr:to>
      <xdr:col>35</xdr:col>
      <xdr:colOff>144310</xdr:colOff>
      <xdr:row>37</xdr:row>
      <xdr:rowOff>182033</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22453600" y="6976533"/>
          <a:ext cx="4271810" cy="1816100"/>
        </a:xfrm>
        <a:prstGeom prst="rect">
          <a:avLst/>
        </a:prstGeom>
      </xdr:spPr>
    </xdr:pic>
    <xdr:clientData/>
  </xdr:twoCellAnchor>
  <xdr:twoCellAnchor>
    <xdr:from>
      <xdr:col>24</xdr:col>
      <xdr:colOff>279400</xdr:colOff>
      <xdr:row>54</xdr:row>
      <xdr:rowOff>76200</xdr:rowOff>
    </xdr:from>
    <xdr:to>
      <xdr:col>30</xdr:col>
      <xdr:colOff>486410</xdr:colOff>
      <xdr:row>56</xdr:row>
      <xdr:rowOff>151130</xdr:rowOff>
    </xdr:to>
    <mc:AlternateContent xmlns:mc="http://schemas.openxmlformats.org/markup-compatibility/2006" xmlns:a14="http://schemas.microsoft.com/office/drawing/2010/main">
      <mc:Choice Requires="a14">
        <xdr:sp macro="" textlink="">
          <xdr:nvSpPr>
            <xdr:cNvPr id="4" name="TextBox 1">
              <a:extLst>
                <a:ext uri="{FF2B5EF4-FFF2-40B4-BE49-F238E27FC236}">
                  <a16:creationId xmlns:a16="http://schemas.microsoft.com/office/drawing/2014/main" id="{00000000-0008-0000-1000-000004000000}"/>
                </a:ext>
              </a:extLst>
            </xdr:cNvPr>
            <xdr:cNvSpPr txBox="1"/>
          </xdr:nvSpPr>
          <xdr:spPr>
            <a:xfrm>
              <a:off x="23520400" y="13208000"/>
              <a:ext cx="5896610" cy="48133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GB" sz="110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EF</m:t>
                    </m:r>
                    <m:r>
                      <a:rPr lang="en-GB" sz="110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m:t>
                    </m:r>
                    <m:r>
                      <a:rPr lang="en-GB" sz="1100" i="1">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t> </m:t>
                    </m:r>
                    <m:f>
                      <m:fPr>
                        <m:ctrlPr>
                          <a:rPr lang="en-MY" sz="1100" i="1">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m:ctrlPr>
                      </m:fPr>
                      <m:num>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3</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sSup>
                              <m:sSup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sSup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sup>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2</m:t>
                                </m:r>
                              </m:sup>
                            </m:sSup>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4×</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5+(</m:t>
                        </m:r>
                        <m:f>
                          <m:f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fPr>
                          <m:num>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6</m:t>
                            </m:r>
                          </m:num>
                          <m:den>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den>
                        </m:f>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num>
                      <m:den>
                        <m:d>
                          <m:dPr>
                            <m:begChr m:val="["/>
                            <m:endChr m:val="]"/>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7×</m:t>
                                </m:r>
                                <m:sSup>
                                  <m:sSup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sSup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sup>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2</m:t>
                                    </m:r>
                                  </m:sup>
                                </m:sSup>
                              </m:e>
                            </m:d>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d>
                              <m:dPr>
                                <m:ctrlPr>
                                  <a:rPr lang="en-MY"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ctrlPr>
                              </m:dPr>
                              <m:e>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8×</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Output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e>
                            </m:d>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9</m:t>
                            </m:r>
                          </m:e>
                        </m:d>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den>
                    </m:f>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 </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m:t>
                    </m:r>
                    <m:r>
                      <a:rPr lang="en-GB" sz="1100" i="1">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m:t>
                    </m:r>
                    <m:r>
                      <m:rPr>
                        <m:sty m:val="p"/>
                      </m:rP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Extract</m:t>
                    </m:r>
                    <m:r>
                      <a:rPr lang="en-GB" sz="110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m:t>10)</m:t>
                    </m:r>
                  </m:oMath>
                </m:oMathPara>
              </a14:m>
              <a:endParaRPr lang="en-MY" sz="1200">
                <a:effectLst/>
                <a:latin typeface="Times New Roman" panose="02020603050405020304" pitchFamily="18" charset="0"/>
                <a:ea typeface="DengXian" panose="02010600030101010101" pitchFamily="2" charset="-122"/>
                <a:cs typeface="Times New Roman" panose="02020603050405020304" pitchFamily="18" charset="0"/>
              </a:endParaRPr>
            </a:p>
          </xdr:txBody>
        </xdr:sp>
      </mc:Choice>
      <mc:Fallback xmlns="">
        <xdr:sp macro="" textlink="">
          <xdr:nvSpPr>
            <xdr:cNvPr id="4" name="TextBox 1">
              <a:extLst>
                <a:ext uri="{FF2B5EF4-FFF2-40B4-BE49-F238E27FC236}">
                  <a16:creationId xmlns:a16="http://schemas.microsoft.com/office/drawing/2014/main" id="{DB956ADC-2EFA-3E4F-9644-18B3BAFC6DBC}"/>
                </a:ext>
              </a:extLst>
            </xdr:cNvPr>
            <xdr:cNvSpPr txBox="1"/>
          </xdr:nvSpPr>
          <xdr:spPr>
            <a:xfrm>
              <a:off x="23520400" y="13208000"/>
              <a:ext cx="5896610" cy="48133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a:r>
                <a:rPr lang="en-GB" sz="1100" i="0">
                  <a:solidFill>
                    <a:srgbClr val="000000"/>
                  </a:solidFill>
                  <a:effectLst/>
                  <a:latin typeface="Cambria Math" panose="02040503050406030204" pitchFamily="18" charset="0"/>
                  <a:ea typeface="DengXian" panose="02010600030101010101" pitchFamily="2" charset="-122"/>
                  <a:cs typeface="Times New Roman" panose="02020603050405020304" pitchFamily="18" charset="0"/>
                </a:rPr>
                <a:t>EF=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Extract3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2 )+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Extract4×Output1)+Extract5+(Extract6</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Extract7×</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Output1</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2 )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Extract8×Output1)+Extract9]  </a:t>
              </a:r>
              <a:r>
                <a:rPr lang="en-MY"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a:t>
              </a:r>
              <a:r>
                <a:rPr lang="en-GB" sz="1100" i="0">
                  <a:solidFill>
                    <a:srgbClr val="000000"/>
                  </a:solidFill>
                  <a:effectLst/>
                  <a:latin typeface="Cambria Math" panose="02040503050406030204" pitchFamily="18" charset="0"/>
                  <a:ea typeface="Cambria Math" panose="02040503050406030204" pitchFamily="18" charset="0"/>
                  <a:cs typeface="Times New Roman" panose="02020603050405020304" pitchFamily="18" charset="0"/>
                </a:rPr>
                <a:t>× (1−Extract10)</a:t>
              </a:r>
              <a:endParaRPr lang="en-MY" sz="1200">
                <a:effectLst/>
                <a:latin typeface="Times New Roman" panose="02020603050405020304" pitchFamily="18" charset="0"/>
                <a:ea typeface="DengXian" panose="02010600030101010101" pitchFamily="2" charset="-122"/>
                <a:cs typeface="Times New Roman" panose="02020603050405020304" pitchFamily="18" charset="0"/>
              </a:endParaRP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ingyuanwie/Documents/FYP/Key%20Documents/Jing%20Proposed%20New%20Tables%20(Outward%20Ver%20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ration II Simulation"/>
      <sheetName val="Adjustments"/>
      <sheetName val="Data Flow"/>
      <sheetName val="Example Cases"/>
      <sheetName val="List of Ques"/>
      <sheetName val="Tables"/>
      <sheetName val="Outward"/>
      <sheetName val="T1"/>
      <sheetName val="T2"/>
      <sheetName val="T3"/>
      <sheetName val="T4"/>
      <sheetName val="T5 - T7 | T9 - T16"/>
      <sheetName val="T8"/>
    </sheetNames>
    <sheetDataSet>
      <sheetData sheetId="0">
        <row r="11">
          <cell r="D11" t="str">
            <v>Q1</v>
          </cell>
          <cell r="E11" t="str">
            <v>Please enter the outward postcode (First 3-4 characters of your postcode) of the area in which your residence is located.</v>
          </cell>
        </row>
        <row r="14">
          <cell r="D14" t="str">
            <v>Q2</v>
          </cell>
          <cell r="E14" t="str">
            <v>How do you commute work, college or school?</v>
          </cell>
        </row>
        <row r="37">
          <cell r="D37" t="str">
            <v>Q3</v>
          </cell>
          <cell r="E37" t="str">
            <v>What is the type of your car?</v>
          </cell>
          <cell r="L37" t="str">
            <v xml:space="preserve">Q7 </v>
          </cell>
          <cell r="M37" t="str">
            <v>How many hours do you spend on bus for commuting each week?</v>
          </cell>
          <cell r="T37" t="str">
            <v xml:space="preserve">Q8 </v>
          </cell>
          <cell r="U37" t="str">
            <v>What is the type of your motorbike?</v>
          </cell>
        </row>
        <row r="43">
          <cell r="D43" t="str">
            <v>Q4</v>
          </cell>
          <cell r="E43" t="str">
            <v>What Is the age of your car?</v>
          </cell>
        </row>
        <row r="46">
          <cell r="T46" t="str">
            <v>Q9</v>
          </cell>
          <cell r="U46" t="str">
            <v>What is the age of your motorbike?</v>
          </cell>
        </row>
        <row r="50">
          <cell r="D50" t="str">
            <v>Q5</v>
          </cell>
          <cell r="E50" t="str">
            <v>How many hours do you spend on car for commuting each week?</v>
          </cell>
        </row>
        <row r="52">
          <cell r="T52" t="str">
            <v>Q10</v>
          </cell>
          <cell r="U52" t="str">
            <v>How many hours do you spend on motorbike for commuting each week?</v>
          </cell>
        </row>
        <row r="53">
          <cell r="D53" t="str">
            <v>Q6</v>
          </cell>
          <cell r="E53" t="str">
            <v>How many people travel with you to the same place of work, college, or school?</v>
          </cell>
        </row>
        <row r="79">
          <cell r="D79" t="str">
            <v>Q11</v>
          </cell>
          <cell r="E79" t="str">
            <v>Outside of commuting, do you travel by car?</v>
          </cell>
          <cell r="M79" t="str">
            <v>Q16</v>
          </cell>
          <cell r="N79" t="str">
            <v>Outside of commuting, do you travel by bus?</v>
          </cell>
        </row>
        <row r="83">
          <cell r="D83" t="str">
            <v>Q12</v>
          </cell>
          <cell r="E83" t="str">
            <v>What is the type of your car?</v>
          </cell>
          <cell r="M83" t="str">
            <v>Q17</v>
          </cell>
          <cell r="N83" t="str">
            <v>How many hours do you spend on bus outside of commuting each week?</v>
          </cell>
        </row>
        <row r="89">
          <cell r="D89" t="str">
            <v>Q13</v>
          </cell>
          <cell r="E89" t="str">
            <v>What Is the age of your car?</v>
          </cell>
        </row>
        <row r="96">
          <cell r="D96" t="str">
            <v>Q14</v>
          </cell>
          <cell r="E96" t="str">
            <v>How many hours do you spend on car for commuting each week?</v>
          </cell>
        </row>
        <row r="100">
          <cell r="D100" t="str">
            <v>Q15</v>
          </cell>
          <cell r="E100" t="str">
            <v>How many people travel with you to the same destination?</v>
          </cell>
        </row>
        <row r="122">
          <cell r="D122" t="str">
            <v>Q18</v>
          </cell>
          <cell r="E122" t="str">
            <v>What is the size of your residence?</v>
          </cell>
          <cell r="L122" t="str">
            <v>Q20</v>
          </cell>
          <cell r="M122" t="str">
            <v>Do you use a wood-burning stove at home?</v>
          </cell>
          <cell r="S122" t="str">
            <v>Q23</v>
          </cell>
          <cell r="T122" t="str">
            <v>Do you use a gas boiler at home?</v>
          </cell>
          <cell r="Y122" t="str">
            <v>Q25</v>
          </cell>
          <cell r="Z122" t="str">
            <v>Do you use an electric heat pump?</v>
          </cell>
        </row>
        <row r="126">
          <cell r="L126" t="str">
            <v>Q21</v>
          </cell>
          <cell r="M126" t="str">
            <v>What is the type of your wood-burning stove?</v>
          </cell>
          <cell r="S126" t="str">
            <v>Q24</v>
          </cell>
          <cell r="T126" t="str">
            <v>What is the type of your boiler fuel?</v>
          </cell>
        </row>
        <row r="128">
          <cell r="D128" t="str">
            <v>Q19</v>
          </cell>
          <cell r="E128" t="str">
            <v>How many people usually live with you?</v>
          </cell>
        </row>
        <row r="133">
          <cell r="L133" t="str">
            <v>Q22</v>
          </cell>
          <cell r="M133" t="str">
            <v>What are your average hours of operation each week?</v>
          </cell>
        </row>
        <row r="164">
          <cell r="D164" t="str">
            <v>Q26</v>
          </cell>
          <cell r="E164" t="str">
            <v>Excluding food and takeaway deliveries, do you make online purchases (E.g. Clothing, Beauty, Technology, etc.)?</v>
          </cell>
          <cell r="L164" t="str">
            <v>Q28</v>
          </cell>
          <cell r="M164" t="str">
            <v>Do you shop for grocery online (E.g. Sainsbury, Ocado, Asda, etc.)?</v>
          </cell>
        </row>
        <row r="168">
          <cell r="D168" t="str">
            <v>Q27</v>
          </cell>
          <cell r="E168" t="str">
            <v>How many online purchases on average do you receive each month?</v>
          </cell>
          <cell r="L168" t="str">
            <v>Q29</v>
          </cell>
          <cell r="M168" t="str">
            <v>How many grocery shops delivery on average do you receive each month?</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utput" connectionId="1" xr16:uid="{E0279A32-933B-3E4F-A5D5-AFAA8AB6341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utput_1" connectionId="4" xr16:uid="{99EEDB5C-DDCF-0141-A24C-0ADD2EA1FFD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utput_1" connectionId="3" xr16:uid="{D109F88B-56E2-D54F-9E58-5D409859E1DC}"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utput" connectionId="5" xr16:uid="{2B8B223A-F361-E14B-B94B-FB9941CEC7D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utput" connectionId="2" xr16:uid="{69EDC9B7-3E64-B94D-8FCB-53BF55F656F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calculator.cleanairhub.org.uk/quiz"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randd.defra.gov.uk/Document.aspx?Document=EP01013_4724_FRP.pdf" TargetMode="External"/><Relationship Id="rId7" Type="http://schemas.openxmlformats.org/officeDocument/2006/relationships/queryTable" Target="../queryTables/queryTable2.xml"/><Relationship Id="rId2" Type="http://schemas.openxmlformats.org/officeDocument/2006/relationships/hyperlink" Target="https://data.gov.uk/dataset/11bc7aaf-ddf6-4133-a91d-84e6f20a663e/national-trip-end-model-ntem" TargetMode="External"/><Relationship Id="rId1" Type="http://schemas.openxmlformats.org/officeDocument/2006/relationships/hyperlink" Target="https://assets.publishing.service.gov.uk/government/uploads/system/uploads/attachment_data/file/716487/national-transport-model-implementation-report.pdf" TargetMode="External"/><Relationship Id="rId6" Type="http://schemas.openxmlformats.org/officeDocument/2006/relationships/queryTable" Target="../queryTables/queryTable1.xml"/><Relationship Id="rId5" Type="http://schemas.openxmlformats.org/officeDocument/2006/relationships/hyperlink" Target="https://geoportal.statistics.gov.uk/datasets/b8920bf40db14e04a59c331d1663d26e" TargetMode="External"/><Relationship Id="rId4" Type="http://schemas.openxmlformats.org/officeDocument/2006/relationships/hyperlink" Target="https://uk-air.defra.gov.uk/assets/documents/reports/cat09/1902271109_Damage_cost_update_2018_FINAL_Issue_2_publication.pdf"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assets.publishing.service.gov.uk/government/uploads/system/uploads/attachment_data/file/905948/nts0303.ods" TargetMode="External"/><Relationship Id="rId2" Type="http://schemas.openxmlformats.org/officeDocument/2006/relationships/hyperlink" Target="https://assets.publishing.service.gov.uk/government/uploads/system/uploads/attachment_data/file/906068/nts9910.ods" TargetMode="External"/><Relationship Id="rId1" Type="http://schemas.openxmlformats.org/officeDocument/2006/relationships/hyperlink" Target="https://assets.publishing.service.gov.uk/government/uploads/system/uploads/attachment_data/file/964516/cgn0501.ods" TargetMode="Externa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hyperlink" Target="https://geoportal.statistics.gov.uk/datasets/b8920bf40db14e04a59c331d1663d26e"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geoportal.statistics.gov.uk/datasets/b8920bf40db14e04a59c331d1663d26e" TargetMode="External"/><Relationship Id="rId2" Type="http://schemas.openxmlformats.org/officeDocument/2006/relationships/hyperlink" Target="https://assets.publishing.service.gov.uk/government/uploads/system/uploads/attachment_data/file/905948/nts0303.ods" TargetMode="External"/><Relationship Id="rId1" Type="http://schemas.openxmlformats.org/officeDocument/2006/relationships/hyperlink" Target="https://assets.publishing.service.gov.uk/government/uploads/system/uploads/attachment_data/file/906068/nts9910.ods" TargetMode="External"/><Relationship Id="rId4" Type="http://schemas.openxmlformats.org/officeDocument/2006/relationships/queryTable" Target="../queryTables/queryTable5.xml"/></Relationships>
</file>

<file path=xl/worksheets/_rels/sheet16.xml.rels><?xml version="1.0" encoding="UTF-8" standalone="yes"?>
<Relationships xmlns="http://schemas.openxmlformats.org/package/2006/relationships"><Relationship Id="rId8" Type="http://schemas.openxmlformats.org/officeDocument/2006/relationships/hyperlink" Target="https://naei.beis.gov.uk/data/data-selector-results?q=143989" TargetMode="External"/><Relationship Id="rId13" Type="http://schemas.openxmlformats.org/officeDocument/2006/relationships/hyperlink" Target="https://assets.publishing.service.gov.uk/government/uploads/system/uploads/attachment_data/file/929583/bus0301.ods" TargetMode="External"/><Relationship Id="rId3" Type="http://schemas.openxmlformats.org/officeDocument/2006/relationships/hyperlink" Target="https://uk-air.defra.gov.uk/assets/documents/reports/cat09/1902271109_Damage_cost_update_2018_FINAL_Issue_2_publication.pdf" TargetMode="External"/><Relationship Id="rId7" Type="http://schemas.openxmlformats.org/officeDocument/2006/relationships/hyperlink" Target="https://www.ofgem.gov.uk/electricity/retail-market/monitoring-data-and-statistics/typical-domestic-consumption-values" TargetMode="External"/><Relationship Id="rId12" Type="http://schemas.openxmlformats.org/officeDocument/2006/relationships/hyperlink" Target="https://assets.publishing.service.gov.uk/government/uploads/system/uploads/attachment_data/file/651853/Boiler_Plus_final_policy_and_consultation_response.pdf" TargetMode="External"/><Relationship Id="rId2" Type="http://schemas.openxmlformats.org/officeDocument/2006/relationships/hyperlink" Target="https://uk-air.defra.gov.uk/assets/documents/reports/cat09/1902271109_Damage_cost_update_2018_FINAL_Issue_2_publication.pdf" TargetMode="External"/><Relationship Id="rId1" Type="http://schemas.openxmlformats.org/officeDocument/2006/relationships/hyperlink" Target="https://laqm.defra.gov.uk/review-and-assessment/tools/combustion-emission-factors.html" TargetMode="External"/><Relationship Id="rId6" Type="http://schemas.openxmlformats.org/officeDocument/2006/relationships/hyperlink" Target="https://www.ofgem.gov.uk/electricity/retail-market/monitoring-data-and-statistics/typical-domestic-consumption-values" TargetMode="External"/><Relationship Id="rId11" Type="http://schemas.openxmlformats.org/officeDocument/2006/relationships/hyperlink" Target="https://www.rbkc.gov.uk/idoxWAM/doc/Revision%20Content-2427130.pdf?extension=.pdf&amp;id=2427130&amp;location=VOLUME2&amp;contentType=application/pdf&amp;pageCount=1" TargetMode="External"/><Relationship Id="rId5" Type="http://schemas.openxmlformats.org/officeDocument/2006/relationships/hyperlink" Target="https://assets.publishing.service.gov.uk/government/uploads/system/uploads/attachment_data/file/833061/Summary_results_of_the_domestic_wood_use_survey_.pdf" TargetMode="External"/><Relationship Id="rId10" Type="http://schemas.openxmlformats.org/officeDocument/2006/relationships/hyperlink" Target="https://www.dhl.com/content/dam/dhl/global/core/documents/pdf/sustainability-report.pdf" TargetMode="External"/><Relationship Id="rId4" Type="http://schemas.openxmlformats.org/officeDocument/2006/relationships/hyperlink" Target="https://laqm.defra.gov.uk/review-and-assessment/tools/combustion-emission-factors.html" TargetMode="External"/><Relationship Id="rId9" Type="http://schemas.openxmlformats.org/officeDocument/2006/relationships/hyperlink" Target="https://naei.beis.gov.uk/data/data-selector-results?q=143990"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8D106-C7E6-014C-AF95-7CCCC5AA7A04}">
  <sheetPr codeName="Sheet1">
    <tabColor theme="7"/>
  </sheetPr>
  <dimension ref="A2:K45"/>
  <sheetViews>
    <sheetView tabSelected="1" zoomScale="110" zoomScaleNormal="100" workbookViewId="0">
      <selection activeCell="P18" sqref="P18"/>
    </sheetView>
  </sheetViews>
  <sheetFormatPr baseColWidth="10" defaultRowHeight="16"/>
  <cols>
    <col min="1" max="1" width="10.83203125" style="176"/>
    <col min="2" max="2" width="4.1640625" style="176" customWidth="1"/>
    <col min="3" max="16384" width="10.83203125" style="176"/>
  </cols>
  <sheetData>
    <row r="2" spans="1:10" ht="26">
      <c r="A2" s="934"/>
      <c r="B2" s="934" t="s">
        <v>3490</v>
      </c>
    </row>
    <row r="3" spans="1:10">
      <c r="B3" s="176" t="s">
        <v>3493</v>
      </c>
    </row>
    <row r="4" spans="1:10">
      <c r="B4" s="176" t="s">
        <v>3494</v>
      </c>
    </row>
    <row r="5" spans="1:10">
      <c r="B5" s="176" t="s">
        <v>3495</v>
      </c>
    </row>
    <row r="6" spans="1:10">
      <c r="B6" s="176" t="s">
        <v>3537</v>
      </c>
    </row>
    <row r="7" spans="1:10">
      <c r="B7" s="176" t="s">
        <v>3496</v>
      </c>
    </row>
    <row r="8" spans="1:10">
      <c r="B8" s="176" t="s">
        <v>3552</v>
      </c>
    </row>
    <row r="10" spans="1:10">
      <c r="B10" s="976" t="s">
        <v>3522</v>
      </c>
    </row>
    <row r="11" spans="1:10">
      <c r="B11" s="1768" t="s">
        <v>3538</v>
      </c>
      <c r="C11" s="1768"/>
      <c r="D11" s="1768"/>
      <c r="E11" s="1768"/>
      <c r="F11" s="1768"/>
      <c r="G11" s="1768"/>
      <c r="H11" s="1768"/>
      <c r="I11" s="1768"/>
      <c r="J11" s="1768"/>
    </row>
    <row r="12" spans="1:10">
      <c r="B12" s="1768"/>
      <c r="C12" s="1768"/>
      <c r="D12" s="1768"/>
      <c r="E12" s="1768"/>
      <c r="F12" s="1768"/>
      <c r="G12" s="1768"/>
      <c r="H12" s="1768"/>
      <c r="I12" s="1768"/>
      <c r="J12" s="1768"/>
    </row>
    <row r="13" spans="1:10" ht="16" customHeight="1">
      <c r="B13" s="1768"/>
      <c r="C13" s="1768"/>
      <c r="D13" s="1768"/>
      <c r="E13" s="1768"/>
      <c r="F13" s="1768"/>
      <c r="G13" s="1768"/>
      <c r="H13" s="1768"/>
      <c r="I13" s="1768"/>
      <c r="J13" s="1768"/>
    </row>
    <row r="14" spans="1:10">
      <c r="B14" s="176" t="s">
        <v>3534</v>
      </c>
      <c r="F14" s="970" t="s">
        <v>3533</v>
      </c>
    </row>
    <row r="15" spans="1:10" ht="16" customHeight="1"/>
    <row r="16" spans="1:10">
      <c r="B16" s="976" t="s">
        <v>3531</v>
      </c>
    </row>
    <row r="17" spans="2:10">
      <c r="B17" s="1768" t="s">
        <v>3532</v>
      </c>
      <c r="C17" s="1768"/>
      <c r="D17" s="1768"/>
      <c r="E17" s="1768"/>
      <c r="F17" s="1768"/>
      <c r="G17" s="1768"/>
      <c r="H17" s="1768"/>
      <c r="I17" s="1768"/>
      <c r="J17" s="1768"/>
    </row>
    <row r="18" spans="2:10">
      <c r="B18" s="1768"/>
      <c r="C18" s="1768"/>
      <c r="D18" s="1768"/>
      <c r="E18" s="1768"/>
      <c r="F18" s="1768"/>
      <c r="G18" s="1768"/>
      <c r="H18" s="1768"/>
      <c r="I18" s="1768"/>
      <c r="J18" s="1768"/>
    </row>
    <row r="20" spans="2:10">
      <c r="B20" s="976" t="s">
        <v>3492</v>
      </c>
    </row>
    <row r="21" spans="2:10">
      <c r="B21" s="176" t="s">
        <v>3535</v>
      </c>
    </row>
    <row r="22" spans="2:10">
      <c r="B22" s="176" t="s">
        <v>3536</v>
      </c>
    </row>
    <row r="24" spans="2:10">
      <c r="B24" s="976" t="s">
        <v>3539</v>
      </c>
    </row>
    <row r="25" spans="2:10">
      <c r="B25" s="176" t="s">
        <v>3554</v>
      </c>
      <c r="H25" s="970" t="s">
        <v>3519</v>
      </c>
    </row>
    <row r="26" spans="2:10">
      <c r="B26" s="176" t="s">
        <v>3750</v>
      </c>
      <c r="H26" s="970" t="s">
        <v>3519</v>
      </c>
    </row>
    <row r="27" spans="2:10">
      <c r="B27" s="176" t="s">
        <v>3751</v>
      </c>
      <c r="H27" s="970" t="s">
        <v>3519</v>
      </c>
    </row>
    <row r="28" spans="2:10">
      <c r="B28" s="176" t="s">
        <v>3752</v>
      </c>
      <c r="H28" s="970" t="s">
        <v>3519</v>
      </c>
    </row>
    <row r="29" spans="2:10">
      <c r="B29" s="176" t="s">
        <v>3753</v>
      </c>
      <c r="H29" s="970" t="s">
        <v>3519</v>
      </c>
    </row>
    <row r="31" spans="2:10">
      <c r="B31" s="976" t="s">
        <v>3521</v>
      </c>
    </row>
    <row r="32" spans="2:10">
      <c r="B32" s="176" t="s">
        <v>3556</v>
      </c>
    </row>
    <row r="33" spans="2:11">
      <c r="B33" s="176" t="s">
        <v>3703</v>
      </c>
    </row>
    <row r="34" spans="2:11">
      <c r="B34" s="990" t="s">
        <v>3701</v>
      </c>
      <c r="C34" s="176" t="s">
        <v>3702</v>
      </c>
    </row>
    <row r="35" spans="2:11">
      <c r="B35" s="990" t="s">
        <v>3701</v>
      </c>
      <c r="C35" s="176" t="s">
        <v>3720</v>
      </c>
    </row>
    <row r="36" spans="2:11">
      <c r="B36" s="176" t="s">
        <v>3555</v>
      </c>
      <c r="K36" s="114"/>
    </row>
    <row r="37" spans="2:11">
      <c r="B37" s="176" t="s">
        <v>3723</v>
      </c>
      <c r="J37" s="114"/>
      <c r="K37" s="114"/>
    </row>
    <row r="38" spans="2:11">
      <c r="J38" s="114"/>
      <c r="K38" s="114"/>
    </row>
    <row r="39" spans="2:11">
      <c r="B39" s="976" t="s">
        <v>3523</v>
      </c>
      <c r="H39" s="970" t="s">
        <v>3519</v>
      </c>
    </row>
    <row r="40" spans="2:11">
      <c r="I40" s="972"/>
      <c r="J40" s="972"/>
    </row>
    <row r="41" spans="2:11">
      <c r="B41" s="976" t="s">
        <v>3719</v>
      </c>
      <c r="E41" s="972"/>
      <c r="F41" s="972"/>
      <c r="G41" s="972"/>
      <c r="H41" s="972"/>
      <c r="I41" s="972"/>
      <c r="J41" s="972"/>
    </row>
    <row r="42" spans="2:11" ht="17">
      <c r="B42" s="1442"/>
      <c r="C42" s="1442"/>
      <c r="D42" s="972" t="s">
        <v>3748</v>
      </c>
      <c r="E42" s="972"/>
      <c r="F42" s="972"/>
      <c r="G42" s="972"/>
      <c r="H42" s="972"/>
      <c r="I42" s="972"/>
      <c r="J42" s="972"/>
    </row>
    <row r="43" spans="2:11">
      <c r="B43" s="1443"/>
      <c r="C43" s="1443"/>
      <c r="D43" s="114" t="s">
        <v>3749</v>
      </c>
      <c r="E43" s="972"/>
      <c r="F43" s="972"/>
      <c r="G43" s="972"/>
      <c r="H43" s="972"/>
    </row>
    <row r="44" spans="2:11">
      <c r="B44" s="1444"/>
      <c r="C44" s="1444"/>
      <c r="D44" s="114" t="s">
        <v>3717</v>
      </c>
    </row>
    <row r="45" spans="2:11">
      <c r="B45" s="151"/>
      <c r="C45" s="151"/>
      <c r="D45" s="176" t="s">
        <v>3718</v>
      </c>
    </row>
  </sheetData>
  <sheetProtection algorithmName="SHA-512" hashValue="j0/6+9MMez8lzTweYf4SZrNXS3sNYZn7LPjtOP7nqdF07Vftj1LOpvAviUR9X66kG02BameldOGJEa/sXmS/yQ==" saltValue="20avIUzQxvXXJtoj6jgmow==" spinCount="100000" sheet="1" objects="1" scenarios="1"/>
  <mergeCells count="2">
    <mergeCell ref="B17:J18"/>
    <mergeCell ref="B11:J13"/>
  </mergeCells>
  <hyperlinks>
    <hyperlink ref="H28" location="'Iteration II Simulation'!B215" display="Click Here" xr:uid="{89E73B0F-A7AD-4D4C-96B7-CC149B6283DE}"/>
    <hyperlink ref="H29" location="'Iteration II Simulation'!B253" display="Click Here" xr:uid="{64D05418-A12A-8147-94EF-DD66784A7FE1}"/>
    <hyperlink ref="H26" location="'Iteration II Simulation'!L186" display="Click Here" xr:uid="{BB1126FF-DC82-7B4D-A016-4A5ED747148B}"/>
    <hyperlink ref="H25" location="'Iteration II Simulation'!D11" display="Click Here" xr:uid="{504AAB1C-B826-604B-90AB-C0DD1D62C222}"/>
    <hyperlink ref="F14" r:id="rId1" xr:uid="{FFA36D6A-A137-4B4E-B849-7947E3F46DA8}"/>
    <hyperlink ref="H39" location="'Privacy Policy'!A1" display="Click Here" xr:uid="{88EC131C-FC43-DE4F-89E7-2DB4774F579A}"/>
    <hyperlink ref="H27" location="'Iteration II Simulation'!S186" display="Click Here" xr:uid="{93957FD3-E24E-7140-9D14-BB8005A21D7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B9E3D-8B13-FD44-90E1-F87632F31F3A}">
  <sheetPr codeName="Sheet2">
    <tabColor theme="7"/>
  </sheetPr>
  <dimension ref="A1:H43"/>
  <sheetViews>
    <sheetView view="pageBreakPreview" zoomScaleNormal="100" zoomScaleSheetLayoutView="100" workbookViewId="0">
      <selection activeCell="B30" sqref="B30"/>
    </sheetView>
  </sheetViews>
  <sheetFormatPr baseColWidth="10" defaultRowHeight="16"/>
  <cols>
    <col min="1" max="1" width="1.1640625" style="176" customWidth="1"/>
    <col min="2" max="7" width="10.83203125" style="176"/>
    <col min="8" max="8" width="13.1640625" style="176" customWidth="1"/>
    <col min="9" max="16384" width="10.83203125" style="176"/>
  </cols>
  <sheetData>
    <row r="1" spans="1:8" ht="24">
      <c r="A1" s="971" t="s">
        <v>3523</v>
      </c>
    </row>
    <row r="2" spans="1:8">
      <c r="A2" s="176" t="s">
        <v>3524</v>
      </c>
    </row>
    <row r="4" spans="1:8" ht="16" customHeight="1">
      <c r="A4" s="1769" t="s">
        <v>3525</v>
      </c>
      <c r="B4" s="1769"/>
      <c r="C4" s="1769"/>
      <c r="D4" s="1769"/>
      <c r="E4" s="1769"/>
      <c r="F4" s="1769"/>
      <c r="G4" s="1769"/>
      <c r="H4" s="1769"/>
    </row>
    <row r="5" spans="1:8">
      <c r="A5" s="1769"/>
      <c r="B5" s="1769"/>
      <c r="C5" s="1769"/>
      <c r="D5" s="1769"/>
      <c r="E5" s="1769"/>
      <c r="F5" s="1769"/>
      <c r="G5" s="1769"/>
      <c r="H5" s="1769"/>
    </row>
    <row r="6" spans="1:8">
      <c r="A6" s="1769"/>
      <c r="B6" s="1769"/>
      <c r="C6" s="1769"/>
      <c r="D6" s="1769"/>
      <c r="E6" s="1769"/>
      <c r="F6" s="1769"/>
      <c r="G6" s="1769"/>
      <c r="H6" s="1769"/>
    </row>
    <row r="8" spans="1:8" ht="16" customHeight="1">
      <c r="A8" s="1769" t="s">
        <v>3541</v>
      </c>
      <c r="B8" s="1769"/>
      <c r="C8" s="1769"/>
      <c r="D8" s="1769"/>
      <c r="E8" s="1769"/>
      <c r="F8" s="1769"/>
      <c r="G8" s="1769"/>
      <c r="H8" s="1769"/>
    </row>
    <row r="9" spans="1:8">
      <c r="A9" s="1769"/>
      <c r="B9" s="1769"/>
      <c r="C9" s="1769"/>
      <c r="D9" s="1769"/>
      <c r="E9" s="1769"/>
      <c r="F9" s="1769"/>
      <c r="G9" s="1769"/>
      <c r="H9" s="1769"/>
    </row>
    <row r="10" spans="1:8">
      <c r="A10" s="1769"/>
      <c r="B10" s="1769"/>
      <c r="C10" s="1769"/>
      <c r="D10" s="1769"/>
      <c r="E10" s="1769"/>
      <c r="F10" s="1769"/>
      <c r="G10" s="1769"/>
      <c r="H10" s="1769"/>
    </row>
    <row r="12" spans="1:8" ht="24">
      <c r="A12" s="971" t="s">
        <v>3526</v>
      </c>
    </row>
    <row r="13" spans="1:8" ht="19">
      <c r="A13" s="973" t="s">
        <v>3527</v>
      </c>
    </row>
    <row r="14" spans="1:8" ht="16" customHeight="1">
      <c r="A14" s="1769" t="s">
        <v>3528</v>
      </c>
      <c r="B14" s="1769"/>
      <c r="C14" s="1769"/>
      <c r="D14" s="1769"/>
      <c r="E14" s="1769"/>
      <c r="F14" s="1769"/>
      <c r="G14" s="1769"/>
      <c r="H14" s="1769"/>
    </row>
    <row r="15" spans="1:8">
      <c r="A15" s="1769"/>
      <c r="B15" s="1769"/>
      <c r="C15" s="1769"/>
      <c r="D15" s="1769"/>
      <c r="E15" s="1769"/>
      <c r="F15" s="1769"/>
      <c r="G15" s="1769"/>
      <c r="H15" s="1769"/>
    </row>
    <row r="16" spans="1:8">
      <c r="A16" s="1769"/>
      <c r="B16" s="1769"/>
      <c r="C16" s="1769"/>
      <c r="D16" s="1769"/>
      <c r="E16" s="1769"/>
      <c r="F16" s="1769"/>
      <c r="G16" s="1769"/>
      <c r="H16" s="1769"/>
    </row>
    <row r="18" spans="1:8" ht="19">
      <c r="A18" s="973" t="s">
        <v>3529</v>
      </c>
    </row>
    <row r="19" spans="1:8">
      <c r="A19" s="114" t="s">
        <v>3530</v>
      </c>
      <c r="B19" s="972"/>
      <c r="C19" s="972"/>
      <c r="D19" s="972"/>
      <c r="E19" s="972"/>
      <c r="F19" s="972"/>
      <c r="G19" s="972"/>
    </row>
    <row r="20" spans="1:8" ht="16" customHeight="1">
      <c r="A20" s="114"/>
      <c r="B20" s="1769" t="s">
        <v>3543</v>
      </c>
      <c r="C20" s="1769"/>
      <c r="D20" s="1769"/>
      <c r="E20" s="1769"/>
      <c r="F20" s="1769"/>
      <c r="G20" s="1769"/>
      <c r="H20" s="1769"/>
    </row>
    <row r="21" spans="1:8">
      <c r="A21" s="114"/>
      <c r="B21" s="1769"/>
      <c r="C21" s="1769"/>
      <c r="D21" s="1769"/>
      <c r="E21" s="1769"/>
      <c r="F21" s="1769"/>
      <c r="G21" s="1769"/>
      <c r="H21" s="1769"/>
    </row>
    <row r="22" spans="1:8">
      <c r="B22" s="1770" t="s">
        <v>3557</v>
      </c>
      <c r="C22" s="1770"/>
      <c r="D22" s="1770"/>
      <c r="E22" s="1770"/>
      <c r="F22" s="1770"/>
      <c r="G22" s="1770"/>
      <c r="H22" s="1770"/>
    </row>
    <row r="23" spans="1:8" ht="16" customHeight="1">
      <c r="B23" s="1770"/>
      <c r="C23" s="1770"/>
      <c r="D23" s="1770"/>
      <c r="E23" s="1770"/>
      <c r="F23" s="1770"/>
      <c r="G23" s="1770"/>
      <c r="H23" s="1770"/>
    </row>
    <row r="24" spans="1:8" ht="16" customHeight="1">
      <c r="B24" s="1769" t="s">
        <v>3544</v>
      </c>
      <c r="C24" s="1769"/>
      <c r="D24" s="1769"/>
      <c r="E24" s="1769"/>
      <c r="F24" s="1769"/>
      <c r="G24" s="1769"/>
      <c r="H24" s="1769"/>
    </row>
    <row r="25" spans="1:8">
      <c r="B25" s="972"/>
      <c r="C25" s="972"/>
      <c r="D25" s="972"/>
      <c r="E25" s="972"/>
      <c r="F25" s="972"/>
      <c r="G25" s="972"/>
      <c r="H25" s="972"/>
    </row>
    <row r="26" spans="1:8" ht="24">
      <c r="A26" s="971" t="s">
        <v>3542</v>
      </c>
    </row>
    <row r="27" spans="1:8" ht="19">
      <c r="A27" s="973" t="s">
        <v>3549</v>
      </c>
    </row>
    <row r="28" spans="1:8" ht="16" customHeight="1">
      <c r="A28" s="1768" t="s">
        <v>3548</v>
      </c>
      <c r="B28" s="1768"/>
      <c r="C28" s="1768"/>
      <c r="D28" s="1768"/>
      <c r="E28" s="1768"/>
      <c r="F28" s="1768"/>
      <c r="G28" s="1768"/>
      <c r="H28" s="1768"/>
    </row>
    <row r="29" spans="1:8">
      <c r="A29" s="1768"/>
      <c r="B29" s="1768"/>
      <c r="C29" s="1768"/>
      <c r="D29" s="1768"/>
      <c r="E29" s="1768"/>
      <c r="F29" s="1768"/>
      <c r="G29" s="1768"/>
      <c r="H29" s="1768"/>
    </row>
    <row r="30" spans="1:8">
      <c r="A30" s="972"/>
      <c r="B30" s="114" t="s">
        <v>3545</v>
      </c>
      <c r="C30" s="972"/>
      <c r="D30" s="972"/>
      <c r="E30" s="972"/>
      <c r="F30" s="972"/>
      <c r="G30" s="972"/>
      <c r="H30" s="972"/>
    </row>
    <row r="31" spans="1:8" ht="16" customHeight="1">
      <c r="B31" s="114"/>
      <c r="C31" s="114"/>
      <c r="D31" s="114"/>
      <c r="E31" s="114"/>
      <c r="F31" s="114"/>
      <c r="G31" s="114"/>
      <c r="H31" s="114"/>
    </row>
    <row r="32" spans="1:8" ht="19">
      <c r="A32" s="973" t="s">
        <v>3546</v>
      </c>
      <c r="B32" s="972"/>
      <c r="C32" s="972"/>
      <c r="D32" s="972"/>
      <c r="E32" s="972"/>
      <c r="F32" s="972"/>
      <c r="G32" s="972"/>
      <c r="H32" s="972"/>
    </row>
    <row r="33" spans="1:8">
      <c r="A33" s="176" t="s">
        <v>3547</v>
      </c>
    </row>
    <row r="34" spans="1:8">
      <c r="B34" s="974" t="s">
        <v>3559</v>
      </c>
    </row>
    <row r="36" spans="1:8" ht="19">
      <c r="A36" s="973" t="s">
        <v>3550</v>
      </c>
    </row>
    <row r="37" spans="1:8">
      <c r="A37" s="176" t="s">
        <v>3558</v>
      </c>
    </row>
    <row r="38" spans="1:8" ht="16" customHeight="1">
      <c r="B38" s="114"/>
      <c r="C38" s="114"/>
      <c r="D38" s="114"/>
      <c r="E38" s="114"/>
      <c r="F38" s="114"/>
      <c r="G38" s="114"/>
      <c r="H38" s="114"/>
    </row>
    <row r="39" spans="1:8" ht="24">
      <c r="A39" s="971" t="s">
        <v>3551</v>
      </c>
      <c r="B39" s="114"/>
      <c r="C39" s="114"/>
      <c r="D39" s="114"/>
      <c r="E39" s="114"/>
      <c r="F39" s="114"/>
      <c r="G39" s="114"/>
      <c r="H39" s="114"/>
    </row>
    <row r="40" spans="1:8" ht="16" customHeight="1">
      <c r="A40" s="1769" t="s">
        <v>3540</v>
      </c>
      <c r="B40" s="1769"/>
      <c r="C40" s="1769"/>
      <c r="D40" s="1769"/>
      <c r="E40" s="1769"/>
      <c r="F40" s="1769"/>
      <c r="G40" s="1769"/>
      <c r="H40" s="1769"/>
    </row>
    <row r="41" spans="1:8">
      <c r="A41" s="1769"/>
      <c r="B41" s="1769"/>
      <c r="C41" s="1769"/>
      <c r="D41" s="1769"/>
      <c r="E41" s="1769"/>
      <c r="F41" s="1769"/>
      <c r="G41" s="1769"/>
      <c r="H41" s="1769"/>
    </row>
    <row r="42" spans="1:8">
      <c r="A42" s="1769"/>
      <c r="B42" s="1769"/>
      <c r="C42" s="1769"/>
      <c r="D42" s="1769"/>
      <c r="E42" s="1769"/>
      <c r="F42" s="1769"/>
      <c r="G42" s="1769"/>
      <c r="H42" s="1769"/>
    </row>
    <row r="43" spans="1:8">
      <c r="A43" s="1769"/>
      <c r="B43" s="1769"/>
      <c r="C43" s="1769"/>
      <c r="D43" s="1769"/>
      <c r="E43" s="1769"/>
      <c r="F43" s="1769"/>
      <c r="G43" s="1769"/>
      <c r="H43" s="1769"/>
    </row>
  </sheetData>
  <sheetProtection algorithmName="SHA-512" hashValue="roFyR+LUgDBPJKe8uF8wK881Wte2Ftmh4ROitOebiMmQ2NMUt2FtQm8hBo69JWR8L2vPZuOtiW6N8s3N4PIVUw==" saltValue="2WrT8Y8s8wL9aPpk3xXXYg==" spinCount="100000" sheet="1" objects="1" scenarios="1"/>
  <mergeCells count="8">
    <mergeCell ref="A40:H43"/>
    <mergeCell ref="B24:H24"/>
    <mergeCell ref="A28:H29"/>
    <mergeCell ref="A4:H6"/>
    <mergeCell ref="A8:H10"/>
    <mergeCell ref="A14:H16"/>
    <mergeCell ref="B20:H21"/>
    <mergeCell ref="B22:H2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Check Box 1">
              <controlPr defaultSize="0" autoFill="0" autoLine="0" autoPict="0">
                <anchor moveWithCells="1">
                  <from>
                    <xdr:col>7</xdr:col>
                    <xdr:colOff>0</xdr:colOff>
                    <xdr:row>42</xdr:row>
                    <xdr:rowOff>177800</xdr:rowOff>
                  </from>
                  <to>
                    <xdr:col>7</xdr:col>
                    <xdr:colOff>850900</xdr:colOff>
                    <xdr:row>44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999B1-8545-3D48-97C7-05F1DD74D5B9}">
  <sheetPr codeName="Sheet3">
    <tabColor theme="7"/>
  </sheetPr>
  <dimension ref="A1:XFD301"/>
  <sheetViews>
    <sheetView zoomScale="75" zoomScaleNormal="50" workbookViewId="0">
      <selection activeCell="G12" sqref="G12:H12"/>
    </sheetView>
  </sheetViews>
  <sheetFormatPr baseColWidth="10" defaultRowHeight="16"/>
  <cols>
    <col min="1" max="1" width="3.33203125" style="32" customWidth="1"/>
    <col min="2" max="2" width="10.83203125" style="32" customWidth="1"/>
    <col min="3" max="3" width="6.33203125" style="32" customWidth="1"/>
    <col min="4" max="4" width="10.83203125" style="177"/>
    <col min="5" max="5" width="17.1640625" style="32" customWidth="1"/>
    <col min="6" max="7" width="13.83203125" style="32" customWidth="1"/>
    <col min="8" max="8" width="15.1640625" style="32" customWidth="1"/>
    <col min="9" max="9" width="13.6640625" style="32" customWidth="1"/>
    <col min="10" max="10" width="13.5" style="32" customWidth="1"/>
    <col min="11" max="11" width="11.5" style="32" customWidth="1"/>
    <col min="12" max="12" width="10.83203125" style="32"/>
    <col min="13" max="13" width="18.83203125" style="32" customWidth="1"/>
    <col min="14" max="14" width="16.1640625" style="32" customWidth="1"/>
    <col min="15" max="15" width="16.33203125" style="32" customWidth="1"/>
    <col min="16" max="16" width="14.6640625" style="32" customWidth="1"/>
    <col min="17" max="17" width="12.5" style="32" customWidth="1"/>
    <col min="18" max="18" width="10.1640625" style="32" customWidth="1"/>
    <col min="19" max="19" width="14.83203125" style="32" customWidth="1"/>
    <col min="20" max="21" width="12.1640625" style="32" bestFit="1" customWidth="1"/>
    <col min="22" max="22" width="13.83203125" style="32" customWidth="1"/>
    <col min="23" max="23" width="11" style="32" customWidth="1"/>
    <col min="24" max="24" width="10.1640625" style="32" customWidth="1"/>
    <col min="25" max="25" width="10.83203125" style="32"/>
    <col min="26" max="26" width="13" style="32" customWidth="1"/>
    <col min="27" max="27" width="12.83203125" style="32" customWidth="1"/>
    <col min="28" max="28" width="10.83203125" style="32"/>
    <col min="29" max="29" width="12.5" style="32" customWidth="1"/>
    <col min="30" max="30" width="11.83203125" style="32" customWidth="1"/>
    <col min="31" max="35" width="10.83203125" style="32"/>
    <col min="36" max="16384" width="10.83203125" style="605"/>
  </cols>
  <sheetData>
    <row r="1" spans="1:36" ht="16" customHeight="1">
      <c r="A1" s="796"/>
      <c r="B1" s="1889" t="s">
        <v>3332</v>
      </c>
      <c r="C1" s="1889"/>
      <c r="D1" s="1889"/>
      <c r="E1" s="1889"/>
      <c r="F1" s="1889"/>
      <c r="G1" s="1889"/>
      <c r="H1" s="503"/>
      <c r="I1" s="503"/>
      <c r="J1" s="504"/>
      <c r="K1" s="504"/>
      <c r="L1" s="504"/>
      <c r="M1" s="504"/>
      <c r="N1" s="504"/>
      <c r="O1" s="504"/>
      <c r="P1" s="504"/>
      <c r="Q1" s="503"/>
      <c r="R1" s="503"/>
      <c r="S1" s="503"/>
      <c r="T1" s="503"/>
      <c r="U1" s="503"/>
      <c r="V1" s="503"/>
      <c r="W1" s="503"/>
      <c r="X1" s="503"/>
      <c r="Y1" s="503"/>
      <c r="Z1" s="503"/>
      <c r="AA1" s="503"/>
      <c r="AB1" s="503"/>
      <c r="AC1" s="503"/>
      <c r="AD1" s="503"/>
      <c r="AE1" s="503"/>
      <c r="AF1" s="503"/>
      <c r="AG1" s="503"/>
      <c r="AH1" s="503"/>
      <c r="AI1" s="503"/>
      <c r="AJ1" s="503"/>
    </row>
    <row r="2" spans="1:36" ht="16" customHeight="1">
      <c r="A2" s="796"/>
      <c r="B2" s="1889"/>
      <c r="C2" s="1889"/>
      <c r="D2" s="1889"/>
      <c r="E2" s="1889"/>
      <c r="F2" s="1889"/>
      <c r="G2" s="1889"/>
      <c r="H2" s="503"/>
      <c r="I2" s="503"/>
      <c r="J2" s="504"/>
      <c r="K2" s="504"/>
      <c r="L2" s="504"/>
      <c r="M2" s="504"/>
      <c r="N2" s="504"/>
      <c r="O2" s="504"/>
      <c r="P2" s="504"/>
      <c r="Q2" s="503"/>
      <c r="R2" s="503"/>
      <c r="S2" s="503"/>
      <c r="T2" s="503"/>
      <c r="U2" s="503"/>
      <c r="V2" s="503"/>
      <c r="W2" s="503"/>
      <c r="X2" s="503"/>
      <c r="Y2" s="503"/>
      <c r="Z2" s="503"/>
      <c r="AA2" s="503"/>
      <c r="AB2" s="503"/>
      <c r="AC2" s="503"/>
      <c r="AD2" s="503"/>
      <c r="AE2" s="503"/>
      <c r="AF2" s="503"/>
      <c r="AG2" s="503"/>
      <c r="AH2" s="503"/>
      <c r="AI2" s="503"/>
      <c r="AJ2" s="503"/>
    </row>
    <row r="3" spans="1:36" ht="16" customHeight="1">
      <c r="A3" s="796"/>
      <c r="B3" s="1889"/>
      <c r="C3" s="1889"/>
      <c r="D3" s="1889"/>
      <c r="E3" s="1889"/>
      <c r="F3" s="1889"/>
      <c r="G3" s="1889"/>
      <c r="H3" s="503"/>
      <c r="I3" s="503"/>
      <c r="J3" s="504"/>
      <c r="K3" s="504"/>
      <c r="L3" s="504"/>
      <c r="M3" s="504"/>
      <c r="N3" s="504"/>
      <c r="O3" s="504"/>
      <c r="P3" s="504"/>
      <c r="Q3" s="503"/>
      <c r="R3" s="503"/>
      <c r="S3" s="503"/>
      <c r="T3" s="503"/>
      <c r="U3" s="503"/>
      <c r="V3" s="503"/>
      <c r="W3" s="503"/>
      <c r="X3" s="503"/>
      <c r="Y3" s="503"/>
      <c r="Z3" s="503"/>
      <c r="AA3" s="503"/>
      <c r="AB3" s="503"/>
      <c r="AC3" s="503"/>
      <c r="AD3" s="503"/>
      <c r="AE3" s="503"/>
      <c r="AF3" s="503"/>
      <c r="AG3" s="503"/>
      <c r="AH3" s="503"/>
      <c r="AI3" s="503"/>
      <c r="AJ3" s="503"/>
    </row>
    <row r="4" spans="1:36" ht="29">
      <c r="A4" s="506"/>
      <c r="B4" s="795" t="s">
        <v>3446</v>
      </c>
      <c r="C4" s="506"/>
      <c r="D4" s="506"/>
      <c r="E4" s="506"/>
      <c r="F4" s="506"/>
      <c r="G4" s="506"/>
      <c r="H4" s="503"/>
      <c r="I4" s="504"/>
      <c r="J4" s="504"/>
      <c r="K4" s="504"/>
      <c r="L4" s="504"/>
      <c r="M4" s="504"/>
      <c r="N4" s="504"/>
      <c r="O4" s="504"/>
      <c r="P4" s="504"/>
      <c r="Q4" s="503"/>
      <c r="R4" s="503"/>
      <c r="S4" s="503"/>
      <c r="T4" s="503"/>
      <c r="U4" s="503"/>
      <c r="V4" s="503"/>
      <c r="W4" s="503"/>
      <c r="X4" s="503"/>
      <c r="Y4" s="503"/>
      <c r="Z4" s="503"/>
      <c r="AA4" s="503"/>
      <c r="AB4" s="503"/>
      <c r="AC4" s="503"/>
      <c r="AD4" s="503"/>
      <c r="AE4" s="503"/>
      <c r="AF4" s="503"/>
      <c r="AG4" s="503"/>
      <c r="AH4" s="503"/>
      <c r="AI4" s="503"/>
      <c r="AJ4" s="503"/>
    </row>
    <row r="5" spans="1:36" ht="14" customHeight="1">
      <c r="A5" s="506"/>
      <c r="B5" s="506"/>
      <c r="C5" s="506"/>
      <c r="D5" s="506"/>
      <c r="E5" s="506"/>
      <c r="F5" s="506"/>
      <c r="G5" s="506"/>
      <c r="H5" s="503"/>
      <c r="I5" s="503"/>
      <c r="J5" s="504"/>
      <c r="K5" s="504"/>
      <c r="L5" s="504"/>
      <c r="M5" s="504"/>
      <c r="N5" s="504"/>
      <c r="O5" s="504"/>
      <c r="P5" s="504"/>
      <c r="Q5" s="503"/>
      <c r="R5" s="503"/>
      <c r="S5" s="503"/>
      <c r="T5" s="503"/>
      <c r="U5" s="503"/>
      <c r="V5" s="503"/>
      <c r="W5" s="503"/>
      <c r="X5" s="503"/>
      <c r="Y5" s="503"/>
      <c r="Z5" s="503"/>
      <c r="AA5" s="503"/>
      <c r="AB5" s="503"/>
      <c r="AC5" s="503"/>
      <c r="AD5" s="503"/>
      <c r="AE5" s="503"/>
      <c r="AF5" s="503"/>
      <c r="AG5" s="503"/>
      <c r="AH5" s="503"/>
      <c r="AI5" s="503"/>
      <c r="AJ5" s="503"/>
    </row>
    <row r="6" spans="1:36" ht="17" thickBot="1">
      <c r="A6" s="445"/>
      <c r="B6" s="446"/>
      <c r="C6" s="445"/>
      <c r="D6" s="447"/>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445"/>
      <c r="AF6" s="445"/>
      <c r="AG6" s="445"/>
      <c r="AH6" s="445"/>
      <c r="AI6" s="445"/>
      <c r="AJ6" s="445"/>
    </row>
    <row r="7" spans="1:36" ht="17" customHeight="1" thickBot="1">
      <c r="A7" s="445"/>
      <c r="B7" s="1913" t="s">
        <v>86</v>
      </c>
      <c r="C7" s="446"/>
      <c r="D7" s="447"/>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445"/>
      <c r="AF7" s="445"/>
      <c r="AG7" s="445"/>
      <c r="AH7" s="445"/>
      <c r="AI7" s="445"/>
      <c r="AJ7" s="445"/>
    </row>
    <row r="8" spans="1:36" ht="16" customHeight="1">
      <c r="A8" s="445"/>
      <c r="B8" s="1914"/>
      <c r="C8" s="446"/>
      <c r="D8" s="447"/>
      <c r="E8" s="549"/>
      <c r="F8" s="1906" t="s">
        <v>98</v>
      </c>
      <c r="G8" s="1907"/>
      <c r="H8" s="1907"/>
      <c r="I8" s="1907"/>
      <c r="J8" s="1908"/>
      <c r="K8" s="549"/>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row>
    <row r="9" spans="1:36" ht="17" customHeight="1" thickBot="1">
      <c r="A9" s="445"/>
      <c r="B9" s="1914"/>
      <c r="C9" s="446"/>
      <c r="D9" s="447"/>
      <c r="E9" s="549"/>
      <c r="F9" s="1909"/>
      <c r="G9" s="1910"/>
      <c r="H9" s="1910"/>
      <c r="I9" s="1910"/>
      <c r="J9" s="1911"/>
      <c r="K9" s="549"/>
      <c r="L9" s="445"/>
      <c r="M9" s="445"/>
      <c r="N9" s="445"/>
      <c r="O9" s="445"/>
      <c r="P9" s="445"/>
      <c r="Q9" s="445"/>
      <c r="R9" s="445"/>
      <c r="S9" s="445"/>
      <c r="T9" s="445"/>
      <c r="U9" s="445"/>
      <c r="V9" s="445"/>
      <c r="W9" s="445"/>
      <c r="X9" s="445"/>
      <c r="Y9" s="445"/>
      <c r="Z9" s="445"/>
      <c r="AA9" s="445"/>
      <c r="AB9" s="445"/>
      <c r="AC9" s="445"/>
      <c r="AD9" s="445"/>
      <c r="AE9" s="445"/>
      <c r="AF9" s="445"/>
      <c r="AG9" s="445"/>
      <c r="AH9" s="445"/>
      <c r="AI9" s="445"/>
      <c r="AJ9" s="445"/>
    </row>
    <row r="10" spans="1:36">
      <c r="A10" s="445"/>
      <c r="B10" s="1914"/>
      <c r="C10" s="446"/>
      <c r="D10" s="447"/>
      <c r="E10" s="445"/>
      <c r="F10" s="445"/>
      <c r="G10" s="445"/>
      <c r="H10" s="445"/>
      <c r="I10" s="445"/>
      <c r="J10" s="445"/>
      <c r="K10" s="445"/>
      <c r="L10" s="445"/>
      <c r="M10" s="445"/>
      <c r="N10" s="445"/>
      <c r="O10" s="445"/>
      <c r="P10" s="445"/>
      <c r="Q10" s="445"/>
      <c r="R10" s="445"/>
      <c r="S10" s="445"/>
      <c r="T10" s="445"/>
      <c r="U10" s="445"/>
      <c r="V10" s="445"/>
      <c r="W10" s="445"/>
      <c r="X10" s="445"/>
      <c r="Y10" s="445"/>
      <c r="Z10" s="445"/>
      <c r="AA10" s="445"/>
      <c r="AB10" s="445"/>
      <c r="AC10" s="445"/>
      <c r="AD10" s="445"/>
      <c r="AE10" s="445"/>
      <c r="AF10" s="445"/>
      <c r="AG10" s="445"/>
      <c r="AH10" s="445"/>
      <c r="AI10" s="445"/>
      <c r="AJ10" s="445"/>
    </row>
    <row r="11" spans="1:36" ht="17" thickBot="1">
      <c r="A11" s="445"/>
      <c r="B11" s="1914"/>
      <c r="C11" s="446"/>
      <c r="D11" s="407" t="s">
        <v>45</v>
      </c>
      <c r="E11" s="212" t="s">
        <v>3354</v>
      </c>
      <c r="F11" s="212"/>
      <c r="G11" s="212"/>
      <c r="H11" s="212"/>
      <c r="I11" s="212"/>
      <c r="J11" s="212"/>
      <c r="K11" s="503"/>
      <c r="L11" s="503"/>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445"/>
    </row>
    <row r="12" spans="1:36" ht="17" thickBot="1">
      <c r="A12" s="445"/>
      <c r="B12" s="1914"/>
      <c r="C12" s="446"/>
      <c r="D12" s="447"/>
      <c r="E12" s="1871" t="s">
        <v>46</v>
      </c>
      <c r="F12" s="1872"/>
      <c r="G12" s="1873"/>
      <c r="H12" s="1874"/>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445"/>
    </row>
    <row r="13" spans="1:36">
      <c r="A13" s="445"/>
      <c r="B13" s="1914"/>
      <c r="C13" s="446"/>
      <c r="D13" s="447"/>
      <c r="E13" s="445"/>
      <c r="F13" s="445"/>
      <c r="G13" s="445"/>
      <c r="H13" s="445"/>
      <c r="I13" s="445"/>
      <c r="J13" s="445"/>
      <c r="K13" s="445"/>
      <c r="L13" s="445"/>
      <c r="M13" s="445"/>
      <c r="N13" s="445"/>
      <c r="O13" s="445"/>
      <c r="P13" s="445"/>
      <c r="Q13" s="445"/>
      <c r="R13" s="445"/>
      <c r="S13" s="445"/>
      <c r="T13" s="445"/>
      <c r="U13" s="445"/>
      <c r="V13" s="445"/>
      <c r="W13" s="445"/>
      <c r="X13" s="445"/>
      <c r="Y13" s="445"/>
      <c r="Z13" s="445"/>
      <c r="AA13" s="445"/>
      <c r="AB13" s="445"/>
      <c r="AC13" s="445"/>
      <c r="AD13" s="445"/>
      <c r="AE13" s="445"/>
      <c r="AF13" s="445"/>
      <c r="AG13" s="445"/>
      <c r="AH13" s="445"/>
      <c r="AI13" s="445"/>
      <c r="AJ13" s="445"/>
    </row>
    <row r="14" spans="1:36">
      <c r="A14" s="445"/>
      <c r="B14" s="1914"/>
      <c r="C14" s="446"/>
      <c r="D14" s="407" t="s">
        <v>47</v>
      </c>
      <c r="E14" s="212" t="s">
        <v>3610</v>
      </c>
      <c r="F14" s="212"/>
      <c r="G14" s="212"/>
      <c r="H14" s="212"/>
      <c r="I14" s="212"/>
      <c r="J14" s="212"/>
      <c r="K14" s="212"/>
      <c r="L14" s="212"/>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445"/>
    </row>
    <row r="15" spans="1:36">
      <c r="A15" s="445"/>
      <c r="B15" s="1914"/>
      <c r="C15" s="446"/>
      <c r="D15" s="447"/>
      <c r="E15" s="787" t="s">
        <v>34</v>
      </c>
      <c r="F15" s="445" t="s">
        <v>48</v>
      </c>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445"/>
    </row>
    <row r="16" spans="1:36">
      <c r="A16" s="445"/>
      <c r="B16" s="1914"/>
      <c r="C16" s="446"/>
      <c r="D16" s="447"/>
      <c r="E16" s="787" t="s">
        <v>35</v>
      </c>
      <c r="F16" s="445" t="s">
        <v>49</v>
      </c>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445"/>
    </row>
    <row r="17" spans="1:36">
      <c r="A17" s="445"/>
      <c r="B17" s="1914"/>
      <c r="C17" s="446"/>
      <c r="D17" s="447"/>
      <c r="E17" s="787" t="s">
        <v>36</v>
      </c>
      <c r="F17" s="445" t="s">
        <v>50</v>
      </c>
      <c r="G17" s="445"/>
      <c r="H17" s="445"/>
      <c r="I17" s="445"/>
      <c r="J17" s="445"/>
      <c r="K17" s="445"/>
      <c r="L17" s="445"/>
      <c r="M17" s="445"/>
      <c r="N17" s="445"/>
      <c r="O17" s="445"/>
      <c r="P17" s="445"/>
      <c r="Q17" s="445"/>
      <c r="R17" s="445"/>
      <c r="S17" s="445"/>
      <c r="T17" s="445"/>
      <c r="U17" s="445"/>
      <c r="V17" s="445"/>
      <c r="W17" s="445"/>
      <c r="X17" s="445"/>
      <c r="Y17" s="445"/>
      <c r="Z17" s="445"/>
      <c r="AA17" s="445"/>
      <c r="AB17" s="445"/>
      <c r="AC17" s="445"/>
      <c r="AD17" s="445"/>
      <c r="AE17" s="445"/>
      <c r="AF17" s="445"/>
      <c r="AG17" s="445"/>
      <c r="AH17" s="445"/>
      <c r="AI17" s="445"/>
      <c r="AJ17" s="445"/>
    </row>
    <row r="18" spans="1:36">
      <c r="A18" s="445"/>
      <c r="B18" s="1914"/>
      <c r="C18" s="446"/>
      <c r="D18" s="447"/>
      <c r="E18" s="787" t="s">
        <v>37</v>
      </c>
      <c r="F18" s="445" t="s">
        <v>51</v>
      </c>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445"/>
    </row>
    <row r="19" spans="1:36" ht="17" thickBot="1">
      <c r="A19" s="445"/>
      <c r="B19" s="1914"/>
      <c r="C19" s="446"/>
      <c r="D19" s="447"/>
      <c r="E19" s="787" t="s">
        <v>38</v>
      </c>
      <c r="F19" s="445" t="s">
        <v>52</v>
      </c>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445"/>
    </row>
    <row r="20" spans="1:36" ht="17" thickBot="1">
      <c r="A20" s="445"/>
      <c r="B20" s="1914"/>
      <c r="C20" s="446"/>
      <c r="D20" s="447"/>
      <c r="E20" s="787" t="s">
        <v>39</v>
      </c>
      <c r="F20" s="445" t="s">
        <v>53</v>
      </c>
      <c r="G20" s="445"/>
      <c r="H20" s="788"/>
      <c r="I20" s="448"/>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445"/>
    </row>
    <row r="21" spans="1:36">
      <c r="A21" s="445"/>
      <c r="B21" s="1914"/>
      <c r="C21" s="446"/>
      <c r="D21" s="447"/>
      <c r="E21" s="445"/>
      <c r="F21" s="445"/>
      <c r="G21" s="445"/>
      <c r="H21" s="445"/>
      <c r="I21" s="445"/>
      <c r="J21" s="445"/>
      <c r="K21" s="445"/>
      <c r="L21" s="445"/>
      <c r="M21" s="445"/>
      <c r="N21" s="445"/>
      <c r="O21" s="445"/>
      <c r="P21" s="445"/>
      <c r="Q21" s="445"/>
      <c r="R21" s="445"/>
      <c r="S21" s="445"/>
      <c r="T21" s="445"/>
      <c r="U21" s="445"/>
      <c r="V21" s="445"/>
      <c r="W21" s="445"/>
      <c r="X21" s="445"/>
      <c r="Y21" s="445"/>
      <c r="Z21" s="445"/>
      <c r="AA21" s="445"/>
      <c r="AB21" s="445"/>
      <c r="AC21" s="445"/>
      <c r="AD21" s="445"/>
      <c r="AE21" s="445"/>
      <c r="AF21" s="445"/>
      <c r="AG21" s="445"/>
      <c r="AH21" s="445"/>
      <c r="AI21" s="445"/>
      <c r="AJ21" s="445"/>
    </row>
    <row r="22" spans="1:36">
      <c r="A22" s="445"/>
      <c r="B22" s="1914"/>
      <c r="C22" s="446"/>
      <c r="D22" s="459"/>
      <c r="E22" s="460"/>
      <c r="F22" s="460"/>
      <c r="G22" s="460"/>
      <c r="H22" s="460"/>
      <c r="I22" s="460"/>
      <c r="J22" s="460"/>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445"/>
    </row>
    <row r="23" spans="1:36">
      <c r="A23" s="445"/>
      <c r="B23" s="1914"/>
      <c r="C23" s="446"/>
      <c r="D23" s="461"/>
      <c r="E23" s="1912"/>
      <c r="F23" s="1912"/>
      <c r="G23" s="1912"/>
      <c r="H23" s="1912"/>
      <c r="I23" s="448"/>
      <c r="J23" s="448"/>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445"/>
    </row>
    <row r="24" spans="1:36">
      <c r="A24" s="445"/>
      <c r="B24" s="1914"/>
      <c r="C24" s="446"/>
      <c r="D24" s="461"/>
      <c r="E24" s="448"/>
      <c r="F24" s="448"/>
      <c r="G24" s="448"/>
      <c r="H24" s="448"/>
      <c r="I24" s="448"/>
      <c r="J24" s="448"/>
      <c r="K24" s="445"/>
      <c r="L24" s="445"/>
      <c r="M24" s="445"/>
      <c r="N24" s="445"/>
      <c r="O24" s="445"/>
      <c r="P24" s="445"/>
      <c r="Q24" s="445"/>
      <c r="R24" s="445"/>
      <c r="S24" s="445"/>
      <c r="T24" s="445"/>
      <c r="U24" s="445"/>
      <c r="V24" s="445"/>
      <c r="W24" s="445"/>
      <c r="X24" s="445"/>
      <c r="Y24" s="445"/>
      <c r="Z24" s="445"/>
      <c r="AA24" s="445"/>
      <c r="AB24" s="445"/>
      <c r="AC24" s="445"/>
      <c r="AD24" s="445"/>
      <c r="AE24" s="445"/>
      <c r="AF24" s="445"/>
      <c r="AG24" s="445"/>
      <c r="AH24" s="445"/>
      <c r="AI24" s="445"/>
      <c r="AJ24" s="445"/>
    </row>
    <row r="25" spans="1:36" ht="17" thickBot="1">
      <c r="A25" s="445"/>
      <c r="B25" s="1914"/>
      <c r="C25" s="446"/>
      <c r="D25" s="447"/>
      <c r="E25" s="445"/>
      <c r="F25" s="445"/>
      <c r="G25" s="445"/>
      <c r="H25" s="445"/>
      <c r="I25" s="445"/>
      <c r="J25" s="445"/>
      <c r="K25" s="445"/>
      <c r="L25" s="445"/>
      <c r="M25" s="445"/>
      <c r="N25" s="445"/>
      <c r="O25" s="445"/>
      <c r="P25" s="445"/>
      <c r="Q25" s="445"/>
      <c r="R25" s="445"/>
      <c r="S25" s="445"/>
      <c r="T25" s="445"/>
      <c r="U25" s="445"/>
      <c r="V25" s="445"/>
      <c r="W25" s="445"/>
      <c r="X25" s="445"/>
      <c r="Y25" s="445"/>
      <c r="Z25" s="445"/>
      <c r="AA25" s="445"/>
      <c r="AB25" s="445"/>
      <c r="AC25" s="445"/>
      <c r="AD25" s="445"/>
      <c r="AE25" s="445"/>
      <c r="AF25" s="445"/>
      <c r="AG25" s="445"/>
      <c r="AH25" s="445"/>
      <c r="AI25" s="445"/>
      <c r="AJ25" s="445"/>
    </row>
    <row r="26" spans="1:36" ht="17" thickBot="1">
      <c r="A26" s="445"/>
      <c r="B26" s="1914"/>
      <c r="C26" s="446"/>
      <c r="D26" s="435" t="s">
        <v>114</v>
      </c>
      <c r="E26" s="443"/>
      <c r="F26" s="436"/>
      <c r="G26" s="445"/>
      <c r="H26" s="445"/>
      <c r="I26" s="445"/>
      <c r="J26" s="445"/>
      <c r="K26" s="445"/>
      <c r="L26" s="445"/>
      <c r="M26" s="445"/>
      <c r="N26" s="445"/>
      <c r="O26" s="445"/>
      <c r="P26" s="445"/>
      <c r="Q26" s="445"/>
      <c r="R26" s="445"/>
      <c r="S26" s="445"/>
      <c r="T26" s="445"/>
      <c r="U26" s="445"/>
      <c r="V26" s="445"/>
      <c r="W26" s="445"/>
      <c r="X26" s="445"/>
      <c r="Y26" s="445"/>
      <c r="Z26" s="445"/>
      <c r="AA26" s="445"/>
      <c r="AB26" s="445"/>
      <c r="AC26" s="445"/>
      <c r="AD26" s="445"/>
      <c r="AE26" s="445"/>
      <c r="AF26" s="445"/>
      <c r="AG26" s="445"/>
      <c r="AH26" s="445"/>
      <c r="AI26" s="445"/>
      <c r="AJ26" s="445"/>
    </row>
    <row r="27" spans="1:36">
      <c r="A27" s="445"/>
      <c r="B27" s="1914"/>
      <c r="C27" s="446"/>
      <c r="D27" s="449" t="s">
        <v>126</v>
      </c>
      <c r="E27" s="450"/>
      <c r="F27" s="457">
        <f>G12</f>
        <v>0</v>
      </c>
      <c r="G27" s="445"/>
      <c r="H27" s="445"/>
      <c r="I27" s="445"/>
      <c r="J27" s="445"/>
      <c r="K27" s="445"/>
      <c r="L27" s="445"/>
      <c r="M27" s="445"/>
      <c r="N27" s="445"/>
      <c r="O27" s="445"/>
      <c r="P27" s="445"/>
      <c r="Q27" s="445"/>
      <c r="R27" s="445"/>
      <c r="S27" s="445"/>
      <c r="T27" s="445"/>
      <c r="U27" s="445"/>
      <c r="V27" s="445"/>
      <c r="W27" s="445"/>
      <c r="X27" s="445"/>
      <c r="Y27" s="445"/>
      <c r="Z27" s="445"/>
      <c r="AA27" s="445"/>
      <c r="AB27" s="445"/>
      <c r="AC27" s="445"/>
      <c r="AD27" s="445"/>
      <c r="AE27" s="445"/>
      <c r="AF27" s="445"/>
      <c r="AG27" s="445"/>
      <c r="AH27" s="445"/>
      <c r="AI27" s="445"/>
      <c r="AJ27" s="445"/>
    </row>
    <row r="28" spans="1:36">
      <c r="A28" s="445"/>
      <c r="B28" s="1914"/>
      <c r="C28" s="446"/>
      <c r="D28" s="451" t="s">
        <v>237</v>
      </c>
      <c r="E28" s="448"/>
      <c r="F28" s="455" t="e">
        <f>VLOOKUP(F27,'T2'!B9:D2990,2,FALSE)</f>
        <v>#N/A</v>
      </c>
      <c r="G28" s="445"/>
      <c r="H28" s="445"/>
      <c r="I28" s="445"/>
      <c r="J28" s="445"/>
      <c r="K28" s="445"/>
      <c r="L28" s="445"/>
      <c r="M28" s="445"/>
      <c r="N28" s="445"/>
      <c r="O28" s="445"/>
      <c r="P28" s="445"/>
      <c r="Q28" s="445"/>
      <c r="R28" s="445"/>
      <c r="S28" s="445"/>
      <c r="T28" s="445"/>
      <c r="U28" s="445"/>
      <c r="V28" s="445"/>
      <c r="W28" s="445"/>
      <c r="X28" s="445"/>
      <c r="Y28" s="445"/>
      <c r="Z28" s="445"/>
      <c r="AA28" s="445"/>
      <c r="AB28" s="445"/>
      <c r="AC28" s="445"/>
      <c r="AD28" s="445"/>
      <c r="AE28" s="445"/>
      <c r="AF28" s="445"/>
      <c r="AG28" s="445"/>
      <c r="AH28" s="445"/>
      <c r="AI28" s="445"/>
      <c r="AJ28" s="445"/>
    </row>
    <row r="29" spans="1:36" ht="17" thickBot="1">
      <c r="A29" s="445"/>
      <c r="B29" s="1914"/>
      <c r="C29" s="446"/>
      <c r="D29" s="452" t="s">
        <v>238</v>
      </c>
      <c r="E29" s="453"/>
      <c r="F29" s="456" t="e">
        <f>VLOOKUP(F27,'T2'!B9:D2990,3,FALSE)</f>
        <v>#N/A</v>
      </c>
      <c r="G29" s="445"/>
      <c r="H29" s="445"/>
      <c r="I29" s="445"/>
      <c r="J29" s="445"/>
      <c r="K29" s="445"/>
      <c r="L29" s="445"/>
      <c r="M29" s="445"/>
      <c r="N29" s="445"/>
      <c r="O29" s="445"/>
      <c r="P29" s="445"/>
      <c r="Q29" s="445"/>
      <c r="R29" s="445"/>
      <c r="S29" s="445"/>
      <c r="T29" s="445"/>
      <c r="U29" s="445"/>
      <c r="V29" s="445"/>
      <c r="W29" s="445"/>
      <c r="X29" s="445"/>
      <c r="Y29" s="445"/>
      <c r="Z29" s="445"/>
      <c r="AA29" s="445"/>
      <c r="AB29" s="445"/>
      <c r="AC29" s="445"/>
      <c r="AD29" s="445"/>
      <c r="AE29" s="445"/>
      <c r="AF29" s="445"/>
      <c r="AG29" s="445"/>
      <c r="AH29" s="445"/>
      <c r="AI29" s="445"/>
      <c r="AJ29" s="445"/>
    </row>
    <row r="30" spans="1:36" ht="17" thickBot="1">
      <c r="A30" s="445"/>
      <c r="B30" s="1915"/>
      <c r="C30" s="446"/>
      <c r="D30" s="445"/>
      <c r="E30" s="445"/>
      <c r="F30" s="445"/>
      <c r="G30" s="445"/>
      <c r="H30" s="445"/>
      <c r="I30" s="445"/>
      <c r="J30" s="445"/>
      <c r="K30" s="445"/>
      <c r="L30" s="445"/>
      <c r="M30" s="445"/>
      <c r="N30" s="445"/>
      <c r="O30" s="445"/>
      <c r="P30" s="445"/>
      <c r="Q30" s="445"/>
      <c r="R30" s="445"/>
      <c r="S30" s="445"/>
      <c r="T30" s="445"/>
      <c r="U30" s="445"/>
      <c r="V30" s="445"/>
      <c r="W30" s="445"/>
      <c r="X30" s="445"/>
      <c r="Y30" s="445"/>
      <c r="Z30" s="445"/>
      <c r="AA30" s="445"/>
      <c r="AB30" s="445"/>
      <c r="AC30" s="445"/>
      <c r="AD30" s="445"/>
      <c r="AE30" s="445"/>
      <c r="AF30" s="445"/>
      <c r="AG30" s="445"/>
      <c r="AH30" s="445"/>
      <c r="AI30" s="445"/>
      <c r="AJ30" s="445"/>
    </row>
    <row r="31" spans="1:36">
      <c r="A31" s="445"/>
      <c r="B31" s="454"/>
      <c r="C31" s="446"/>
      <c r="D31" s="447"/>
      <c r="E31" s="445"/>
      <c r="F31" s="445"/>
      <c r="G31" s="445"/>
      <c r="H31" s="445"/>
      <c r="I31" s="445"/>
      <c r="J31" s="445"/>
      <c r="K31" s="445"/>
      <c r="L31" s="445"/>
      <c r="M31" s="445"/>
      <c r="N31" s="445"/>
      <c r="O31" s="445"/>
      <c r="P31" s="445"/>
      <c r="Q31" s="445"/>
      <c r="R31" s="445"/>
      <c r="S31" s="445"/>
      <c r="T31" s="445"/>
      <c r="U31" s="445"/>
      <c r="V31" s="445"/>
      <c r="W31" s="445"/>
      <c r="X31" s="445"/>
      <c r="Y31" s="445"/>
      <c r="Z31" s="445"/>
      <c r="AA31" s="445"/>
      <c r="AB31" s="445"/>
      <c r="AC31" s="445"/>
      <c r="AD31" s="445"/>
      <c r="AE31" s="445"/>
      <c r="AF31" s="445"/>
      <c r="AG31" s="445"/>
      <c r="AH31" s="445"/>
      <c r="AI31" s="445"/>
      <c r="AJ31" s="445"/>
    </row>
    <row r="32" spans="1:36" ht="17" thickBot="1">
      <c r="A32" s="172"/>
      <c r="B32" s="437"/>
      <c r="C32" s="38"/>
      <c r="D32" s="936" t="s">
        <v>3497</v>
      </c>
      <c r="E32" s="937"/>
      <c r="F32" s="937"/>
      <c r="G32" s="937"/>
      <c r="H32" s="937"/>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172"/>
    </row>
    <row r="33" spans="1:36" ht="17" customHeight="1" thickBot="1">
      <c r="A33" s="172"/>
      <c r="B33" s="1919" t="s">
        <v>86</v>
      </c>
      <c r="C33" s="38"/>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172"/>
    </row>
    <row r="34" spans="1:36" ht="16" customHeight="1">
      <c r="A34" s="172"/>
      <c r="B34" s="1920"/>
      <c r="C34" s="38"/>
      <c r="D34" s="172"/>
      <c r="E34" s="1894" t="s">
        <v>98</v>
      </c>
      <c r="F34" s="1895"/>
      <c r="G34" s="1895"/>
      <c r="H34" s="1895"/>
      <c r="I34" s="1896"/>
      <c r="J34" s="172"/>
      <c r="K34" s="172"/>
      <c r="L34" s="172"/>
      <c r="M34" s="1894" t="s">
        <v>97</v>
      </c>
      <c r="N34" s="1895"/>
      <c r="O34" s="1895"/>
      <c r="P34" s="1895"/>
      <c r="Q34" s="1896"/>
      <c r="R34" s="172"/>
      <c r="S34" s="172"/>
      <c r="T34" s="172"/>
      <c r="U34" s="1894" t="s">
        <v>99</v>
      </c>
      <c r="V34" s="1895"/>
      <c r="W34" s="1895"/>
      <c r="X34" s="1895"/>
      <c r="Y34" s="1896"/>
      <c r="Z34" s="172"/>
      <c r="AA34" s="172"/>
      <c r="AB34" s="172"/>
      <c r="AC34" s="1894" t="s">
        <v>100</v>
      </c>
      <c r="AD34" s="1895"/>
      <c r="AE34" s="1895"/>
      <c r="AF34" s="1895"/>
      <c r="AG34" s="1896"/>
      <c r="AH34" s="172"/>
      <c r="AI34" s="172"/>
      <c r="AJ34" s="172"/>
    </row>
    <row r="35" spans="1:36" ht="17" thickBot="1">
      <c r="A35" s="172"/>
      <c r="B35" s="1920"/>
      <c r="C35" s="38"/>
      <c r="D35" s="172"/>
      <c r="E35" s="1897"/>
      <c r="F35" s="1898"/>
      <c r="G35" s="1898"/>
      <c r="H35" s="1898"/>
      <c r="I35" s="1899"/>
      <c r="J35" s="172"/>
      <c r="K35" s="172"/>
      <c r="L35" s="172"/>
      <c r="M35" s="1897"/>
      <c r="N35" s="1898"/>
      <c r="O35" s="1898"/>
      <c r="P35" s="1898"/>
      <c r="Q35" s="1899"/>
      <c r="R35" s="172"/>
      <c r="S35" s="172"/>
      <c r="T35" s="172"/>
      <c r="U35" s="1897"/>
      <c r="V35" s="1898"/>
      <c r="W35" s="1898"/>
      <c r="X35" s="1898"/>
      <c r="Y35" s="1899"/>
      <c r="Z35" s="172"/>
      <c r="AA35" s="172"/>
      <c r="AB35" s="172"/>
      <c r="AC35" s="1897"/>
      <c r="AD35" s="1898"/>
      <c r="AE35" s="1898"/>
      <c r="AF35" s="1898"/>
      <c r="AG35" s="1899"/>
      <c r="AH35" s="172"/>
      <c r="AI35" s="172"/>
      <c r="AJ35" s="172"/>
    </row>
    <row r="36" spans="1:36">
      <c r="A36" s="172"/>
      <c r="B36" s="1920"/>
      <c r="C36" s="38"/>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c r="AC36" s="172"/>
      <c r="AD36" s="172"/>
      <c r="AE36" s="172"/>
      <c r="AF36" s="172"/>
      <c r="AG36" s="172"/>
      <c r="AH36" s="172"/>
      <c r="AI36" s="172"/>
      <c r="AJ36" s="172"/>
    </row>
    <row r="37" spans="1:36" ht="17" thickBot="1">
      <c r="A37" s="172"/>
      <c r="B37" s="1920"/>
      <c r="C37" s="38"/>
      <c r="D37" s="407" t="s">
        <v>54</v>
      </c>
      <c r="E37" s="212" t="s">
        <v>3611</v>
      </c>
      <c r="F37" s="212"/>
      <c r="G37" s="212"/>
      <c r="H37" s="212"/>
      <c r="I37" s="212"/>
      <c r="J37" s="212"/>
      <c r="K37" s="172"/>
      <c r="L37" s="407" t="s">
        <v>75</v>
      </c>
      <c r="M37" s="212" t="s">
        <v>3620</v>
      </c>
      <c r="N37" s="212"/>
      <c r="O37" s="212"/>
      <c r="P37" s="212"/>
      <c r="Q37" s="212"/>
      <c r="R37" s="212"/>
      <c r="S37" s="172"/>
      <c r="T37" s="407" t="s">
        <v>76</v>
      </c>
      <c r="U37" s="212" t="s">
        <v>3615</v>
      </c>
      <c r="V37" s="212"/>
      <c r="W37" s="212"/>
      <c r="X37" s="212"/>
      <c r="Y37" s="212"/>
      <c r="Z37" s="212"/>
      <c r="AA37" s="172"/>
      <c r="AB37" s="1893" t="s">
        <v>85</v>
      </c>
      <c r="AC37" s="1893"/>
      <c r="AD37" s="1893"/>
      <c r="AE37" s="1893"/>
      <c r="AF37" s="1893"/>
      <c r="AG37" s="1893"/>
      <c r="AH37" s="1893"/>
      <c r="AI37" s="172"/>
      <c r="AJ37" s="172"/>
    </row>
    <row r="38" spans="1:36" ht="17" thickBot="1">
      <c r="A38" s="172"/>
      <c r="B38" s="1920"/>
      <c r="C38" s="38"/>
      <c r="D38" s="34"/>
      <c r="E38" s="34" t="s">
        <v>34</v>
      </c>
      <c r="F38" s="172" t="s">
        <v>9</v>
      </c>
      <c r="G38" s="172"/>
      <c r="H38" s="172"/>
      <c r="I38" s="172"/>
      <c r="J38" s="172"/>
      <c r="K38" s="172"/>
      <c r="L38" s="172"/>
      <c r="M38" s="1869" t="s">
        <v>73</v>
      </c>
      <c r="N38" s="1870"/>
      <c r="O38" s="788"/>
      <c r="P38" s="232"/>
      <c r="Q38" s="172"/>
      <c r="R38" s="172"/>
      <c r="S38" s="172"/>
      <c r="T38" s="172"/>
      <c r="U38" s="34" t="s">
        <v>34</v>
      </c>
      <c r="V38" s="232" t="s">
        <v>77</v>
      </c>
      <c r="W38" s="172"/>
      <c r="X38" s="172"/>
      <c r="Y38" s="172"/>
      <c r="Z38" s="172"/>
      <c r="AA38" s="172"/>
      <c r="AB38" s="172"/>
      <c r="AC38" s="172"/>
      <c r="AD38" s="172"/>
      <c r="AE38" s="172"/>
      <c r="AF38" s="1837" t="s">
        <v>3506</v>
      </c>
      <c r="AG38" s="1837"/>
      <c r="AH38" s="938" t="s">
        <v>3498</v>
      </c>
      <c r="AI38" s="172"/>
      <c r="AJ38" s="172"/>
    </row>
    <row r="39" spans="1:36">
      <c r="A39" s="172"/>
      <c r="B39" s="1920"/>
      <c r="C39" s="38"/>
      <c r="D39" s="34"/>
      <c r="E39" s="34" t="s">
        <v>35</v>
      </c>
      <c r="F39" s="172" t="s">
        <v>6</v>
      </c>
      <c r="G39" s="172"/>
      <c r="H39" s="172"/>
      <c r="I39" s="172"/>
      <c r="J39" s="172"/>
      <c r="K39" s="172"/>
      <c r="L39" s="172"/>
      <c r="M39" s="172"/>
      <c r="N39" s="172"/>
      <c r="O39" s="172"/>
      <c r="P39" s="1837" t="s">
        <v>3506</v>
      </c>
      <c r="Q39" s="1837"/>
      <c r="R39" s="938" t="s">
        <v>3498</v>
      </c>
      <c r="S39" s="172"/>
      <c r="T39" s="172"/>
      <c r="U39" s="34" t="s">
        <v>35</v>
      </c>
      <c r="V39" s="232" t="s">
        <v>80</v>
      </c>
      <c r="W39" s="172"/>
      <c r="X39" s="172"/>
      <c r="Y39" s="172"/>
      <c r="Z39" s="172"/>
      <c r="AA39" s="172"/>
      <c r="AB39" s="439"/>
      <c r="AC39" s="440"/>
      <c r="AD39" s="440"/>
      <c r="AE39" s="440"/>
      <c r="AF39" s="232"/>
      <c r="AG39" s="172"/>
      <c r="AH39" s="172"/>
      <c r="AI39" s="172"/>
      <c r="AJ39" s="172"/>
    </row>
    <row r="40" spans="1:36" ht="17" thickBot="1">
      <c r="A40" s="172"/>
      <c r="B40" s="1920"/>
      <c r="C40" s="38"/>
      <c r="D40" s="34"/>
      <c r="E40" s="34" t="s">
        <v>36</v>
      </c>
      <c r="F40" s="172" t="s">
        <v>55</v>
      </c>
      <c r="G40" s="172"/>
      <c r="H40" s="172"/>
      <c r="I40" s="172"/>
      <c r="J40" s="172"/>
      <c r="K40" s="172"/>
      <c r="L40" s="439"/>
      <c r="M40" s="440"/>
      <c r="N40" s="440"/>
      <c r="O40" s="440"/>
      <c r="P40" s="232"/>
      <c r="Q40" s="172"/>
      <c r="R40" s="172"/>
      <c r="S40" s="172"/>
      <c r="T40" s="172"/>
      <c r="U40" s="34" t="s">
        <v>36</v>
      </c>
      <c r="V40" s="232" t="s">
        <v>81</v>
      </c>
      <c r="W40" s="172"/>
      <c r="X40" s="172"/>
      <c r="Y40" s="172"/>
      <c r="Z40" s="172"/>
      <c r="AA40" s="172"/>
      <c r="AB40" s="232"/>
      <c r="AC40" s="438"/>
      <c r="AD40" s="232"/>
      <c r="AE40" s="232"/>
      <c r="AF40" s="232"/>
      <c r="AG40" s="232"/>
      <c r="AH40" s="232"/>
      <c r="AI40" s="172"/>
      <c r="AJ40" s="172"/>
    </row>
    <row r="41" spans="1:36" ht="17" thickBot="1">
      <c r="A41" s="172"/>
      <c r="B41" s="1920"/>
      <c r="C41" s="38"/>
      <c r="D41" s="34"/>
      <c r="E41" s="34" t="s">
        <v>37</v>
      </c>
      <c r="F41" s="172" t="s">
        <v>0</v>
      </c>
      <c r="G41" s="172"/>
      <c r="H41" s="788"/>
      <c r="I41" s="172"/>
      <c r="J41" s="172"/>
      <c r="K41" s="172"/>
      <c r="L41" s="232"/>
      <c r="M41" s="438"/>
      <c r="N41" s="232"/>
      <c r="O41" s="232"/>
      <c r="P41" s="232"/>
      <c r="Q41" s="232"/>
      <c r="R41" s="232"/>
      <c r="S41" s="172"/>
      <c r="T41" s="172"/>
      <c r="U41" s="34" t="s">
        <v>37</v>
      </c>
      <c r="V41" s="232" t="s">
        <v>78</v>
      </c>
      <c r="W41" s="172"/>
      <c r="X41" s="172"/>
      <c r="Y41" s="172"/>
      <c r="Z41" s="172"/>
      <c r="AA41" s="172"/>
      <c r="AB41" s="232"/>
      <c r="AC41" s="438"/>
      <c r="AD41" s="232"/>
      <c r="AE41" s="232"/>
      <c r="AF41" s="43"/>
      <c r="AG41" s="232"/>
      <c r="AH41" s="232"/>
      <c r="AI41" s="172"/>
      <c r="AJ41" s="172"/>
    </row>
    <row r="42" spans="1:36">
      <c r="A42" s="172"/>
      <c r="B42" s="1920"/>
      <c r="C42" s="38"/>
      <c r="D42" s="34"/>
      <c r="E42" s="172"/>
      <c r="F42" s="172"/>
      <c r="G42" s="172"/>
      <c r="H42" s="172"/>
      <c r="I42" s="172"/>
      <c r="J42" s="172"/>
      <c r="K42" s="172"/>
      <c r="L42" s="232"/>
      <c r="M42" s="438"/>
      <c r="N42" s="232"/>
      <c r="O42" s="232"/>
      <c r="P42" s="232"/>
      <c r="Q42" s="43"/>
      <c r="R42" s="232"/>
      <c r="S42" s="172"/>
      <c r="T42" s="172"/>
      <c r="U42" s="34" t="s">
        <v>38</v>
      </c>
      <c r="V42" s="232" t="s">
        <v>79</v>
      </c>
      <c r="W42" s="172"/>
      <c r="X42" s="172"/>
      <c r="Y42" s="172"/>
      <c r="Z42" s="172"/>
      <c r="AA42" s="172"/>
      <c r="AB42" s="232"/>
      <c r="AC42" s="232"/>
      <c r="AD42" s="232"/>
      <c r="AE42" s="232"/>
      <c r="AF42" s="232"/>
      <c r="AG42" s="232"/>
      <c r="AH42" s="232"/>
      <c r="AI42" s="172"/>
      <c r="AJ42" s="172"/>
    </row>
    <row r="43" spans="1:36" ht="17" thickBot="1">
      <c r="A43" s="172"/>
      <c r="B43" s="1920"/>
      <c r="C43" s="38"/>
      <c r="D43" s="407" t="s">
        <v>56</v>
      </c>
      <c r="E43" s="212" t="s">
        <v>3612</v>
      </c>
      <c r="F43" s="212"/>
      <c r="G43" s="212"/>
      <c r="H43" s="212"/>
      <c r="I43" s="212"/>
      <c r="J43" s="212"/>
      <c r="K43" s="172"/>
      <c r="L43" s="232"/>
      <c r="M43" s="232"/>
      <c r="N43" s="232"/>
      <c r="O43" s="232"/>
      <c r="P43" s="232"/>
      <c r="Q43" s="232"/>
      <c r="R43" s="232"/>
      <c r="S43" s="172"/>
      <c r="T43" s="172"/>
      <c r="U43" s="34" t="s">
        <v>39</v>
      </c>
      <c r="V43" s="232" t="s">
        <v>82</v>
      </c>
      <c r="W43" s="172"/>
      <c r="X43" s="172"/>
      <c r="Y43" s="172"/>
      <c r="Z43" s="172"/>
      <c r="AA43" s="172"/>
      <c r="AB43" s="232"/>
      <c r="AC43" s="232"/>
      <c r="AD43" s="232"/>
      <c r="AE43" s="232"/>
      <c r="AF43" s="232"/>
      <c r="AG43" s="232"/>
      <c r="AH43" s="232"/>
      <c r="AI43" s="172"/>
      <c r="AJ43" s="172"/>
    </row>
    <row r="44" spans="1:36" ht="17" thickBot="1">
      <c r="A44" s="172"/>
      <c r="B44" s="1920"/>
      <c r="C44" s="38"/>
      <c r="D44" s="34"/>
      <c r="E44" s="34" t="s">
        <v>34</v>
      </c>
      <c r="F44" s="172" t="s">
        <v>57</v>
      </c>
      <c r="G44" s="172" t="s">
        <v>7</v>
      </c>
      <c r="H44" s="172"/>
      <c r="I44" s="172"/>
      <c r="J44" s="172"/>
      <c r="K44" s="172"/>
      <c r="L44" s="172"/>
      <c r="M44" s="172"/>
      <c r="N44" s="172"/>
      <c r="O44" s="172"/>
      <c r="P44" s="172"/>
      <c r="Q44" s="172"/>
      <c r="R44" s="172"/>
      <c r="S44" s="172"/>
      <c r="T44" s="172"/>
      <c r="U44" s="34" t="s">
        <v>40</v>
      </c>
      <c r="V44" s="232" t="s">
        <v>71</v>
      </c>
      <c r="W44" s="172"/>
      <c r="X44" s="1873"/>
      <c r="Y44" s="1874"/>
      <c r="Z44" s="172"/>
      <c r="AA44" s="43"/>
      <c r="AB44" s="172"/>
      <c r="AC44" s="172"/>
      <c r="AD44" s="172"/>
      <c r="AE44" s="172"/>
      <c r="AF44" s="172"/>
      <c r="AG44" s="172"/>
      <c r="AH44" s="172"/>
      <c r="AI44" s="172"/>
      <c r="AJ44" s="172"/>
    </row>
    <row r="45" spans="1:36" ht="17" thickBot="1">
      <c r="A45" s="172"/>
      <c r="B45" s="1920"/>
      <c r="C45" s="38"/>
      <c r="D45" s="34"/>
      <c r="E45" s="34" t="s">
        <v>35</v>
      </c>
      <c r="F45" s="172" t="s">
        <v>57</v>
      </c>
      <c r="G45" s="172" t="s">
        <v>8</v>
      </c>
      <c r="H45" s="172"/>
      <c r="I45" s="172"/>
      <c r="J45" s="172"/>
      <c r="K45" s="172"/>
      <c r="L45" s="172"/>
      <c r="M45" s="172"/>
      <c r="N45" s="172"/>
      <c r="O45" s="172"/>
      <c r="P45" s="172"/>
      <c r="Q45" s="172"/>
      <c r="R45" s="172"/>
      <c r="S45" s="172"/>
      <c r="T45" s="172"/>
      <c r="U45" s="34"/>
      <c r="V45" s="172"/>
      <c r="W45" s="172"/>
      <c r="X45" s="172"/>
      <c r="Y45" s="172"/>
      <c r="Z45" s="172"/>
      <c r="AA45" s="172"/>
      <c r="AB45" s="172"/>
      <c r="AC45" s="172"/>
      <c r="AD45" s="172"/>
      <c r="AE45" s="172"/>
      <c r="AF45" s="172"/>
      <c r="AG45" s="172"/>
      <c r="AH45" s="172"/>
      <c r="AI45" s="172"/>
      <c r="AJ45" s="172"/>
    </row>
    <row r="46" spans="1:36" ht="17" thickBot="1">
      <c r="A46" s="172"/>
      <c r="B46" s="1920"/>
      <c r="C46" s="38"/>
      <c r="D46" s="34"/>
      <c r="E46" s="34" t="s">
        <v>36</v>
      </c>
      <c r="F46" s="172" t="s">
        <v>58</v>
      </c>
      <c r="G46" s="172" t="s">
        <v>2</v>
      </c>
      <c r="H46" s="172"/>
      <c r="I46" s="172"/>
      <c r="J46" s="172"/>
      <c r="K46" s="172"/>
      <c r="L46" s="172"/>
      <c r="M46" s="172"/>
      <c r="N46" s="172"/>
      <c r="O46" s="172"/>
      <c r="P46" s="172"/>
      <c r="Q46" s="172"/>
      <c r="R46" s="172"/>
      <c r="S46" s="172"/>
      <c r="T46" s="405" t="s">
        <v>83</v>
      </c>
      <c r="U46" s="508" t="s">
        <v>3616</v>
      </c>
      <c r="V46" s="508"/>
      <c r="W46" s="508"/>
      <c r="X46" s="508"/>
      <c r="Y46" s="508"/>
      <c r="Z46" s="462"/>
      <c r="AA46" s="172"/>
      <c r="AB46" s="172"/>
      <c r="AC46" s="172"/>
      <c r="AD46" s="172"/>
      <c r="AE46" s="172"/>
      <c r="AF46" s="172"/>
      <c r="AG46" s="172"/>
      <c r="AH46" s="172"/>
      <c r="AI46" s="172"/>
      <c r="AJ46" s="172"/>
    </row>
    <row r="47" spans="1:36" ht="17" thickBot="1">
      <c r="A47" s="172"/>
      <c r="B47" s="1920"/>
      <c r="C47" s="38"/>
      <c r="D47" s="34"/>
      <c r="E47" s="34" t="s">
        <v>37</v>
      </c>
      <c r="F47" s="172" t="s">
        <v>60</v>
      </c>
      <c r="G47" s="172" t="s">
        <v>1</v>
      </c>
      <c r="H47" s="172"/>
      <c r="I47" s="172"/>
      <c r="J47" s="172"/>
      <c r="K47" s="172"/>
      <c r="L47" s="172"/>
      <c r="M47" s="172"/>
      <c r="N47" s="172"/>
      <c r="O47" s="172"/>
      <c r="P47" s="172"/>
      <c r="Q47" s="172"/>
      <c r="R47" s="172"/>
      <c r="S47" s="172"/>
      <c r="T47" s="172"/>
      <c r="U47" s="34" t="s">
        <v>34</v>
      </c>
      <c r="V47" s="172" t="s">
        <v>262</v>
      </c>
      <c r="W47" s="172" t="s">
        <v>2</v>
      </c>
      <c r="X47" s="172"/>
      <c r="Y47" s="172"/>
      <c r="Z47" s="172"/>
      <c r="AA47" s="172"/>
      <c r="AB47" s="172"/>
      <c r="AC47" s="172"/>
      <c r="AD47" s="172"/>
      <c r="AE47" s="172"/>
      <c r="AF47" s="172"/>
      <c r="AG47" s="172"/>
      <c r="AH47" s="172"/>
      <c r="AI47" s="172"/>
      <c r="AJ47" s="172"/>
    </row>
    <row r="48" spans="1:36" ht="17" thickBot="1">
      <c r="A48" s="172"/>
      <c r="B48" s="1920"/>
      <c r="C48" s="38"/>
      <c r="D48" s="34"/>
      <c r="E48" s="34" t="s">
        <v>38</v>
      </c>
      <c r="F48" s="172" t="s">
        <v>59</v>
      </c>
      <c r="G48" s="172" t="s">
        <v>5</v>
      </c>
      <c r="H48" s="788"/>
      <c r="I48" s="172"/>
      <c r="J48" s="172"/>
      <c r="K48" s="172"/>
      <c r="L48" s="172"/>
      <c r="M48" s="172"/>
      <c r="N48" s="172"/>
      <c r="O48" s="172"/>
      <c r="P48" s="172"/>
      <c r="Q48" s="172"/>
      <c r="R48" s="172"/>
      <c r="S48" s="172"/>
      <c r="T48" s="172"/>
      <c r="U48" s="34" t="s">
        <v>35</v>
      </c>
      <c r="V48" s="172" t="s">
        <v>264</v>
      </c>
      <c r="W48" s="172" t="s">
        <v>1</v>
      </c>
      <c r="X48" s="172"/>
      <c r="Y48" s="172"/>
      <c r="Z48" s="172"/>
      <c r="AA48" s="172"/>
      <c r="AB48" s="172"/>
      <c r="AC48" s="172"/>
      <c r="AD48" s="172"/>
      <c r="AE48" s="172"/>
      <c r="AF48" s="172"/>
      <c r="AG48" s="172"/>
      <c r="AH48" s="172"/>
      <c r="AI48" s="172"/>
      <c r="AJ48" s="172"/>
    </row>
    <row r="49" spans="1:37" ht="17" thickBot="1">
      <c r="A49" s="172"/>
      <c r="B49" s="1920"/>
      <c r="C49" s="38"/>
      <c r="D49" s="172"/>
      <c r="E49" s="34"/>
      <c r="F49" s="172"/>
      <c r="G49" s="172"/>
      <c r="H49" s="172"/>
      <c r="I49" s="172"/>
      <c r="J49" s="172"/>
      <c r="K49" s="172"/>
      <c r="L49" s="172"/>
      <c r="M49" s="172"/>
      <c r="N49" s="172"/>
      <c r="O49" s="172"/>
      <c r="P49" s="172"/>
      <c r="Q49" s="172"/>
      <c r="R49" s="172"/>
      <c r="S49" s="172"/>
      <c r="T49" s="172"/>
      <c r="U49" s="34" t="s">
        <v>36</v>
      </c>
      <c r="V49" s="172" t="s">
        <v>263</v>
      </c>
      <c r="W49" s="172" t="s">
        <v>5</v>
      </c>
      <c r="X49" s="788"/>
      <c r="Y49" s="172"/>
      <c r="Z49" s="172"/>
      <c r="AA49" s="172"/>
      <c r="AB49" s="172"/>
      <c r="AC49" s="172"/>
      <c r="AD49" s="172"/>
      <c r="AE49" s="172"/>
      <c r="AF49" s="172"/>
      <c r="AG49" s="172"/>
      <c r="AH49" s="172"/>
      <c r="AI49" s="172"/>
      <c r="AJ49" s="172"/>
    </row>
    <row r="50" spans="1:37" ht="17" thickBot="1">
      <c r="A50" s="172"/>
      <c r="B50" s="1920"/>
      <c r="C50" s="38"/>
      <c r="D50" s="407" t="s">
        <v>72</v>
      </c>
      <c r="E50" s="212" t="s">
        <v>3624</v>
      </c>
      <c r="F50" s="212"/>
      <c r="G50" s="212"/>
      <c r="H50" s="212"/>
      <c r="I50" s="212"/>
      <c r="J50" s="212"/>
      <c r="K50" s="172"/>
      <c r="L50" s="172"/>
      <c r="M50" s="172"/>
      <c r="N50" s="172"/>
      <c r="O50" s="172"/>
      <c r="P50" s="172"/>
      <c r="Q50" s="172"/>
      <c r="R50" s="172"/>
      <c r="S50" s="172"/>
      <c r="T50" s="172"/>
      <c r="U50" s="172"/>
      <c r="V50" s="172"/>
      <c r="W50" s="172"/>
      <c r="X50" s="172"/>
      <c r="Y50" s="172"/>
      <c r="Z50" s="172"/>
      <c r="AA50" s="172"/>
      <c r="AB50" s="172"/>
      <c r="AC50" s="172"/>
      <c r="AD50" s="172"/>
      <c r="AE50" s="172"/>
      <c r="AF50" s="172"/>
      <c r="AG50" s="172"/>
      <c r="AH50" s="172"/>
      <c r="AI50" s="172"/>
      <c r="AJ50" s="172"/>
    </row>
    <row r="51" spans="1:37" ht="17" thickBot="1">
      <c r="A51" s="172"/>
      <c r="B51" s="1920"/>
      <c r="C51" s="38"/>
      <c r="D51" s="34"/>
      <c r="E51" s="234" t="s">
        <v>73</v>
      </c>
      <c r="F51" s="406"/>
      <c r="G51" s="788"/>
      <c r="H51" s="43"/>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8"/>
    </row>
    <row r="52" spans="1:37" ht="17" thickBot="1">
      <c r="A52" s="172"/>
      <c r="B52" s="1920"/>
      <c r="C52" s="38"/>
      <c r="D52" s="935" t="s">
        <v>3491</v>
      </c>
      <c r="E52" s="172"/>
      <c r="F52" s="172"/>
      <c r="G52" s="172"/>
      <c r="H52" s="172"/>
      <c r="I52" s="172"/>
      <c r="J52" s="172"/>
      <c r="K52" s="172"/>
      <c r="L52" s="172"/>
      <c r="M52" s="172"/>
      <c r="N52" s="172"/>
      <c r="O52" s="172"/>
      <c r="P52" s="172"/>
      <c r="Q52" s="172"/>
      <c r="R52" s="172"/>
      <c r="S52" s="172"/>
      <c r="T52" s="407" t="s">
        <v>84</v>
      </c>
      <c r="U52" s="212" t="s">
        <v>3621</v>
      </c>
      <c r="V52" s="212"/>
      <c r="W52" s="212"/>
      <c r="X52" s="212"/>
      <c r="Y52" s="212"/>
      <c r="Z52" s="212"/>
      <c r="AA52" s="172"/>
      <c r="AB52" s="172"/>
      <c r="AC52" s="172"/>
      <c r="AD52" s="172"/>
      <c r="AE52" s="172"/>
      <c r="AF52" s="172"/>
      <c r="AG52" s="172"/>
      <c r="AH52" s="172"/>
      <c r="AI52" s="172"/>
      <c r="AJ52" s="172"/>
    </row>
    <row r="53" spans="1:37" ht="17" thickBot="1">
      <c r="A53" s="172"/>
      <c r="B53" s="1920"/>
      <c r="C53" s="38"/>
      <c r="D53" s="172"/>
      <c r="E53" s="172"/>
      <c r="F53" s="172"/>
      <c r="G53" s="172"/>
      <c r="H53" s="172"/>
      <c r="I53" s="172"/>
      <c r="J53" s="172"/>
      <c r="K53" s="172"/>
      <c r="L53" s="172"/>
      <c r="M53" s="172"/>
      <c r="N53" s="172"/>
      <c r="O53" s="172"/>
      <c r="P53" s="172"/>
      <c r="Q53" s="172"/>
      <c r="R53" s="172"/>
      <c r="S53" s="172"/>
      <c r="T53" s="172"/>
      <c r="U53" s="234" t="s">
        <v>73</v>
      </c>
      <c r="V53" s="406"/>
      <c r="W53" s="788"/>
      <c r="X53" s="1837" t="s">
        <v>3506</v>
      </c>
      <c r="Y53" s="1837"/>
      <c r="Z53" s="938" t="s">
        <v>3498</v>
      </c>
      <c r="AA53" s="172"/>
      <c r="AB53" s="172"/>
      <c r="AC53" s="172"/>
      <c r="AD53" s="172"/>
      <c r="AE53" s="172"/>
      <c r="AF53" s="172"/>
      <c r="AG53" s="172"/>
      <c r="AH53" s="172"/>
      <c r="AI53" s="172"/>
      <c r="AJ53" s="172"/>
    </row>
    <row r="54" spans="1:37" ht="17" thickBot="1">
      <c r="A54" s="172"/>
      <c r="B54" s="1920"/>
      <c r="C54" s="38"/>
      <c r="D54" s="407" t="s">
        <v>74</v>
      </c>
      <c r="E54" s="212" t="s">
        <v>3613</v>
      </c>
      <c r="F54" s="212"/>
      <c r="G54" s="212"/>
      <c r="H54" s="212"/>
      <c r="I54" s="212"/>
      <c r="J54" s="212"/>
      <c r="K54" s="172"/>
      <c r="L54" s="172"/>
      <c r="M54" s="172"/>
      <c r="N54" s="172"/>
      <c r="O54" s="172"/>
      <c r="P54" s="172"/>
      <c r="Q54" s="172"/>
      <c r="R54" s="172"/>
      <c r="S54" s="172"/>
      <c r="T54" s="172"/>
      <c r="U54" s="34"/>
      <c r="V54" s="172"/>
      <c r="W54" s="172"/>
      <c r="X54" s="440"/>
      <c r="Y54" s="172"/>
      <c r="Z54" s="172"/>
      <c r="AA54" s="172"/>
      <c r="AB54" s="172"/>
      <c r="AC54" s="172"/>
      <c r="AD54" s="172"/>
      <c r="AE54" s="172"/>
      <c r="AF54" s="172"/>
      <c r="AG54" s="172"/>
      <c r="AH54" s="172"/>
      <c r="AI54" s="172"/>
      <c r="AJ54" s="172"/>
    </row>
    <row r="55" spans="1:37" ht="17" thickBot="1">
      <c r="A55" s="172"/>
      <c r="B55" s="1920"/>
      <c r="C55" s="38"/>
      <c r="D55" s="34"/>
      <c r="E55" s="234" t="s">
        <v>73</v>
      </c>
      <c r="F55" s="406"/>
      <c r="G55" s="788"/>
      <c r="H55" s="1837" t="s">
        <v>3506</v>
      </c>
      <c r="I55" s="1837"/>
      <c r="J55" s="938" t="s">
        <v>3498</v>
      </c>
      <c r="K55" s="172"/>
      <c r="L55" s="172"/>
      <c r="M55" s="172"/>
      <c r="N55" s="172"/>
      <c r="O55" s="172"/>
      <c r="P55" s="172"/>
      <c r="Q55" s="172"/>
      <c r="R55" s="172"/>
      <c r="S55" s="172"/>
      <c r="T55" s="439"/>
      <c r="U55" s="440"/>
      <c r="V55" s="440"/>
      <c r="W55" s="440"/>
      <c r="X55" s="440"/>
      <c r="Y55" s="440"/>
      <c r="Z55" s="440"/>
      <c r="AA55" s="172"/>
      <c r="AB55" s="172"/>
      <c r="AC55" s="172"/>
      <c r="AD55" s="172"/>
      <c r="AE55" s="172"/>
      <c r="AF55" s="172"/>
      <c r="AG55" s="172"/>
      <c r="AH55" s="172"/>
      <c r="AI55" s="172"/>
      <c r="AJ55" s="172"/>
    </row>
    <row r="56" spans="1:37" ht="17" thickBot="1">
      <c r="A56" s="172"/>
      <c r="B56" s="1920"/>
      <c r="C56" s="38"/>
      <c r="D56" s="172"/>
      <c r="E56" s="172"/>
      <c r="F56" s="172"/>
      <c r="G56" s="172"/>
      <c r="H56" s="458"/>
      <c r="I56" s="172"/>
      <c r="J56" s="172"/>
      <c r="K56" s="172"/>
      <c r="L56" s="172"/>
      <c r="M56" s="172"/>
      <c r="N56" s="172"/>
      <c r="O56" s="172"/>
      <c r="P56" s="172"/>
      <c r="Q56" s="172"/>
      <c r="R56" s="172"/>
      <c r="S56" s="172"/>
      <c r="T56" s="232"/>
      <c r="U56" s="438"/>
      <c r="V56" s="232"/>
      <c r="W56" s="232"/>
      <c r="X56" s="232"/>
      <c r="Y56" s="232"/>
      <c r="Z56" s="232"/>
      <c r="AA56" s="172"/>
      <c r="AB56" s="172"/>
      <c r="AC56" s="172"/>
      <c r="AD56" s="172"/>
      <c r="AE56" s="172"/>
      <c r="AF56" s="172"/>
      <c r="AG56" s="172"/>
      <c r="AH56" s="172"/>
      <c r="AI56" s="172"/>
      <c r="AJ56" s="172"/>
    </row>
    <row r="57" spans="1:37" ht="17" thickBot="1">
      <c r="A57" s="172"/>
      <c r="B57" s="1920"/>
      <c r="C57" s="38"/>
      <c r="D57" s="442" t="s">
        <v>148</v>
      </c>
      <c r="E57" s="236"/>
      <c r="F57" s="236"/>
      <c r="G57" s="237"/>
      <c r="H57" s="458"/>
      <c r="I57" s="458"/>
      <c r="J57" s="172"/>
      <c r="K57" s="172"/>
      <c r="L57" s="172"/>
      <c r="M57" s="172"/>
      <c r="N57" s="172"/>
      <c r="O57" s="172"/>
      <c r="P57" s="172"/>
      <c r="Q57" s="172"/>
      <c r="R57" s="172"/>
      <c r="S57" s="172"/>
      <c r="T57" s="442" t="s">
        <v>148</v>
      </c>
      <c r="U57" s="236"/>
      <c r="V57" s="236"/>
      <c r="W57" s="237"/>
      <c r="X57" s="458"/>
      <c r="Y57" s="458"/>
      <c r="Z57" s="172"/>
      <c r="AA57" s="172"/>
      <c r="AB57" s="172"/>
      <c r="AC57" s="172"/>
      <c r="AD57" s="172"/>
      <c r="AE57" s="172"/>
      <c r="AF57" s="172"/>
      <c r="AG57" s="172"/>
      <c r="AH57" s="172"/>
      <c r="AI57" s="172"/>
      <c r="AJ57" s="172"/>
    </row>
    <row r="58" spans="1:37">
      <c r="A58" s="172"/>
      <c r="B58" s="1920"/>
      <c r="C58" s="38"/>
      <c r="D58" s="238" t="s">
        <v>33</v>
      </c>
      <c r="E58" s="239"/>
      <c r="F58" s="240">
        <f>G12</f>
        <v>0</v>
      </c>
      <c r="G58" s="241"/>
      <c r="H58" s="232"/>
      <c r="I58" s="232"/>
      <c r="J58" s="172"/>
      <c r="K58" s="172"/>
      <c r="L58" s="172"/>
      <c r="M58" s="172"/>
      <c r="N58" s="172"/>
      <c r="O58" s="172"/>
      <c r="P58" s="172"/>
      <c r="Q58" s="172"/>
      <c r="R58" s="172"/>
      <c r="S58" s="172"/>
      <c r="T58" s="238" t="s">
        <v>33</v>
      </c>
      <c r="U58" s="239"/>
      <c r="V58" s="243">
        <f>G12</f>
        <v>0</v>
      </c>
      <c r="W58" s="244"/>
      <c r="X58" s="232"/>
      <c r="Y58" s="232"/>
      <c r="Z58" s="172"/>
      <c r="AA58" s="172"/>
      <c r="AB58" s="172"/>
      <c r="AC58" s="172"/>
      <c r="AD58" s="172"/>
      <c r="AE58" s="172"/>
      <c r="AF58" s="172"/>
      <c r="AG58" s="172"/>
      <c r="AH58" s="172"/>
      <c r="AI58" s="172"/>
      <c r="AJ58" s="172"/>
    </row>
    <row r="59" spans="1:37" ht="17" thickBot="1">
      <c r="A59" s="172"/>
      <c r="B59" s="1920"/>
      <c r="C59" s="38"/>
      <c r="D59" s="245" t="s">
        <v>43</v>
      </c>
      <c r="E59" s="246"/>
      <c r="F59" s="247" t="e">
        <f>VLOOKUP(F58,'T3'!B9:C2990,2,FALSE)</f>
        <v>#N/A</v>
      </c>
      <c r="G59" s="248" t="s">
        <v>44</v>
      </c>
      <c r="H59" s="232"/>
      <c r="I59" s="232"/>
      <c r="J59" s="172"/>
      <c r="K59" s="172"/>
      <c r="L59" s="172"/>
      <c r="M59" s="172"/>
      <c r="N59" s="172"/>
      <c r="O59" s="172"/>
      <c r="P59" s="172"/>
      <c r="Q59" s="172"/>
      <c r="R59" s="172"/>
      <c r="S59" s="172"/>
      <c r="T59" s="245" t="s">
        <v>43</v>
      </c>
      <c r="U59" s="246"/>
      <c r="V59" s="247" t="e">
        <f>VLOOKUP(V58,'T3'!B9:C2990,2,FALSE)</f>
        <v>#N/A</v>
      </c>
      <c r="W59" s="248" t="s">
        <v>44</v>
      </c>
      <c r="X59" s="232"/>
      <c r="Y59" s="232"/>
      <c r="Z59" s="172"/>
      <c r="AA59" s="172"/>
      <c r="AB59" s="172"/>
      <c r="AC59" s="172"/>
      <c r="AD59" s="172"/>
      <c r="AE59" s="172"/>
      <c r="AF59" s="172"/>
      <c r="AG59" s="172"/>
      <c r="AH59" s="172"/>
      <c r="AI59" s="172"/>
      <c r="AJ59" s="172"/>
    </row>
    <row r="60" spans="1:37" ht="17" thickBot="1">
      <c r="A60" s="172"/>
      <c r="B60" s="1920"/>
      <c r="C60" s="38"/>
      <c r="D60" s="34"/>
      <c r="E60" s="172"/>
      <c r="F60" s="172"/>
      <c r="G60" s="172"/>
      <c r="H60" s="172"/>
      <c r="I60" s="172"/>
      <c r="J60" s="172"/>
      <c r="K60" s="172"/>
      <c r="L60" s="442" t="s">
        <v>149</v>
      </c>
      <c r="M60" s="236"/>
      <c r="N60" s="236"/>
      <c r="O60" s="237"/>
      <c r="P60" s="458"/>
      <c r="Q60" s="458"/>
      <c r="R60" s="172"/>
      <c r="S60" s="172"/>
      <c r="T60" s="34"/>
      <c r="U60" s="172"/>
      <c r="V60" s="172"/>
      <c r="W60" s="172"/>
      <c r="X60" s="172"/>
      <c r="Y60" s="172"/>
      <c r="Z60" s="172"/>
      <c r="AA60" s="172"/>
      <c r="AB60" s="172"/>
      <c r="AC60" s="172"/>
      <c r="AD60" s="172"/>
      <c r="AE60" s="172"/>
      <c r="AF60" s="172"/>
      <c r="AG60" s="172"/>
      <c r="AH60" s="172"/>
      <c r="AI60" s="172"/>
      <c r="AJ60" s="172"/>
    </row>
    <row r="61" spans="1:37" ht="17" thickBot="1">
      <c r="A61" s="172"/>
      <c r="B61" s="1920"/>
      <c r="C61" s="38"/>
      <c r="D61" s="250" t="s">
        <v>67</v>
      </c>
      <c r="E61" s="251"/>
      <c r="F61" s="251"/>
      <c r="G61" s="252"/>
      <c r="H61" s="172"/>
      <c r="I61" s="172"/>
      <c r="J61" s="172"/>
      <c r="K61" s="172"/>
      <c r="L61" s="238" t="s">
        <v>126</v>
      </c>
      <c r="M61" s="242"/>
      <c r="N61" s="240">
        <f>G12</f>
        <v>0</v>
      </c>
      <c r="O61" s="241"/>
      <c r="P61" s="232"/>
      <c r="Q61" s="232"/>
      <c r="R61" s="172"/>
      <c r="S61" s="172"/>
      <c r="T61" s="250" t="s">
        <v>106</v>
      </c>
      <c r="U61" s="251"/>
      <c r="V61" s="251"/>
      <c r="W61" s="252"/>
      <c r="X61" s="172"/>
      <c r="Y61" s="172"/>
      <c r="Z61" s="172"/>
      <c r="AA61" s="172"/>
      <c r="AB61" s="172"/>
      <c r="AC61" s="172"/>
      <c r="AD61" s="172"/>
      <c r="AE61" s="172"/>
      <c r="AF61" s="172"/>
      <c r="AG61" s="172"/>
      <c r="AH61" s="172"/>
      <c r="AI61" s="172"/>
      <c r="AJ61" s="172"/>
    </row>
    <row r="62" spans="1:37" ht="17" thickBot="1">
      <c r="A62" s="172"/>
      <c r="B62" s="1920"/>
      <c r="C62" s="38"/>
      <c r="D62" s="76" t="s">
        <v>43</v>
      </c>
      <c r="E62" s="77"/>
      <c r="F62" s="253" t="e">
        <f>F59</f>
        <v>#N/A</v>
      </c>
      <c r="G62" s="254" t="s">
        <v>44</v>
      </c>
      <c r="H62" s="172"/>
      <c r="I62" s="172"/>
      <c r="J62" s="172"/>
      <c r="K62" s="172"/>
      <c r="L62" s="245" t="s">
        <v>131</v>
      </c>
      <c r="M62" s="249"/>
      <c r="N62" s="247" t="e">
        <f>VLOOKUP(N61,'T4'!B7:C2988,2,FALSE)</f>
        <v>#N/A</v>
      </c>
      <c r="O62" s="248" t="s">
        <v>44</v>
      </c>
      <c r="P62" s="232"/>
      <c r="Q62" s="232"/>
      <c r="R62" s="172"/>
      <c r="S62" s="172"/>
      <c r="T62" s="62" t="s">
        <v>43</v>
      </c>
      <c r="U62" s="63"/>
      <c r="V62" s="255" t="e">
        <f>V59</f>
        <v>#N/A</v>
      </c>
      <c r="W62" s="254" t="s">
        <v>44</v>
      </c>
      <c r="X62" s="172"/>
      <c r="Y62" s="172"/>
      <c r="Z62" s="172"/>
      <c r="AA62" s="172"/>
      <c r="AB62" s="172"/>
      <c r="AC62" s="172"/>
      <c r="AD62" s="172"/>
      <c r="AE62" s="172"/>
      <c r="AF62" s="172"/>
      <c r="AG62" s="172"/>
      <c r="AH62" s="172"/>
      <c r="AI62" s="172"/>
      <c r="AJ62" s="172"/>
    </row>
    <row r="63" spans="1:37" ht="17" thickBot="1">
      <c r="A63" s="172"/>
      <c r="B63" s="1920"/>
      <c r="C63" s="38"/>
      <c r="D63" s="256" t="s">
        <v>61</v>
      </c>
      <c r="E63" s="257"/>
      <c r="F63" s="258" t="s">
        <v>48</v>
      </c>
      <c r="G63" s="259"/>
      <c r="H63" s="172"/>
      <c r="I63" s="172"/>
      <c r="J63" s="172"/>
      <c r="K63" s="172"/>
      <c r="L63" s="34"/>
      <c r="M63" s="172"/>
      <c r="N63" s="172"/>
      <c r="O63" s="172"/>
      <c r="P63" s="172"/>
      <c r="Q63" s="172"/>
      <c r="R63" s="172"/>
      <c r="S63" s="172"/>
      <c r="T63" s="256" t="s">
        <v>61</v>
      </c>
      <c r="U63" s="261"/>
      <c r="V63" s="258" t="s">
        <v>50</v>
      </c>
      <c r="W63" s="259"/>
      <c r="X63" s="172"/>
      <c r="Y63" s="172"/>
      <c r="Z63" s="172"/>
      <c r="AA63" s="172"/>
      <c r="AB63" s="172"/>
      <c r="AC63" s="172"/>
      <c r="AD63" s="172"/>
      <c r="AE63" s="172"/>
      <c r="AF63" s="172"/>
      <c r="AG63" s="172"/>
      <c r="AH63" s="172"/>
      <c r="AI63" s="172"/>
      <c r="AJ63" s="172"/>
    </row>
    <row r="64" spans="1:37" ht="17" thickBot="1">
      <c r="A64" s="172"/>
      <c r="B64" s="1920"/>
      <c r="C64" s="38"/>
      <c r="D64" s="256" t="s">
        <v>24</v>
      </c>
      <c r="E64" s="257"/>
      <c r="F64" s="258">
        <f>H41</f>
        <v>0</v>
      </c>
      <c r="G64" s="259"/>
      <c r="H64" s="172"/>
      <c r="I64" s="172"/>
      <c r="J64" s="172"/>
      <c r="K64" s="172"/>
      <c r="L64" s="250" t="s">
        <v>135</v>
      </c>
      <c r="M64" s="251"/>
      <c r="N64" s="251"/>
      <c r="O64" s="252"/>
      <c r="P64" s="172"/>
      <c r="Q64" s="172"/>
      <c r="R64" s="172"/>
      <c r="S64" s="172"/>
      <c r="T64" s="256" t="s">
        <v>24</v>
      </c>
      <c r="U64" s="261"/>
      <c r="V64" s="258">
        <f>X44</f>
        <v>0</v>
      </c>
      <c r="W64" s="259"/>
      <c r="X64" s="172"/>
      <c r="Y64" s="172"/>
      <c r="Z64" s="172"/>
      <c r="AA64" s="172"/>
      <c r="AB64" s="172"/>
      <c r="AC64" s="172"/>
      <c r="AD64" s="172"/>
      <c r="AE64" s="172"/>
      <c r="AF64" s="172"/>
      <c r="AG64" s="172"/>
      <c r="AH64" s="172"/>
      <c r="AI64" s="172"/>
      <c r="AJ64" s="172"/>
    </row>
    <row r="65" spans="1:36">
      <c r="A65" s="172"/>
      <c r="B65" s="1920"/>
      <c r="C65" s="38"/>
      <c r="D65" s="256" t="s">
        <v>23</v>
      </c>
      <c r="E65" s="257"/>
      <c r="F65" s="258">
        <f>H48</f>
        <v>0</v>
      </c>
      <c r="G65" s="259"/>
      <c r="H65" s="172"/>
      <c r="I65" s="172"/>
      <c r="J65" s="172"/>
      <c r="K65" s="172"/>
      <c r="L65" s="62" t="s">
        <v>43</v>
      </c>
      <c r="M65" s="172"/>
      <c r="N65" s="255" t="e">
        <f>N62</f>
        <v>#N/A</v>
      </c>
      <c r="O65" s="254" t="s">
        <v>44</v>
      </c>
      <c r="P65" s="172"/>
      <c r="Q65" s="172"/>
      <c r="R65" s="172"/>
      <c r="S65" s="172"/>
      <c r="T65" s="256" t="s">
        <v>23</v>
      </c>
      <c r="U65" s="261"/>
      <c r="V65" s="258">
        <f>X49</f>
        <v>0</v>
      </c>
      <c r="W65" s="259"/>
      <c r="X65" s="172"/>
      <c r="Y65" s="172"/>
      <c r="Z65" s="172"/>
      <c r="AA65" s="172"/>
      <c r="AB65" s="172"/>
      <c r="AC65" s="172"/>
      <c r="AD65" s="172"/>
      <c r="AE65" s="172"/>
      <c r="AF65" s="172"/>
      <c r="AG65" s="172"/>
      <c r="AH65" s="172"/>
      <c r="AI65" s="172"/>
      <c r="AJ65" s="172"/>
    </row>
    <row r="66" spans="1:36">
      <c r="A66" s="172"/>
      <c r="B66" s="1920"/>
      <c r="C66" s="38"/>
      <c r="D66" s="256" t="s">
        <v>132</v>
      </c>
      <c r="E66" s="257"/>
      <c r="F66" s="264" t="e">
        <f>INDEX('T1'!AA9:AE12,MATCH(F64,'T1'!Z9:Z12,0),MATCH(F65,'T1'!AA8:AE8,0))</f>
        <v>#N/A</v>
      </c>
      <c r="G66" s="259" t="s">
        <v>136</v>
      </c>
      <c r="H66" s="172"/>
      <c r="I66" s="172"/>
      <c r="J66" s="172"/>
      <c r="K66" s="172"/>
      <c r="L66" s="260" t="s">
        <v>132</v>
      </c>
      <c r="M66" s="232"/>
      <c r="N66" s="258">
        <f>'T5 - T7 | T9 - T16'!D30</f>
        <v>0.36551246602196114</v>
      </c>
      <c r="O66" s="259" t="s">
        <v>136</v>
      </c>
      <c r="P66" s="172"/>
      <c r="Q66" s="172"/>
      <c r="R66" s="172"/>
      <c r="S66" s="172"/>
      <c r="T66" s="256" t="s">
        <v>132</v>
      </c>
      <c r="U66" s="261"/>
      <c r="V66" s="264" t="e">
        <f>INDEX('T8'!AA9:AC15,MATCH(V64,'T8'!Z9:Z15,0),MATCH(V65,'T8'!AA8:AC8,0))</f>
        <v>#N/A</v>
      </c>
      <c r="W66" s="259" t="s">
        <v>136</v>
      </c>
      <c r="X66" s="172"/>
      <c r="Y66" s="172"/>
      <c r="Z66" s="172"/>
      <c r="AA66" s="172"/>
      <c r="AB66" s="172"/>
      <c r="AC66" s="172"/>
      <c r="AD66" s="172"/>
      <c r="AE66" s="172"/>
      <c r="AF66" s="172"/>
      <c r="AG66" s="172"/>
      <c r="AH66" s="172"/>
      <c r="AI66" s="172"/>
      <c r="AJ66" s="172"/>
    </row>
    <row r="67" spans="1:36" ht="17" thickBot="1">
      <c r="A67" s="172"/>
      <c r="B67" s="1920"/>
      <c r="C67" s="38"/>
      <c r="D67" s="245" t="s">
        <v>133</v>
      </c>
      <c r="E67" s="265"/>
      <c r="F67" s="247" t="e">
        <f>INDEX('T1'!AA16:AE19,MATCH(F64,'T1'!Z16:Z19,0),MATCH(F65,'T1'!AA15:AE15,0))</f>
        <v>#N/A</v>
      </c>
      <c r="G67" s="248" t="s">
        <v>136</v>
      </c>
      <c r="H67" s="172"/>
      <c r="I67" s="172"/>
      <c r="J67" s="172"/>
      <c r="K67" s="172"/>
      <c r="L67" s="262" t="s">
        <v>133</v>
      </c>
      <c r="M67" s="249"/>
      <c r="N67" s="263">
        <f>'T5 - T7 | T9 - T16'!C30</f>
        <v>4.0206371262415724E-3</v>
      </c>
      <c r="O67" s="248" t="s">
        <v>136</v>
      </c>
      <c r="P67" s="172"/>
      <c r="Q67" s="172"/>
      <c r="R67" s="172"/>
      <c r="S67" s="172"/>
      <c r="T67" s="245" t="s">
        <v>133</v>
      </c>
      <c r="U67" s="246"/>
      <c r="V67" s="247" t="e">
        <f>INDEX('T8'!AA19:AC25,MATCH(V64,'T8'!Z19:Z25,0),MATCH(V65,'T8'!AA18:AC18,0))</f>
        <v>#N/A</v>
      </c>
      <c r="W67" s="248" t="s">
        <v>136</v>
      </c>
      <c r="X67" s="172"/>
      <c r="Y67" s="172"/>
      <c r="Z67" s="172"/>
      <c r="AA67" s="172"/>
      <c r="AB67" s="172"/>
      <c r="AC67" s="172"/>
      <c r="AD67" s="172"/>
      <c r="AE67" s="172"/>
      <c r="AF67" s="172"/>
      <c r="AG67" s="172"/>
      <c r="AH67" s="172"/>
      <c r="AI67" s="172"/>
      <c r="AJ67" s="172"/>
    </row>
    <row r="68" spans="1:36" ht="17" thickBot="1">
      <c r="A68" s="172"/>
      <c r="B68" s="1920"/>
      <c r="C68" s="38"/>
      <c r="D68" s="172"/>
      <c r="E68" s="172"/>
      <c r="F68" s="172"/>
      <c r="G68" s="172"/>
      <c r="H68" s="172"/>
      <c r="I68" s="172"/>
      <c r="J68" s="172"/>
      <c r="K68" s="172"/>
      <c r="L68" s="172"/>
      <c r="M68" s="172"/>
      <c r="N68" s="172"/>
      <c r="O68" s="172"/>
      <c r="P68" s="172"/>
      <c r="Q68" s="172"/>
      <c r="R68" s="172"/>
      <c r="S68" s="172"/>
      <c r="T68" s="172"/>
      <c r="U68" s="172"/>
      <c r="V68" s="172"/>
      <c r="W68" s="172"/>
      <c r="X68" s="172"/>
      <c r="Y68" s="172"/>
      <c r="Z68" s="172"/>
      <c r="AA68" s="172"/>
      <c r="AB68" s="172"/>
      <c r="AC68" s="172"/>
      <c r="AD68" s="172"/>
      <c r="AE68" s="172"/>
      <c r="AF68" s="172"/>
      <c r="AG68" s="172"/>
      <c r="AH68" s="172"/>
      <c r="AI68" s="172"/>
      <c r="AJ68" s="172"/>
    </row>
    <row r="69" spans="1:36">
      <c r="A69" s="172"/>
      <c r="B69" s="1920"/>
      <c r="C69" s="38"/>
      <c r="D69" s="266"/>
      <c r="E69" s="242"/>
      <c r="F69" s="73" t="s">
        <v>26</v>
      </c>
      <c r="G69" s="470" t="s">
        <v>25</v>
      </c>
      <c r="H69" s="172"/>
      <c r="I69" s="172"/>
      <c r="J69" s="172"/>
      <c r="K69" s="172"/>
      <c r="L69" s="266"/>
      <c r="M69" s="242"/>
      <c r="N69" s="73" t="s">
        <v>26</v>
      </c>
      <c r="O69" s="470" t="s">
        <v>25</v>
      </c>
      <c r="P69" s="172"/>
      <c r="Q69" s="172"/>
      <c r="R69" s="172"/>
      <c r="S69" s="172"/>
      <c r="T69" s="266"/>
      <c r="U69" s="242"/>
      <c r="V69" s="73" t="s">
        <v>26</v>
      </c>
      <c r="W69" s="470" t="s">
        <v>25</v>
      </c>
      <c r="X69" s="172"/>
      <c r="Y69" s="172"/>
      <c r="Z69" s="172"/>
      <c r="AA69" s="172"/>
      <c r="AB69" s="266"/>
      <c r="AC69" s="242"/>
      <c r="AD69" s="73" t="s">
        <v>26</v>
      </c>
      <c r="AE69" s="470" t="s">
        <v>25</v>
      </c>
      <c r="AF69" s="172"/>
      <c r="AG69" s="172"/>
      <c r="AH69" s="172"/>
      <c r="AI69" s="172"/>
      <c r="AJ69" s="172"/>
    </row>
    <row r="70" spans="1:36">
      <c r="A70" s="172"/>
      <c r="B70" s="1920"/>
      <c r="C70" s="38"/>
      <c r="D70" s="258" t="s">
        <v>112</v>
      </c>
      <c r="E70" s="232"/>
      <c r="F70" s="43">
        <f>IF(H20=F15,F66*F62*G51*52/(G55+1),0)</f>
        <v>0</v>
      </c>
      <c r="G70" s="414">
        <f>IF(H20=F15,F67*F62*G51*52/(G55+1),0)</f>
        <v>0</v>
      </c>
      <c r="H70" s="172"/>
      <c r="I70" s="172"/>
      <c r="J70" s="172"/>
      <c r="K70" s="172"/>
      <c r="L70" s="258" t="s">
        <v>112</v>
      </c>
      <c r="M70" s="232"/>
      <c r="N70" s="43">
        <f>IF(H20=F16,N66*N65*O38*52,0)</f>
        <v>0</v>
      </c>
      <c r="O70" s="414">
        <f>IF(H20=F16,N67*N65*O38*52,0)</f>
        <v>0</v>
      </c>
      <c r="P70" s="172"/>
      <c r="Q70" s="172"/>
      <c r="R70" s="172"/>
      <c r="S70" s="172"/>
      <c r="T70" s="258" t="s">
        <v>112</v>
      </c>
      <c r="U70" s="232"/>
      <c r="V70" s="43">
        <f>IF(H20=F17,V66*V62*W53*52,0)</f>
        <v>0</v>
      </c>
      <c r="W70" s="414">
        <f>IF(H20=F17,V67*V62*W53*52,0)</f>
        <v>0</v>
      </c>
      <c r="X70" s="172"/>
      <c r="Y70" s="172"/>
      <c r="Z70" s="172"/>
      <c r="AA70" s="172"/>
      <c r="AB70" s="258" t="s">
        <v>112</v>
      </c>
      <c r="AC70" s="232"/>
      <c r="AD70" s="43">
        <v>0</v>
      </c>
      <c r="AE70" s="414">
        <v>0</v>
      </c>
      <c r="AF70" s="172"/>
      <c r="AG70" s="172"/>
      <c r="AH70" s="172"/>
      <c r="AI70" s="172"/>
      <c r="AJ70" s="172"/>
    </row>
    <row r="71" spans="1:36" ht="17" thickBot="1">
      <c r="A71" s="172"/>
      <c r="B71" s="1920"/>
      <c r="C71" s="38"/>
      <c r="D71" s="263" t="s">
        <v>113</v>
      </c>
      <c r="E71" s="249"/>
      <c r="F71" s="74">
        <f>IF(H20=F15,F70*F28/(10^6),0)</f>
        <v>0</v>
      </c>
      <c r="G71" s="493">
        <f>IF(H20=F15,G70*F29/(10^6),0)</f>
        <v>0</v>
      </c>
      <c r="H71" s="172"/>
      <c r="I71" s="172"/>
      <c r="J71" s="172"/>
      <c r="K71" s="172"/>
      <c r="L71" s="263" t="s">
        <v>113</v>
      </c>
      <c r="M71" s="249"/>
      <c r="N71" s="74">
        <f>IF(H20=F16,N70*F28/(10^6),0)</f>
        <v>0</v>
      </c>
      <c r="O71" s="493">
        <f>IF(H20=F16,O70*F29/(10^6),0)</f>
        <v>0</v>
      </c>
      <c r="P71" s="172"/>
      <c r="Q71" s="172"/>
      <c r="R71" s="172"/>
      <c r="S71" s="172"/>
      <c r="T71" s="263" t="s">
        <v>113</v>
      </c>
      <c r="U71" s="249"/>
      <c r="V71" s="74">
        <f>IF(H20=F17,V70*F28/(10^6),0)</f>
        <v>0</v>
      </c>
      <c r="W71" s="493">
        <f>IF(H20=F17,W70*F29/(10^6),0)</f>
        <v>0</v>
      </c>
      <c r="X71" s="172"/>
      <c r="Y71" s="172"/>
      <c r="Z71" s="172"/>
      <c r="AA71" s="172"/>
      <c r="AB71" s="263" t="s">
        <v>113</v>
      </c>
      <c r="AC71" s="249"/>
      <c r="AD71" s="74">
        <v>0</v>
      </c>
      <c r="AE71" s="493">
        <v>0</v>
      </c>
      <c r="AF71" s="172"/>
      <c r="AG71" s="172"/>
      <c r="AH71" s="172"/>
      <c r="AI71" s="172"/>
      <c r="AJ71" s="172"/>
    </row>
    <row r="72" spans="1:36" ht="17" thickBot="1">
      <c r="A72" s="172"/>
      <c r="B72" s="1921"/>
      <c r="C72" s="38"/>
      <c r="D72" s="172"/>
      <c r="E72" s="172"/>
      <c r="F72" s="172"/>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row>
    <row r="73" spans="1:36">
      <c r="A73" s="172"/>
      <c r="B73" s="444"/>
      <c r="C73" s="38"/>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c r="AJ73" s="172"/>
    </row>
    <row r="74" spans="1:36" ht="16" customHeight="1" thickBot="1">
      <c r="A74" s="207"/>
      <c r="B74" s="26"/>
      <c r="C74" s="207"/>
      <c r="D74" s="26"/>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7"/>
      <c r="AI74" s="207"/>
      <c r="AJ74" s="207"/>
    </row>
    <row r="75" spans="1:36" ht="17" thickBot="1">
      <c r="A75" s="207"/>
      <c r="B75" s="1916" t="s">
        <v>140</v>
      </c>
      <c r="C75" s="207"/>
      <c r="D75" s="26"/>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E75" s="207"/>
      <c r="AF75" s="207"/>
      <c r="AG75" s="207"/>
      <c r="AH75" s="207"/>
      <c r="AI75" s="207"/>
      <c r="AJ75" s="207"/>
    </row>
    <row r="76" spans="1:36" ht="16" customHeight="1">
      <c r="A76" s="207"/>
      <c r="B76" s="1917"/>
      <c r="C76" s="207"/>
      <c r="D76" s="207"/>
      <c r="E76" s="1863" t="s">
        <v>102</v>
      </c>
      <c r="F76" s="1864"/>
      <c r="G76" s="1864"/>
      <c r="H76" s="1864"/>
      <c r="I76" s="1865"/>
      <c r="J76" s="207"/>
      <c r="K76" s="207"/>
      <c r="L76" s="207"/>
      <c r="M76" s="207"/>
      <c r="N76" s="1863" t="s">
        <v>101</v>
      </c>
      <c r="O76" s="1864"/>
      <c r="P76" s="1864"/>
      <c r="Q76" s="1864"/>
      <c r="R76" s="1865"/>
      <c r="S76" s="207"/>
      <c r="T76" s="207"/>
      <c r="U76" s="207"/>
      <c r="V76" s="207"/>
      <c r="W76" s="207"/>
      <c r="X76" s="207"/>
      <c r="Y76" s="207"/>
      <c r="Z76" s="207"/>
      <c r="AA76" s="207"/>
      <c r="AB76" s="207"/>
      <c r="AC76" s="207"/>
      <c r="AD76" s="207"/>
      <c r="AE76" s="207"/>
      <c r="AF76" s="207"/>
      <c r="AG76" s="207"/>
      <c r="AH76" s="207"/>
      <c r="AI76" s="207"/>
      <c r="AJ76" s="207"/>
    </row>
    <row r="77" spans="1:36" ht="17" customHeight="1" thickBot="1">
      <c r="A77" s="207"/>
      <c r="B77" s="1917"/>
      <c r="C77" s="207"/>
      <c r="D77" s="207"/>
      <c r="E77" s="1866"/>
      <c r="F77" s="1867"/>
      <c r="G77" s="1867"/>
      <c r="H77" s="1867"/>
      <c r="I77" s="1868"/>
      <c r="J77" s="207"/>
      <c r="K77" s="207"/>
      <c r="L77" s="207"/>
      <c r="M77" s="207"/>
      <c r="N77" s="1866"/>
      <c r="O77" s="1867"/>
      <c r="P77" s="1867"/>
      <c r="Q77" s="1867"/>
      <c r="R77" s="1868"/>
      <c r="S77" s="207"/>
      <c r="T77" s="207"/>
      <c r="U77" s="207"/>
      <c r="V77" s="207"/>
      <c r="W77" s="207"/>
      <c r="X77" s="207"/>
      <c r="Y77" s="207"/>
      <c r="Z77" s="207"/>
      <c r="AA77" s="207"/>
      <c r="AB77" s="207"/>
      <c r="AC77" s="207"/>
      <c r="AD77" s="207"/>
      <c r="AE77" s="207"/>
      <c r="AF77" s="207"/>
      <c r="AG77" s="207"/>
      <c r="AH77" s="207"/>
      <c r="AI77" s="207"/>
      <c r="AJ77" s="207"/>
    </row>
    <row r="78" spans="1:36">
      <c r="A78" s="207"/>
      <c r="B78" s="1917"/>
      <c r="C78" s="207"/>
      <c r="D78" s="207"/>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E78" s="207"/>
      <c r="AF78" s="207"/>
      <c r="AG78" s="207"/>
      <c r="AH78" s="207"/>
      <c r="AI78" s="207"/>
      <c r="AJ78" s="207"/>
    </row>
    <row r="79" spans="1:36">
      <c r="A79" s="207"/>
      <c r="B79" s="1917"/>
      <c r="C79" s="207"/>
      <c r="D79" s="407" t="s">
        <v>91</v>
      </c>
      <c r="E79" s="212" t="s">
        <v>87</v>
      </c>
      <c r="F79" s="212"/>
      <c r="G79" s="212"/>
      <c r="H79" s="212"/>
      <c r="I79" s="212"/>
      <c r="J79" s="212"/>
      <c r="K79" s="207"/>
      <c r="L79" s="207"/>
      <c r="M79" s="407" t="s">
        <v>96</v>
      </c>
      <c r="N79" s="212" t="s">
        <v>90</v>
      </c>
      <c r="O79" s="212"/>
      <c r="P79" s="212"/>
      <c r="Q79" s="212"/>
      <c r="R79" s="212"/>
      <c r="S79" s="212"/>
      <c r="T79" s="207"/>
      <c r="U79" s="207"/>
      <c r="V79" s="207"/>
      <c r="W79" s="207"/>
      <c r="X79" s="207"/>
      <c r="Y79" s="207"/>
      <c r="Z79" s="207"/>
      <c r="AA79" s="207"/>
      <c r="AB79" s="207"/>
      <c r="AC79" s="207"/>
      <c r="AD79" s="207"/>
      <c r="AE79" s="207"/>
      <c r="AF79" s="207"/>
      <c r="AG79" s="207"/>
      <c r="AH79" s="207"/>
      <c r="AI79" s="207"/>
      <c r="AJ79" s="207"/>
    </row>
    <row r="80" spans="1:36" ht="17" thickBot="1">
      <c r="A80" s="207"/>
      <c r="B80" s="1917"/>
      <c r="C80" s="207"/>
      <c r="D80" s="207"/>
      <c r="E80" s="26" t="s">
        <v>34</v>
      </c>
      <c r="F80" s="207" t="s">
        <v>88</v>
      </c>
      <c r="G80" s="207"/>
      <c r="H80" s="207"/>
      <c r="I80" s="207"/>
      <c r="J80" s="207"/>
      <c r="K80" s="207"/>
      <c r="L80" s="207"/>
      <c r="M80" s="207"/>
      <c r="N80" s="851" t="s">
        <v>34</v>
      </c>
      <c r="O80" s="207" t="s">
        <v>88</v>
      </c>
      <c r="P80" s="207"/>
      <c r="Q80" s="207"/>
      <c r="R80" s="207"/>
      <c r="S80" s="207"/>
      <c r="T80" s="207"/>
      <c r="U80" s="207"/>
      <c r="V80" s="207"/>
      <c r="W80" s="207"/>
      <c r="X80" s="207"/>
      <c r="Y80" s="207"/>
      <c r="Z80" s="207"/>
      <c r="AA80" s="207"/>
      <c r="AB80" s="207"/>
      <c r="AC80" s="207"/>
      <c r="AD80" s="207"/>
      <c r="AE80" s="207"/>
      <c r="AF80" s="207"/>
      <c r="AG80" s="207"/>
      <c r="AH80" s="207"/>
      <c r="AI80" s="207"/>
      <c r="AJ80" s="207"/>
    </row>
    <row r="81" spans="1:36" ht="17" thickBot="1">
      <c r="A81" s="207"/>
      <c r="B81" s="1917"/>
      <c r="C81" s="207"/>
      <c r="D81" s="207"/>
      <c r="E81" s="26" t="s">
        <v>35</v>
      </c>
      <c r="F81" s="207" t="s">
        <v>89</v>
      </c>
      <c r="G81" s="207"/>
      <c r="H81" s="207"/>
      <c r="I81" s="788" t="s">
        <v>89</v>
      </c>
      <c r="J81" s="207"/>
      <c r="K81" s="207"/>
      <c r="L81" s="207"/>
      <c r="M81" s="207"/>
      <c r="N81" s="851" t="s">
        <v>35</v>
      </c>
      <c r="O81" s="207" t="s">
        <v>89</v>
      </c>
      <c r="P81" s="207"/>
      <c r="Q81" s="207"/>
      <c r="R81" s="788" t="s">
        <v>89</v>
      </c>
      <c r="S81" s="207"/>
      <c r="T81" s="207"/>
      <c r="U81" s="207"/>
      <c r="V81" s="207"/>
      <c r="W81" s="207"/>
      <c r="X81" s="207"/>
      <c r="Y81" s="207"/>
      <c r="Z81" s="207"/>
      <c r="AA81" s="207"/>
      <c r="AB81" s="207"/>
      <c r="AC81" s="207"/>
      <c r="AD81" s="207"/>
      <c r="AE81" s="207"/>
      <c r="AF81" s="207"/>
      <c r="AG81" s="207"/>
      <c r="AH81" s="207"/>
      <c r="AI81" s="207"/>
      <c r="AJ81" s="207"/>
    </row>
    <row r="82" spans="1:36">
      <c r="A82" s="207"/>
      <c r="B82" s="1917"/>
      <c r="C82" s="207"/>
      <c r="D82" s="936" t="s">
        <v>3501</v>
      </c>
      <c r="E82" s="937"/>
      <c r="F82" s="938" t="s">
        <v>3498</v>
      </c>
      <c r="G82" s="207"/>
      <c r="H82" s="207"/>
      <c r="I82" s="207"/>
      <c r="J82" s="207"/>
      <c r="K82" s="207"/>
      <c r="L82" s="207"/>
      <c r="M82" s="936" t="s">
        <v>3503</v>
      </c>
      <c r="N82" s="937"/>
      <c r="O82" s="938" t="s">
        <v>3498</v>
      </c>
      <c r="P82" s="207"/>
      <c r="Q82" s="207"/>
      <c r="R82" s="207"/>
      <c r="S82" s="207"/>
      <c r="T82" s="207"/>
      <c r="U82" s="207"/>
      <c r="V82" s="207"/>
      <c r="W82" s="207"/>
      <c r="X82" s="207"/>
      <c r="Y82" s="207"/>
      <c r="Z82" s="207"/>
      <c r="AA82" s="207"/>
      <c r="AB82" s="207"/>
      <c r="AC82" s="207"/>
      <c r="AD82" s="207"/>
      <c r="AE82" s="207"/>
      <c r="AF82" s="207"/>
      <c r="AG82" s="207"/>
      <c r="AH82" s="207"/>
      <c r="AI82" s="207"/>
      <c r="AJ82" s="207"/>
    </row>
    <row r="83" spans="1:36">
      <c r="A83" s="207"/>
      <c r="B83" s="1917"/>
      <c r="C83" s="207"/>
      <c r="D83" s="936" t="s">
        <v>3500</v>
      </c>
      <c r="E83" s="937"/>
      <c r="F83" s="938" t="s">
        <v>3498</v>
      </c>
      <c r="G83" s="207"/>
      <c r="H83" s="207"/>
      <c r="I83" s="207"/>
      <c r="J83" s="207"/>
      <c r="K83" s="207"/>
      <c r="L83" s="207"/>
      <c r="M83" s="936" t="s">
        <v>3502</v>
      </c>
      <c r="N83" s="937"/>
      <c r="O83" s="938" t="s">
        <v>3498</v>
      </c>
      <c r="P83" s="207"/>
      <c r="Q83" s="207"/>
      <c r="R83" s="207"/>
      <c r="S83" s="207"/>
      <c r="T83" s="207"/>
      <c r="U83" s="207"/>
      <c r="V83" s="207"/>
      <c r="W83" s="207"/>
      <c r="X83" s="207"/>
      <c r="Y83" s="207"/>
      <c r="Z83" s="207"/>
      <c r="AA83" s="207"/>
      <c r="AB83" s="207"/>
      <c r="AC83" s="207"/>
      <c r="AD83" s="207"/>
      <c r="AE83" s="207"/>
      <c r="AF83" s="207"/>
      <c r="AG83" s="207"/>
      <c r="AH83" s="207"/>
      <c r="AI83" s="207"/>
      <c r="AJ83" s="207"/>
    </row>
    <row r="84" spans="1:36" ht="17" thickBot="1">
      <c r="A84" s="207"/>
      <c r="B84" s="1917"/>
      <c r="C84" s="207"/>
      <c r="D84" s="407" t="s">
        <v>92</v>
      </c>
      <c r="E84" s="212" t="s">
        <v>3611</v>
      </c>
      <c r="F84" s="212"/>
      <c r="G84" s="212"/>
      <c r="H84" s="212"/>
      <c r="I84" s="212"/>
      <c r="J84" s="212"/>
      <c r="K84" s="207"/>
      <c r="L84" s="207"/>
      <c r="M84" s="407" t="s">
        <v>103</v>
      </c>
      <c r="N84" s="212" t="s">
        <v>3622</v>
      </c>
      <c r="O84" s="212"/>
      <c r="P84" s="212"/>
      <c r="Q84" s="212"/>
      <c r="R84" s="212"/>
      <c r="S84" s="212"/>
      <c r="T84" s="207"/>
      <c r="U84" s="207"/>
      <c r="V84" s="285"/>
      <c r="W84" s="207"/>
      <c r="X84" s="207"/>
      <c r="Y84" s="207"/>
      <c r="Z84" s="207"/>
      <c r="AA84" s="207"/>
      <c r="AB84" s="207"/>
      <c r="AC84" s="207"/>
      <c r="AD84" s="207"/>
      <c r="AE84" s="207"/>
      <c r="AF84" s="207"/>
      <c r="AG84" s="207"/>
      <c r="AH84" s="207"/>
      <c r="AI84" s="207"/>
      <c r="AJ84" s="207"/>
    </row>
    <row r="85" spans="1:36" ht="17" thickBot="1">
      <c r="A85" s="207"/>
      <c r="B85" s="1917"/>
      <c r="C85" s="207"/>
      <c r="D85" s="26"/>
      <c r="E85" s="26" t="s">
        <v>34</v>
      </c>
      <c r="F85" s="207" t="s">
        <v>9</v>
      </c>
      <c r="G85" s="207"/>
      <c r="H85" s="207"/>
      <c r="I85" s="207"/>
      <c r="J85" s="207"/>
      <c r="K85" s="207"/>
      <c r="L85" s="207"/>
      <c r="M85" s="207"/>
      <c r="N85" s="1881" t="s">
        <v>73</v>
      </c>
      <c r="O85" s="1882"/>
      <c r="P85" s="788"/>
      <c r="Q85" s="285"/>
      <c r="R85" s="207"/>
      <c r="S85" s="938" t="s">
        <v>3498</v>
      </c>
      <c r="T85" s="207"/>
      <c r="U85" s="207"/>
      <c r="V85" s="207"/>
      <c r="W85" s="207"/>
      <c r="X85" s="207"/>
      <c r="Y85" s="207"/>
      <c r="Z85" s="207"/>
      <c r="AA85" s="207"/>
      <c r="AB85" s="207"/>
      <c r="AC85" s="207"/>
      <c r="AD85" s="207"/>
      <c r="AE85" s="207"/>
      <c r="AF85" s="207"/>
      <c r="AG85" s="207"/>
      <c r="AH85" s="207"/>
      <c r="AI85" s="207"/>
      <c r="AJ85" s="207"/>
    </row>
    <row r="86" spans="1:36">
      <c r="A86" s="207"/>
      <c r="B86" s="1917"/>
      <c r="C86" s="207"/>
      <c r="D86" s="26"/>
      <c r="E86" s="26" t="s">
        <v>35</v>
      </c>
      <c r="F86" s="207" t="s">
        <v>6</v>
      </c>
      <c r="G86" s="207"/>
      <c r="H86" s="207"/>
      <c r="I86" s="207"/>
      <c r="J86" s="207"/>
      <c r="K86" s="207"/>
      <c r="L86" s="207"/>
      <c r="M86" s="207"/>
      <c r="N86" s="207"/>
      <c r="O86" s="207"/>
      <c r="P86" s="207"/>
      <c r="Q86" s="207"/>
      <c r="R86" s="1837" t="s">
        <v>3504</v>
      </c>
      <c r="S86" s="1837"/>
      <c r="T86" s="207"/>
      <c r="U86" s="207"/>
      <c r="V86" s="207"/>
      <c r="W86" s="207"/>
      <c r="X86" s="207"/>
      <c r="Y86" s="207"/>
      <c r="Z86" s="207"/>
      <c r="AA86" s="207"/>
      <c r="AB86" s="207"/>
      <c r="AC86" s="207"/>
      <c r="AD86" s="207"/>
      <c r="AE86" s="207"/>
      <c r="AF86" s="207"/>
      <c r="AG86" s="207"/>
      <c r="AH86" s="207"/>
      <c r="AI86" s="207"/>
      <c r="AJ86" s="207"/>
    </row>
    <row r="87" spans="1:36" ht="17" thickBot="1">
      <c r="A87" s="207"/>
      <c r="B87" s="1917"/>
      <c r="C87" s="207"/>
      <c r="D87" s="26"/>
      <c r="E87" s="26" t="s">
        <v>36</v>
      </c>
      <c r="F87" s="207" t="s">
        <v>55</v>
      </c>
      <c r="G87" s="207"/>
      <c r="H87" s="207"/>
      <c r="I87" s="207"/>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c r="AJ87" s="207"/>
    </row>
    <row r="88" spans="1:36" ht="17" thickBot="1">
      <c r="A88" s="207"/>
      <c r="B88" s="1917"/>
      <c r="C88" s="207"/>
      <c r="D88" s="26"/>
      <c r="E88" s="26" t="s">
        <v>37</v>
      </c>
      <c r="F88" s="207" t="s">
        <v>0</v>
      </c>
      <c r="G88" s="207"/>
      <c r="H88" s="207"/>
      <c r="I88" s="788"/>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c r="AJ88" s="207"/>
    </row>
    <row r="89" spans="1:36">
      <c r="A89" s="207"/>
      <c r="B89" s="1917"/>
      <c r="C89" s="207"/>
      <c r="D89" s="26"/>
      <c r="E89" s="207"/>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c r="AJ89" s="207"/>
    </row>
    <row r="90" spans="1:36">
      <c r="A90" s="207"/>
      <c r="B90" s="1917"/>
      <c r="C90" s="207"/>
      <c r="D90" s="797" t="s">
        <v>93</v>
      </c>
      <c r="E90" s="212" t="s">
        <v>3612</v>
      </c>
      <c r="F90" s="212"/>
      <c r="G90" s="212"/>
      <c r="H90" s="212"/>
      <c r="I90" s="212"/>
      <c r="J90" s="212"/>
      <c r="K90" s="207"/>
      <c r="L90" s="207"/>
      <c r="M90" s="207"/>
      <c r="N90" s="207"/>
      <c r="O90" s="207"/>
      <c r="P90" s="207"/>
      <c r="Q90" s="207"/>
      <c r="R90" s="207"/>
      <c r="S90" s="207"/>
      <c r="T90" s="207"/>
      <c r="U90" s="207"/>
      <c r="V90" s="207"/>
      <c r="W90" s="207"/>
      <c r="X90" s="207"/>
      <c r="Y90" s="207"/>
      <c r="Z90" s="207"/>
      <c r="AA90" s="207"/>
      <c r="AB90" s="207"/>
      <c r="AC90" s="207"/>
      <c r="AD90" s="207"/>
      <c r="AE90" s="207"/>
      <c r="AF90" s="207"/>
      <c r="AG90" s="207"/>
      <c r="AH90" s="207"/>
      <c r="AI90" s="207"/>
      <c r="AJ90" s="207"/>
    </row>
    <row r="91" spans="1:36">
      <c r="A91" s="207"/>
      <c r="B91" s="1917"/>
      <c r="C91" s="207"/>
      <c r="D91" s="26"/>
      <c r="E91" s="26" t="s">
        <v>34</v>
      </c>
      <c r="F91" s="207" t="s">
        <v>57</v>
      </c>
      <c r="G91" s="207" t="s">
        <v>7</v>
      </c>
      <c r="H91" s="207"/>
      <c r="I91" s="207"/>
      <c r="J91" s="207"/>
      <c r="K91" s="207"/>
      <c r="L91" s="207"/>
      <c r="M91" s="207"/>
      <c r="N91" s="207"/>
      <c r="O91" s="207"/>
      <c r="P91" s="207"/>
      <c r="Q91" s="207"/>
      <c r="R91" s="207"/>
      <c r="S91" s="207"/>
      <c r="T91" s="207"/>
      <c r="U91" s="207"/>
      <c r="V91" s="207"/>
      <c r="W91" s="207"/>
      <c r="X91" s="207"/>
      <c r="Y91" s="207"/>
      <c r="Z91" s="207"/>
      <c r="AA91" s="207"/>
      <c r="AB91" s="207"/>
      <c r="AC91" s="207"/>
      <c r="AD91" s="207"/>
      <c r="AE91" s="207"/>
      <c r="AF91" s="207"/>
      <c r="AG91" s="207"/>
      <c r="AH91" s="207"/>
      <c r="AI91" s="207"/>
      <c r="AJ91" s="207"/>
    </row>
    <row r="92" spans="1:36">
      <c r="A92" s="207"/>
      <c r="B92" s="1917"/>
      <c r="C92" s="207"/>
      <c r="D92" s="26"/>
      <c r="E92" s="26" t="s">
        <v>35</v>
      </c>
      <c r="F92" s="207" t="s">
        <v>57</v>
      </c>
      <c r="G92" s="207" t="s">
        <v>8</v>
      </c>
      <c r="H92" s="207"/>
      <c r="I92" s="207"/>
      <c r="J92" s="207"/>
      <c r="K92" s="207"/>
      <c r="L92" s="207"/>
      <c r="M92" s="207"/>
      <c r="N92" s="207"/>
      <c r="O92" s="207"/>
      <c r="P92" s="207"/>
      <c r="Q92" s="207"/>
      <c r="R92" s="207"/>
      <c r="S92" s="207"/>
      <c r="T92" s="207"/>
      <c r="U92" s="207"/>
      <c r="V92" s="207"/>
      <c r="W92" s="207"/>
      <c r="X92" s="207"/>
      <c r="Y92" s="207"/>
      <c r="Z92" s="207"/>
      <c r="AA92" s="207"/>
      <c r="AB92" s="207"/>
      <c r="AC92" s="207"/>
      <c r="AD92" s="207"/>
      <c r="AE92" s="207"/>
      <c r="AF92" s="207"/>
      <c r="AG92" s="207"/>
      <c r="AH92" s="207"/>
      <c r="AI92" s="207"/>
      <c r="AJ92" s="207"/>
    </row>
    <row r="93" spans="1:36">
      <c r="A93" s="207"/>
      <c r="B93" s="1917"/>
      <c r="C93" s="207"/>
      <c r="D93" s="26"/>
      <c r="E93" s="26" t="s">
        <v>36</v>
      </c>
      <c r="F93" s="207" t="s">
        <v>58</v>
      </c>
      <c r="G93" s="207" t="s">
        <v>2</v>
      </c>
      <c r="H93" s="207"/>
      <c r="I93" s="207"/>
      <c r="J93" s="207"/>
      <c r="K93" s="207"/>
      <c r="L93" s="207"/>
      <c r="M93" s="207"/>
      <c r="N93" s="207"/>
      <c r="O93" s="207"/>
      <c r="P93" s="207"/>
      <c r="Q93" s="207"/>
      <c r="R93" s="207"/>
      <c r="S93" s="207"/>
      <c r="T93" s="207"/>
      <c r="U93" s="207"/>
      <c r="V93" s="207"/>
      <c r="W93" s="207"/>
      <c r="X93" s="207"/>
      <c r="Y93" s="207"/>
      <c r="Z93" s="207"/>
      <c r="AA93" s="207"/>
      <c r="AB93" s="207"/>
      <c r="AC93" s="207"/>
      <c r="AD93" s="207"/>
      <c r="AE93" s="207"/>
      <c r="AF93" s="207"/>
      <c r="AG93" s="207"/>
      <c r="AH93" s="207"/>
      <c r="AI93" s="207"/>
      <c r="AJ93" s="207"/>
    </row>
    <row r="94" spans="1:36" ht="17" thickBot="1">
      <c r="A94" s="207"/>
      <c r="B94" s="1917"/>
      <c r="C94" s="207"/>
      <c r="D94" s="26"/>
      <c r="E94" s="26" t="s">
        <v>37</v>
      </c>
      <c r="F94" s="207" t="s">
        <v>60</v>
      </c>
      <c r="G94" s="207" t="s">
        <v>1</v>
      </c>
      <c r="H94" s="207"/>
      <c r="I94" s="207"/>
      <c r="J94" s="207"/>
      <c r="K94" s="207"/>
      <c r="L94" s="207"/>
      <c r="M94" s="207"/>
      <c r="N94" s="207"/>
      <c r="O94" s="207"/>
      <c r="P94" s="207"/>
      <c r="Q94" s="207"/>
      <c r="R94" s="207"/>
      <c r="S94" s="207"/>
      <c r="T94" s="207"/>
      <c r="U94" s="207"/>
      <c r="V94" s="207"/>
      <c r="W94" s="207"/>
      <c r="X94" s="207"/>
      <c r="Y94" s="207"/>
      <c r="Z94" s="207"/>
      <c r="AA94" s="207"/>
      <c r="AB94" s="207"/>
      <c r="AC94" s="207"/>
      <c r="AD94" s="207"/>
      <c r="AE94" s="207"/>
      <c r="AF94" s="207"/>
      <c r="AG94" s="207"/>
      <c r="AH94" s="207"/>
      <c r="AI94" s="207"/>
      <c r="AJ94" s="207"/>
    </row>
    <row r="95" spans="1:36" ht="17" thickBot="1">
      <c r="A95" s="207"/>
      <c r="B95" s="1917"/>
      <c r="C95" s="207"/>
      <c r="D95" s="26"/>
      <c r="E95" s="26" t="s">
        <v>38</v>
      </c>
      <c r="F95" s="207" t="s">
        <v>59</v>
      </c>
      <c r="G95" s="207" t="s">
        <v>5</v>
      </c>
      <c r="H95" s="207"/>
      <c r="I95" s="788"/>
      <c r="J95" s="207"/>
      <c r="K95" s="207"/>
      <c r="L95" s="207"/>
      <c r="M95" s="207"/>
      <c r="N95" s="207"/>
      <c r="O95" s="207"/>
      <c r="P95" s="207"/>
      <c r="Q95" s="207"/>
      <c r="R95" s="207"/>
      <c r="S95" s="207"/>
      <c r="T95" s="207"/>
      <c r="U95" s="207"/>
      <c r="V95" s="207"/>
      <c r="W95" s="207"/>
      <c r="X95" s="207"/>
      <c r="Y95" s="207"/>
      <c r="Z95" s="207"/>
      <c r="AA95" s="207"/>
      <c r="AB95" s="207"/>
      <c r="AC95" s="207"/>
      <c r="AD95" s="207"/>
      <c r="AE95" s="207"/>
      <c r="AF95" s="207"/>
      <c r="AG95" s="207"/>
      <c r="AH95" s="207"/>
      <c r="AI95" s="207"/>
      <c r="AJ95" s="207"/>
    </row>
    <row r="96" spans="1:36">
      <c r="A96" s="207"/>
      <c r="B96" s="1917"/>
      <c r="C96" s="207"/>
      <c r="D96" s="207"/>
      <c r="E96" s="207"/>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07"/>
      <c r="AI96" s="207"/>
      <c r="AJ96" s="207"/>
    </row>
    <row r="97" spans="1:36" ht="17" thickBot="1">
      <c r="A97" s="207"/>
      <c r="B97" s="1917"/>
      <c r="C97" s="207"/>
      <c r="D97" s="797" t="s">
        <v>94</v>
      </c>
      <c r="E97" s="212" t="s">
        <v>3623</v>
      </c>
      <c r="F97" s="212"/>
      <c r="G97" s="212"/>
      <c r="H97" s="212"/>
      <c r="I97" s="212"/>
      <c r="J97" s="212"/>
      <c r="K97" s="207"/>
      <c r="L97" s="207"/>
      <c r="M97" s="207"/>
      <c r="N97" s="207"/>
      <c r="O97" s="207"/>
      <c r="P97" s="207"/>
      <c r="Q97" s="207"/>
      <c r="R97" s="207"/>
      <c r="S97" s="207"/>
      <c r="T97" s="207"/>
      <c r="U97" s="207"/>
      <c r="V97" s="207"/>
      <c r="W97" s="207"/>
      <c r="X97" s="207"/>
      <c r="Y97" s="207"/>
      <c r="Z97" s="207"/>
      <c r="AA97" s="207"/>
      <c r="AB97" s="207"/>
      <c r="AC97" s="207"/>
      <c r="AD97" s="207"/>
      <c r="AE97" s="207"/>
      <c r="AF97" s="207"/>
      <c r="AG97" s="207"/>
      <c r="AH97" s="207"/>
      <c r="AI97" s="207"/>
      <c r="AJ97" s="207"/>
    </row>
    <row r="98" spans="1:36" ht="17" thickBot="1">
      <c r="A98" s="207"/>
      <c r="B98" s="1917"/>
      <c r="C98" s="207"/>
      <c r="D98" s="26"/>
      <c r="E98" s="1881" t="s">
        <v>73</v>
      </c>
      <c r="F98" s="1882"/>
      <c r="G98" s="788"/>
      <c r="H98" s="510"/>
      <c r="I98" s="207"/>
      <c r="J98" s="207"/>
      <c r="K98" s="207"/>
      <c r="L98" s="207"/>
      <c r="M98" s="207"/>
      <c r="N98" s="207"/>
      <c r="O98" s="207"/>
      <c r="P98" s="207"/>
      <c r="Q98" s="207"/>
      <c r="R98" s="207"/>
      <c r="S98" s="207"/>
      <c r="T98" s="207"/>
      <c r="U98" s="207"/>
      <c r="V98" s="207"/>
      <c r="W98" s="207"/>
      <c r="X98" s="207"/>
      <c r="Y98" s="207"/>
      <c r="Z98" s="207"/>
      <c r="AA98" s="207"/>
      <c r="AB98" s="207"/>
      <c r="AC98" s="207"/>
      <c r="AD98" s="207"/>
      <c r="AE98" s="207"/>
      <c r="AF98" s="207"/>
      <c r="AG98" s="207"/>
      <c r="AH98" s="207"/>
      <c r="AI98" s="207"/>
      <c r="AJ98" s="207"/>
    </row>
    <row r="99" spans="1:36">
      <c r="A99" s="207"/>
      <c r="B99" s="1917"/>
      <c r="C99" s="207"/>
      <c r="D99" s="207" t="s">
        <v>3291</v>
      </c>
      <c r="E99" s="207"/>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207"/>
      <c r="AD99" s="207"/>
      <c r="AE99" s="207"/>
      <c r="AF99" s="207"/>
      <c r="AG99" s="207"/>
      <c r="AH99" s="207"/>
      <c r="AI99" s="207"/>
      <c r="AJ99" s="207"/>
    </row>
    <row r="100" spans="1:36">
      <c r="A100" s="207"/>
      <c r="B100" s="1917"/>
      <c r="C100" s="207"/>
      <c r="D100" s="207"/>
      <c r="E100" s="207"/>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207"/>
      <c r="AD100" s="207"/>
      <c r="AE100" s="207"/>
      <c r="AF100" s="207"/>
      <c r="AG100" s="207"/>
      <c r="AH100" s="207"/>
      <c r="AI100" s="207"/>
      <c r="AJ100" s="207"/>
    </row>
    <row r="101" spans="1:36" ht="17" thickBot="1">
      <c r="A101" s="207"/>
      <c r="B101" s="1917"/>
      <c r="C101" s="207"/>
      <c r="D101" s="797" t="s">
        <v>95</v>
      </c>
      <c r="E101" s="212" t="s">
        <v>3614</v>
      </c>
      <c r="F101" s="212"/>
      <c r="G101" s="212"/>
      <c r="H101" s="212"/>
      <c r="I101" s="212"/>
      <c r="J101" s="212"/>
      <c r="K101" s="207"/>
      <c r="L101" s="207"/>
      <c r="M101" s="207"/>
      <c r="N101" s="207"/>
      <c r="O101" s="207"/>
      <c r="P101" s="207"/>
      <c r="Q101" s="207"/>
      <c r="R101" s="207"/>
      <c r="S101" s="207"/>
      <c r="T101" s="207"/>
      <c r="U101" s="207"/>
      <c r="V101" s="207"/>
      <c r="W101" s="207"/>
      <c r="X101" s="207"/>
      <c r="Y101" s="207"/>
      <c r="Z101" s="207"/>
      <c r="AA101" s="207"/>
      <c r="AB101" s="207"/>
      <c r="AC101" s="207"/>
      <c r="AD101" s="207"/>
      <c r="AE101" s="207"/>
      <c r="AF101" s="207"/>
      <c r="AG101" s="207"/>
      <c r="AH101" s="207"/>
      <c r="AI101" s="207"/>
      <c r="AJ101" s="207"/>
    </row>
    <row r="102" spans="1:36" ht="17" thickBot="1">
      <c r="A102" s="207"/>
      <c r="B102" s="1917"/>
      <c r="C102" s="207"/>
      <c r="D102" s="26"/>
      <c r="E102" s="1881" t="s">
        <v>73</v>
      </c>
      <c r="F102" s="1882"/>
      <c r="G102" s="788"/>
      <c r="H102" s="1837" t="s">
        <v>3505</v>
      </c>
      <c r="I102" s="1837"/>
      <c r="J102" s="938" t="s">
        <v>3498</v>
      </c>
      <c r="K102" s="207"/>
      <c r="L102" s="207"/>
      <c r="M102" s="207"/>
      <c r="N102" s="207"/>
      <c r="O102" s="207"/>
      <c r="P102" s="207"/>
      <c r="Q102" s="207"/>
      <c r="R102" s="207"/>
      <c r="S102" s="207"/>
      <c r="T102" s="207"/>
      <c r="U102" s="207"/>
      <c r="V102" s="207"/>
      <c r="W102" s="207"/>
      <c r="X102" s="207"/>
      <c r="Y102" s="207"/>
      <c r="Z102" s="207"/>
      <c r="AA102" s="207"/>
      <c r="AB102" s="207"/>
      <c r="AC102" s="207"/>
      <c r="AD102" s="207"/>
      <c r="AE102" s="207"/>
      <c r="AF102" s="207"/>
      <c r="AG102" s="207"/>
      <c r="AH102" s="207"/>
      <c r="AI102" s="207"/>
      <c r="AJ102" s="207"/>
    </row>
    <row r="103" spans="1:36">
      <c r="A103" s="207"/>
      <c r="B103" s="1917"/>
      <c r="C103" s="207"/>
      <c r="D103" s="207"/>
      <c r="E103" s="207"/>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207"/>
      <c r="AD103" s="207"/>
      <c r="AE103" s="207"/>
      <c r="AF103" s="207"/>
      <c r="AG103" s="207"/>
      <c r="AH103" s="207"/>
      <c r="AI103" s="207"/>
      <c r="AJ103" s="207"/>
    </row>
    <row r="104" spans="1:36" ht="17" thickBot="1">
      <c r="A104" s="207"/>
      <c r="B104" s="1917"/>
      <c r="C104" s="207"/>
      <c r="D104" s="207"/>
      <c r="E104" s="207"/>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207"/>
      <c r="AD104" s="207"/>
      <c r="AE104" s="207"/>
      <c r="AF104" s="207"/>
      <c r="AG104" s="207"/>
      <c r="AH104" s="207"/>
      <c r="AI104" s="207"/>
      <c r="AJ104" s="207"/>
    </row>
    <row r="105" spans="1:36" ht="17" thickBot="1">
      <c r="A105" s="207"/>
      <c r="B105" s="1917"/>
      <c r="C105" s="207"/>
      <c r="D105" s="166" t="s">
        <v>67</v>
      </c>
      <c r="E105" s="268"/>
      <c r="F105" s="268"/>
      <c r="G105" s="269"/>
      <c r="H105" s="207"/>
      <c r="I105" s="207"/>
      <c r="J105" s="207"/>
      <c r="K105" s="207"/>
      <c r="L105" s="207"/>
      <c r="M105" s="270" t="s">
        <v>134</v>
      </c>
      <c r="N105" s="271"/>
      <c r="O105" s="271"/>
      <c r="P105" s="269"/>
      <c r="Q105" s="207"/>
      <c r="R105" s="207"/>
      <c r="S105" s="207"/>
      <c r="T105" s="207"/>
      <c r="U105" s="207"/>
      <c r="V105" s="207"/>
      <c r="W105" s="207"/>
      <c r="X105" s="207"/>
      <c r="Y105" s="207"/>
      <c r="Z105" s="207"/>
      <c r="AA105" s="207"/>
      <c r="AB105" s="207"/>
      <c r="AC105" s="207"/>
      <c r="AD105" s="207"/>
      <c r="AE105" s="207"/>
      <c r="AF105" s="207"/>
      <c r="AG105" s="207"/>
      <c r="AH105" s="207"/>
      <c r="AI105" s="207"/>
      <c r="AJ105" s="207"/>
    </row>
    <row r="106" spans="1:36">
      <c r="A106" s="207"/>
      <c r="B106" s="1917"/>
      <c r="C106" s="207"/>
      <c r="D106" s="83" t="s">
        <v>43</v>
      </c>
      <c r="E106" s="84"/>
      <c r="F106" s="272" t="e">
        <f>F62</f>
        <v>#N/A</v>
      </c>
      <c r="G106" s="273" t="s">
        <v>44</v>
      </c>
      <c r="H106" s="207"/>
      <c r="I106" s="207"/>
      <c r="J106" s="207"/>
      <c r="K106" s="207"/>
      <c r="L106" s="207"/>
      <c r="M106" s="274" t="s">
        <v>126</v>
      </c>
      <c r="N106" s="275"/>
      <c r="O106" s="523">
        <f>G12</f>
        <v>0</v>
      </c>
      <c r="P106" s="273"/>
      <c r="Q106" s="207"/>
      <c r="R106" s="207"/>
      <c r="S106" s="207"/>
      <c r="T106" s="207"/>
      <c r="U106" s="207"/>
      <c r="V106" s="207"/>
      <c r="W106" s="207"/>
      <c r="X106" s="207"/>
      <c r="Y106" s="207"/>
      <c r="Z106" s="207"/>
      <c r="AA106" s="207"/>
      <c r="AB106" s="207"/>
      <c r="AC106" s="207"/>
      <c r="AD106" s="207"/>
      <c r="AE106" s="207"/>
      <c r="AF106" s="207"/>
      <c r="AG106" s="207"/>
      <c r="AH106" s="207"/>
      <c r="AI106" s="207"/>
      <c r="AJ106" s="207"/>
    </row>
    <row r="107" spans="1:36" ht="17" thickBot="1">
      <c r="A107" s="207"/>
      <c r="B107" s="1917"/>
      <c r="C107" s="207"/>
      <c r="D107" s="276" t="s">
        <v>61</v>
      </c>
      <c r="E107" s="277"/>
      <c r="F107" s="278" t="s">
        <v>48</v>
      </c>
      <c r="G107" s="279"/>
      <c r="H107" s="207"/>
      <c r="I107" s="207"/>
      <c r="J107" s="207"/>
      <c r="K107" s="207"/>
      <c r="L107" s="207"/>
      <c r="M107" s="280" t="s">
        <v>43</v>
      </c>
      <c r="N107" s="281"/>
      <c r="O107" s="282" t="e">
        <f>VLOOKUP(O106,'T4'!B7:C2988,2,FALSE)</f>
        <v>#N/A</v>
      </c>
      <c r="P107" s="283" t="s">
        <v>44</v>
      </c>
      <c r="Q107" s="207"/>
      <c r="R107" s="207"/>
      <c r="S107" s="207"/>
      <c r="T107" s="207"/>
      <c r="U107" s="207"/>
      <c r="V107" s="207"/>
      <c r="W107" s="207"/>
      <c r="X107" s="207"/>
      <c r="Y107" s="207"/>
      <c r="Z107" s="207"/>
      <c r="AA107" s="207"/>
      <c r="AB107" s="207"/>
      <c r="AC107" s="207"/>
      <c r="AD107" s="207"/>
      <c r="AE107" s="207"/>
      <c r="AF107" s="207"/>
      <c r="AG107" s="207"/>
      <c r="AH107" s="207"/>
      <c r="AI107" s="207"/>
      <c r="AJ107" s="207"/>
    </row>
    <row r="108" spans="1:36" ht="17" thickBot="1">
      <c r="A108" s="207"/>
      <c r="B108" s="1917"/>
      <c r="C108" s="207"/>
      <c r="D108" s="276" t="s">
        <v>24</v>
      </c>
      <c r="E108" s="277"/>
      <c r="F108" s="278">
        <f>I88</f>
        <v>0</v>
      </c>
      <c r="G108" s="279"/>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207"/>
      <c r="AD108" s="207"/>
      <c r="AE108" s="207"/>
      <c r="AF108" s="207"/>
      <c r="AG108" s="207"/>
      <c r="AH108" s="207"/>
      <c r="AI108" s="207"/>
      <c r="AJ108" s="207"/>
    </row>
    <row r="109" spans="1:36" ht="17" thickBot="1">
      <c r="A109" s="207"/>
      <c r="B109" s="1917"/>
      <c r="C109" s="207"/>
      <c r="D109" s="276" t="s">
        <v>23</v>
      </c>
      <c r="E109" s="277"/>
      <c r="F109" s="278">
        <f>I95</f>
        <v>0</v>
      </c>
      <c r="G109" s="279"/>
      <c r="H109" s="207"/>
      <c r="I109" s="207"/>
      <c r="J109" s="207"/>
      <c r="K109" s="207"/>
      <c r="L109" s="207"/>
      <c r="M109" s="288" t="s">
        <v>135</v>
      </c>
      <c r="N109" s="275"/>
      <c r="O109" s="268"/>
      <c r="P109" s="269"/>
      <c r="Q109" s="207"/>
      <c r="R109" s="207"/>
      <c r="S109" s="207"/>
      <c r="T109" s="207"/>
      <c r="U109" s="207"/>
      <c r="V109" s="207"/>
      <c r="W109" s="207"/>
      <c r="X109" s="207"/>
      <c r="Y109" s="207"/>
      <c r="Z109" s="207"/>
      <c r="AA109" s="207"/>
      <c r="AB109" s="207"/>
      <c r="AC109" s="207"/>
      <c r="AD109" s="207"/>
      <c r="AE109" s="207"/>
      <c r="AF109" s="207"/>
      <c r="AG109" s="207"/>
      <c r="AH109" s="207"/>
      <c r="AI109" s="207"/>
      <c r="AJ109" s="207"/>
    </row>
    <row r="110" spans="1:36">
      <c r="A110" s="207"/>
      <c r="B110" s="1917"/>
      <c r="C110" s="207"/>
      <c r="D110" s="276" t="s">
        <v>132</v>
      </c>
      <c r="E110" s="277"/>
      <c r="F110" s="284" t="e">
        <f>INDEX('T1'!AA9:AE12,MATCH(F108,'T1'!Z9:Z12,0),MATCH(F109,'T1'!AA8:AE8,0))</f>
        <v>#N/A</v>
      </c>
      <c r="G110" s="279" t="s">
        <v>136</v>
      </c>
      <c r="H110" s="207"/>
      <c r="I110" s="207"/>
      <c r="J110" s="207"/>
      <c r="K110" s="207"/>
      <c r="L110" s="207"/>
      <c r="M110" s="274" t="s">
        <v>132</v>
      </c>
      <c r="N110" s="273"/>
      <c r="O110" s="285">
        <f>'T5 - T7 | T9 - T16'!D30</f>
        <v>0.36551246602196114</v>
      </c>
      <c r="P110" s="279" t="s">
        <v>137</v>
      </c>
      <c r="Q110" s="207"/>
      <c r="R110" s="207"/>
      <c r="S110" s="207"/>
      <c r="T110" s="207"/>
      <c r="U110" s="207"/>
      <c r="V110" s="207"/>
      <c r="W110" s="207"/>
      <c r="X110" s="207"/>
      <c r="Y110" s="207"/>
      <c r="Z110" s="207"/>
      <c r="AA110" s="207"/>
      <c r="AB110" s="207"/>
      <c r="AC110" s="207"/>
      <c r="AD110" s="207"/>
      <c r="AE110" s="207"/>
      <c r="AF110" s="207"/>
      <c r="AG110" s="207"/>
      <c r="AH110" s="207"/>
      <c r="AI110" s="207"/>
      <c r="AJ110" s="207"/>
    </row>
    <row r="111" spans="1:36" ht="17" thickBot="1">
      <c r="A111" s="207"/>
      <c r="B111" s="1917"/>
      <c r="C111" s="207"/>
      <c r="D111" s="280" t="s">
        <v>133</v>
      </c>
      <c r="E111" s="286"/>
      <c r="F111" s="282" t="e">
        <f>INDEX('T1'!AA16:AE19,MATCH(F108,'T1'!Z16:Z19,0),MATCH(F109,'T1'!AA15:AE15,0))</f>
        <v>#N/A</v>
      </c>
      <c r="G111" s="283" t="s">
        <v>136</v>
      </c>
      <c r="H111" s="207"/>
      <c r="I111" s="207"/>
      <c r="J111" s="207"/>
      <c r="K111" s="207"/>
      <c r="L111" s="207"/>
      <c r="M111" s="280" t="s">
        <v>133</v>
      </c>
      <c r="N111" s="283"/>
      <c r="O111" s="281">
        <f>'T5 - T7 | T9 - T16'!C30</f>
        <v>4.0206371262415724E-3</v>
      </c>
      <c r="P111" s="283" t="s">
        <v>137</v>
      </c>
      <c r="Q111" s="207"/>
      <c r="R111" s="207"/>
      <c r="S111" s="207"/>
      <c r="T111" s="207"/>
      <c r="U111" s="207"/>
      <c r="V111" s="207"/>
      <c r="W111" s="207"/>
      <c r="X111" s="207"/>
      <c r="Y111" s="207"/>
      <c r="Z111" s="207"/>
      <c r="AA111" s="207"/>
      <c r="AB111" s="207"/>
      <c r="AC111" s="207"/>
      <c r="AD111" s="207"/>
      <c r="AE111" s="207"/>
      <c r="AF111" s="207"/>
      <c r="AG111" s="207"/>
      <c r="AH111" s="207"/>
      <c r="AI111" s="207"/>
      <c r="AJ111" s="207"/>
    </row>
    <row r="112" spans="1:36" ht="17" thickBot="1">
      <c r="A112" s="207"/>
      <c r="B112" s="1917"/>
      <c r="C112" s="207"/>
      <c r="D112" s="207"/>
      <c r="E112" s="207"/>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207"/>
      <c r="AD112" s="207"/>
      <c r="AE112" s="207"/>
      <c r="AF112" s="207"/>
      <c r="AG112" s="207"/>
      <c r="AH112" s="207"/>
      <c r="AI112" s="207"/>
      <c r="AJ112" s="207"/>
    </row>
    <row r="113" spans="1:36">
      <c r="A113" s="207"/>
      <c r="B113" s="1917"/>
      <c r="C113" s="207"/>
      <c r="D113" s="288"/>
      <c r="E113" s="275"/>
      <c r="F113" s="79" t="s">
        <v>26</v>
      </c>
      <c r="G113" s="80" t="s">
        <v>25</v>
      </c>
      <c r="H113" s="207"/>
      <c r="I113" s="207"/>
      <c r="J113" s="207"/>
      <c r="K113" s="207"/>
      <c r="L113" s="207"/>
      <c r="M113" s="288"/>
      <c r="N113" s="275"/>
      <c r="O113" s="79" t="s">
        <v>26</v>
      </c>
      <c r="P113" s="80" t="s">
        <v>25</v>
      </c>
      <c r="Q113" s="207"/>
      <c r="R113" s="207"/>
      <c r="S113" s="207"/>
      <c r="T113" s="207"/>
      <c r="U113" s="207"/>
      <c r="V113" s="207"/>
      <c r="W113" s="207"/>
      <c r="X113" s="207"/>
      <c r="Y113" s="207"/>
      <c r="Z113" s="207"/>
      <c r="AA113" s="207"/>
      <c r="AB113" s="207"/>
      <c r="AC113" s="207"/>
      <c r="AD113" s="207"/>
      <c r="AE113" s="207"/>
      <c r="AF113" s="207"/>
      <c r="AG113" s="207"/>
      <c r="AH113" s="207"/>
      <c r="AI113" s="207"/>
      <c r="AJ113" s="207"/>
    </row>
    <row r="114" spans="1:36">
      <c r="A114" s="207"/>
      <c r="B114" s="1917"/>
      <c r="C114" s="207"/>
      <c r="D114" s="278" t="s">
        <v>112</v>
      </c>
      <c r="E114" s="285"/>
      <c r="F114" s="27">
        <f>IF(I81=F80,F110*F106*G98*52/(G102+1),0)</f>
        <v>0</v>
      </c>
      <c r="G114" s="21">
        <f>IF(I81=F80,F111*F106*G98*52/(G102+1),0)</f>
        <v>0</v>
      </c>
      <c r="H114" s="207"/>
      <c r="I114" s="207"/>
      <c r="J114" s="207"/>
      <c r="K114" s="207"/>
      <c r="L114" s="207"/>
      <c r="M114" s="278" t="s">
        <v>112</v>
      </c>
      <c r="N114" s="285"/>
      <c r="O114" s="27">
        <f>IF(R81=O80,O110*O107*P85*52,0)</f>
        <v>0</v>
      </c>
      <c r="P114" s="21">
        <f>IF(R81=O80,O111*O107*P85*52,0)</f>
        <v>0</v>
      </c>
      <c r="Q114" s="207"/>
      <c r="R114" s="207"/>
      <c r="S114" s="207"/>
      <c r="T114" s="207"/>
      <c r="U114" s="207"/>
      <c r="V114" s="207"/>
      <c r="W114" s="207"/>
      <c r="X114" s="207"/>
      <c r="Y114" s="207"/>
      <c r="Z114" s="207"/>
      <c r="AA114" s="207"/>
      <c r="AB114" s="207"/>
      <c r="AC114" s="207"/>
      <c r="AD114" s="207"/>
      <c r="AE114" s="207"/>
      <c r="AF114" s="207"/>
      <c r="AG114" s="207"/>
      <c r="AH114" s="207"/>
      <c r="AI114" s="207"/>
      <c r="AJ114" s="207"/>
    </row>
    <row r="115" spans="1:36" ht="17" thickBot="1">
      <c r="A115" s="207"/>
      <c r="B115" s="1918"/>
      <c r="C115" s="207"/>
      <c r="D115" s="287" t="s">
        <v>113</v>
      </c>
      <c r="E115" s="281"/>
      <c r="F115" s="81">
        <f>IF(I81=F80,F114*F28/(10^6),0)</f>
        <v>0</v>
      </c>
      <c r="G115" s="82">
        <f>IF(I81=F80,G114*F29/(10^6),0)</f>
        <v>0</v>
      </c>
      <c r="H115" s="207"/>
      <c r="I115" s="207"/>
      <c r="J115" s="207"/>
      <c r="K115" s="207"/>
      <c r="L115" s="207"/>
      <c r="M115" s="287" t="s">
        <v>113</v>
      </c>
      <c r="N115" s="281"/>
      <c r="O115" s="81">
        <f>IF(R81=O80,O114*F28/(10^6),0)</f>
        <v>0</v>
      </c>
      <c r="P115" s="82">
        <f>IF(R81=O80,P114*F29/(10^6),0)</f>
        <v>0</v>
      </c>
      <c r="Q115" s="207"/>
      <c r="R115" s="207"/>
      <c r="S115" s="207"/>
      <c r="T115" s="207"/>
      <c r="U115" s="207"/>
      <c r="V115" s="207"/>
      <c r="W115" s="207"/>
      <c r="X115" s="207"/>
      <c r="Y115" s="207"/>
      <c r="Z115" s="207"/>
      <c r="AA115" s="207"/>
      <c r="AB115" s="207"/>
      <c r="AC115" s="207"/>
      <c r="AD115" s="207"/>
      <c r="AE115" s="207"/>
      <c r="AF115" s="207"/>
      <c r="AG115" s="207"/>
      <c r="AH115" s="207"/>
      <c r="AI115" s="207"/>
      <c r="AJ115" s="207"/>
    </row>
    <row r="116" spans="1:36">
      <c r="A116" s="207"/>
      <c r="B116" s="207"/>
      <c r="C116" s="207"/>
      <c r="D116" s="26"/>
      <c r="E116" s="207"/>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207"/>
      <c r="AD116" s="207"/>
      <c r="AE116" s="207"/>
      <c r="AF116" s="207"/>
      <c r="AG116" s="207"/>
      <c r="AH116" s="207"/>
      <c r="AI116" s="207"/>
      <c r="AJ116" s="207"/>
    </row>
    <row r="117" spans="1:36" ht="17" thickBot="1">
      <c r="A117" s="214"/>
      <c r="B117" s="214"/>
      <c r="C117" s="214"/>
      <c r="D117" s="416"/>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row>
    <row r="118" spans="1:36" ht="17" customHeight="1" thickBot="1">
      <c r="A118" s="214"/>
      <c r="B118" s="1890" t="s">
        <v>3270</v>
      </c>
      <c r="C118" s="214"/>
      <c r="D118" s="416"/>
      <c r="E118" s="214"/>
      <c r="F118" s="214"/>
      <c r="G118" s="214"/>
      <c r="H118" s="214"/>
      <c r="I118" s="214"/>
      <c r="J118" s="214"/>
      <c r="K118" s="214"/>
      <c r="L118" s="214"/>
      <c r="M118" s="214"/>
      <c r="N118" s="289"/>
      <c r="O118" s="289"/>
      <c r="P118" s="289"/>
      <c r="Q118" s="289"/>
      <c r="R118" s="289"/>
      <c r="S118" s="289"/>
      <c r="T118" s="289"/>
      <c r="U118" s="214"/>
      <c r="V118" s="214"/>
      <c r="W118" s="214"/>
      <c r="X118" s="214"/>
      <c r="Y118" s="214"/>
      <c r="Z118" s="214"/>
      <c r="AA118" s="214"/>
      <c r="AB118" s="214"/>
      <c r="AC118" s="214"/>
      <c r="AD118" s="214"/>
      <c r="AE118" s="214"/>
      <c r="AF118" s="214"/>
      <c r="AG118" s="214"/>
      <c r="AH118" s="214"/>
      <c r="AI118" s="214"/>
      <c r="AJ118" s="214"/>
    </row>
    <row r="119" spans="1:36" ht="16" customHeight="1">
      <c r="A119" s="214"/>
      <c r="B119" s="1891"/>
      <c r="C119" s="214"/>
      <c r="D119" s="214"/>
      <c r="E119" s="1883" t="s">
        <v>3271</v>
      </c>
      <c r="F119" s="1884"/>
      <c r="G119" s="1884"/>
      <c r="H119" s="1884"/>
      <c r="I119" s="1885"/>
      <c r="J119" s="214"/>
      <c r="K119" s="214"/>
      <c r="L119" s="214"/>
      <c r="M119" s="1900" t="s">
        <v>3272</v>
      </c>
      <c r="N119" s="1901"/>
      <c r="O119" s="1901"/>
      <c r="P119" s="1902"/>
      <c r="Q119" s="214"/>
      <c r="R119" s="214"/>
      <c r="S119" s="289"/>
      <c r="T119" s="1900" t="s">
        <v>3273</v>
      </c>
      <c r="U119" s="1901"/>
      <c r="V119" s="1902"/>
      <c r="W119" s="213"/>
      <c r="X119" s="214"/>
      <c r="Y119" s="214"/>
      <c r="Z119" s="1900" t="s">
        <v>3274</v>
      </c>
      <c r="AA119" s="1901"/>
      <c r="AB119" s="1901"/>
      <c r="AC119" s="1902"/>
      <c r="AD119" s="214"/>
      <c r="AE119" s="214"/>
      <c r="AF119" s="214"/>
      <c r="AG119" s="214"/>
      <c r="AH119" s="214"/>
      <c r="AI119" s="214"/>
      <c r="AJ119" s="214"/>
    </row>
    <row r="120" spans="1:36" ht="17" customHeight="1" thickBot="1">
      <c r="A120" s="214"/>
      <c r="B120" s="1891"/>
      <c r="C120" s="214"/>
      <c r="D120" s="214"/>
      <c r="E120" s="1886"/>
      <c r="F120" s="1887"/>
      <c r="G120" s="1887"/>
      <c r="H120" s="1887"/>
      <c r="I120" s="1888"/>
      <c r="J120" s="214"/>
      <c r="K120" s="214"/>
      <c r="L120" s="214"/>
      <c r="M120" s="1903"/>
      <c r="N120" s="1904"/>
      <c r="O120" s="1904"/>
      <c r="P120" s="1905"/>
      <c r="Q120" s="214"/>
      <c r="R120" s="214"/>
      <c r="S120" s="289"/>
      <c r="T120" s="1903"/>
      <c r="U120" s="1904"/>
      <c r="V120" s="1905"/>
      <c r="W120" s="791"/>
      <c r="X120" s="214"/>
      <c r="Y120" s="214"/>
      <c r="Z120" s="1903"/>
      <c r="AA120" s="1904"/>
      <c r="AB120" s="1904"/>
      <c r="AC120" s="1905"/>
      <c r="AD120" s="214"/>
      <c r="AE120" s="214"/>
      <c r="AF120" s="214"/>
      <c r="AG120" s="214"/>
      <c r="AH120" s="214"/>
      <c r="AI120" s="214"/>
      <c r="AJ120" s="214"/>
    </row>
    <row r="121" spans="1:36" ht="16" customHeight="1">
      <c r="A121" s="214"/>
      <c r="B121" s="1891"/>
      <c r="C121" s="290"/>
      <c r="D121" s="290"/>
      <c r="E121" s="290"/>
      <c r="F121" s="290"/>
      <c r="G121" s="290"/>
      <c r="H121" s="290"/>
      <c r="I121" s="290"/>
      <c r="J121" s="290"/>
      <c r="K121" s="290"/>
      <c r="L121" s="214"/>
      <c r="M121" s="214"/>
      <c r="N121" s="214"/>
      <c r="O121" s="214"/>
      <c r="P121" s="214"/>
      <c r="Q121" s="214"/>
      <c r="R121" s="214"/>
      <c r="S121" s="289"/>
      <c r="T121" s="289"/>
      <c r="U121" s="214"/>
      <c r="V121" s="214"/>
      <c r="W121" s="214"/>
      <c r="X121" s="214"/>
      <c r="Y121" s="214"/>
      <c r="Z121" s="214"/>
      <c r="AA121" s="214"/>
      <c r="AB121" s="214"/>
      <c r="AC121" s="214"/>
      <c r="AD121" s="214"/>
      <c r="AE121" s="214"/>
      <c r="AF121" s="214"/>
      <c r="AG121" s="214"/>
      <c r="AH121" s="214"/>
      <c r="AI121" s="214"/>
      <c r="AJ121" s="214"/>
    </row>
    <row r="122" spans="1:36" ht="17" customHeight="1">
      <c r="A122" s="214"/>
      <c r="B122" s="1891"/>
      <c r="C122" s="290"/>
      <c r="D122" s="546" t="s">
        <v>105</v>
      </c>
      <c r="E122" s="212" t="s">
        <v>3229</v>
      </c>
      <c r="F122" s="212"/>
      <c r="G122" s="212"/>
      <c r="H122" s="291"/>
      <c r="I122" s="291"/>
      <c r="J122" s="291"/>
      <c r="K122" s="214"/>
      <c r="L122" s="546" t="s">
        <v>242</v>
      </c>
      <c r="M122" s="212" t="s">
        <v>104</v>
      </c>
      <c r="N122" s="212"/>
      <c r="O122" s="212"/>
      <c r="P122" s="212"/>
      <c r="Q122" s="212"/>
      <c r="R122" s="289"/>
      <c r="S122" s="407" t="s">
        <v>248</v>
      </c>
      <c r="T122" s="212" t="s">
        <v>243</v>
      </c>
      <c r="U122" s="212"/>
      <c r="V122" s="212"/>
      <c r="W122" s="212"/>
      <c r="X122" s="214"/>
      <c r="Y122" s="546" t="s">
        <v>3250</v>
      </c>
      <c r="Z122" s="212" t="s">
        <v>245</v>
      </c>
      <c r="AA122" s="212"/>
      <c r="AB122" s="212"/>
      <c r="AC122" s="212"/>
      <c r="AD122" s="212"/>
      <c r="AE122" s="214"/>
      <c r="AF122" s="214"/>
      <c r="AG122" s="214"/>
      <c r="AH122" s="214"/>
      <c r="AI122" s="214"/>
      <c r="AJ122" s="214"/>
    </row>
    <row r="123" spans="1:36" ht="18" thickBot="1">
      <c r="A123" s="214"/>
      <c r="B123" s="1891"/>
      <c r="C123" s="290"/>
      <c r="D123" s="410" t="s">
        <v>34</v>
      </c>
      <c r="E123" s="214" t="s">
        <v>3230</v>
      </c>
      <c r="F123" s="214"/>
      <c r="G123" s="214" t="s">
        <v>3231</v>
      </c>
      <c r="H123" s="290"/>
      <c r="I123" s="290"/>
      <c r="J123" s="290"/>
      <c r="K123" s="214"/>
      <c r="L123" s="410" t="s">
        <v>34</v>
      </c>
      <c r="M123" s="214" t="s">
        <v>88</v>
      </c>
      <c r="N123" s="214"/>
      <c r="O123" s="214"/>
      <c r="P123" s="214"/>
      <c r="Q123" s="214"/>
      <c r="R123" s="289"/>
      <c r="S123" s="410" t="s">
        <v>34</v>
      </c>
      <c r="T123" s="214" t="s">
        <v>88</v>
      </c>
      <c r="U123" s="214"/>
      <c r="V123" s="214"/>
      <c r="W123" s="214"/>
      <c r="X123" s="214"/>
      <c r="Y123" s="410" t="s">
        <v>34</v>
      </c>
      <c r="Z123" s="214" t="s">
        <v>88</v>
      </c>
      <c r="AA123" s="214"/>
      <c r="AB123" s="214"/>
      <c r="AC123" s="214"/>
      <c r="AD123" s="214"/>
      <c r="AE123" s="214"/>
      <c r="AF123" s="214"/>
      <c r="AG123" s="214"/>
      <c r="AH123" s="214"/>
      <c r="AI123" s="214"/>
      <c r="AJ123" s="214"/>
    </row>
    <row r="124" spans="1:36" ht="18" thickBot="1">
      <c r="A124" s="214"/>
      <c r="B124" s="1891"/>
      <c r="C124" s="290"/>
      <c r="D124" s="410" t="s">
        <v>35</v>
      </c>
      <c r="E124" s="214" t="s">
        <v>3232</v>
      </c>
      <c r="F124" s="214"/>
      <c r="G124" s="214" t="s">
        <v>3233</v>
      </c>
      <c r="H124" s="290"/>
      <c r="I124" s="290"/>
      <c r="J124" s="290"/>
      <c r="K124" s="214"/>
      <c r="L124" s="410" t="s">
        <v>35</v>
      </c>
      <c r="M124" s="214" t="s">
        <v>89</v>
      </c>
      <c r="N124" s="214"/>
      <c r="O124" s="214"/>
      <c r="P124" s="790" t="s">
        <v>89</v>
      </c>
      <c r="Q124" s="214"/>
      <c r="R124" s="289"/>
      <c r="S124" s="410" t="s">
        <v>35</v>
      </c>
      <c r="T124" s="214" t="s">
        <v>89</v>
      </c>
      <c r="U124" s="214"/>
      <c r="V124" s="790" t="s">
        <v>89</v>
      </c>
      <c r="W124" s="214"/>
      <c r="X124" s="214"/>
      <c r="Y124" s="410" t="s">
        <v>35</v>
      </c>
      <c r="Z124" s="214" t="s">
        <v>89</v>
      </c>
      <c r="AA124" s="214"/>
      <c r="AB124" s="214"/>
      <c r="AC124" s="790" t="s">
        <v>89</v>
      </c>
      <c r="AD124" s="214"/>
      <c r="AE124" s="214"/>
      <c r="AF124" s="214"/>
      <c r="AG124" s="214"/>
      <c r="AH124" s="214"/>
      <c r="AI124" s="214"/>
      <c r="AJ124" s="214"/>
    </row>
    <row r="125" spans="1:36" ht="18" thickBot="1">
      <c r="A125" s="214"/>
      <c r="B125" s="1891"/>
      <c r="C125" s="290"/>
      <c r="D125" s="410" t="s">
        <v>36</v>
      </c>
      <c r="E125" s="214" t="s">
        <v>3234</v>
      </c>
      <c r="F125" s="214"/>
      <c r="G125" s="214" t="s">
        <v>3235</v>
      </c>
      <c r="H125" s="290"/>
      <c r="I125" s="214"/>
      <c r="J125" s="214"/>
      <c r="K125" s="214"/>
      <c r="L125" s="936" t="s">
        <v>3508</v>
      </c>
      <c r="M125" s="937"/>
      <c r="N125" s="938" t="s">
        <v>3498</v>
      </c>
      <c r="O125" s="214"/>
      <c r="P125" s="214"/>
      <c r="Q125" s="214"/>
      <c r="R125" s="289"/>
      <c r="S125" s="936" t="s">
        <v>3510</v>
      </c>
      <c r="T125" s="937"/>
      <c r="U125" s="938" t="s">
        <v>3498</v>
      </c>
      <c r="V125" s="214"/>
      <c r="W125" s="214"/>
      <c r="X125" s="214"/>
      <c r="Y125" s="214"/>
      <c r="Z125" s="214"/>
      <c r="AA125" s="214"/>
      <c r="AB125" s="214"/>
      <c r="AC125" s="214"/>
      <c r="AD125" s="214"/>
      <c r="AE125" s="214"/>
      <c r="AF125" s="214"/>
      <c r="AG125" s="214"/>
      <c r="AH125" s="214"/>
      <c r="AI125" s="214"/>
      <c r="AJ125" s="214"/>
    </row>
    <row r="126" spans="1:36" ht="17" thickBot="1">
      <c r="A126" s="214"/>
      <c r="B126" s="1891"/>
      <c r="C126" s="290"/>
      <c r="D126" s="547"/>
      <c r="E126" s="292"/>
      <c r="F126" s="214"/>
      <c r="G126" s="214"/>
      <c r="H126" s="290"/>
      <c r="I126" s="789"/>
      <c r="J126" s="290"/>
      <c r="K126" s="214"/>
      <c r="L126" s="936" t="s">
        <v>3507</v>
      </c>
      <c r="M126" s="937"/>
      <c r="N126" s="938" t="s">
        <v>3498</v>
      </c>
      <c r="O126" s="214"/>
      <c r="P126" s="214"/>
      <c r="Q126" s="214"/>
      <c r="R126" s="289"/>
      <c r="S126" s="936" t="s">
        <v>3511</v>
      </c>
      <c r="T126" s="937"/>
      <c r="U126" s="938" t="s">
        <v>3498</v>
      </c>
      <c r="V126" s="214"/>
      <c r="W126" s="214"/>
      <c r="X126" s="214"/>
      <c r="Y126" s="214"/>
      <c r="Z126" s="214"/>
      <c r="AA126" s="214"/>
      <c r="AB126" s="1837" t="s">
        <v>3513</v>
      </c>
      <c r="AC126" s="1837"/>
      <c r="AD126" s="938" t="s">
        <v>3498</v>
      </c>
      <c r="AE126" s="214"/>
      <c r="AF126" s="214"/>
      <c r="AG126" s="214"/>
      <c r="AH126" s="214"/>
      <c r="AI126" s="214"/>
      <c r="AJ126" s="214"/>
    </row>
    <row r="127" spans="1:36" ht="17">
      <c r="A127" s="214"/>
      <c r="B127" s="1891"/>
      <c r="C127" s="290"/>
      <c r="D127" s="416"/>
      <c r="E127" s="214"/>
      <c r="F127" s="214"/>
      <c r="G127" s="214"/>
      <c r="H127" s="214"/>
      <c r="I127" s="214"/>
      <c r="J127" s="290"/>
      <c r="K127" s="214"/>
      <c r="L127" s="546" t="s">
        <v>244</v>
      </c>
      <c r="M127" s="212" t="s">
        <v>3618</v>
      </c>
      <c r="N127" s="212"/>
      <c r="O127" s="212"/>
      <c r="P127" s="212"/>
      <c r="Q127" s="212"/>
      <c r="R127" s="214"/>
      <c r="S127" s="407" t="s">
        <v>3253</v>
      </c>
      <c r="T127" s="212" t="s">
        <v>3342</v>
      </c>
      <c r="U127" s="212"/>
      <c r="V127" s="212"/>
      <c r="W127" s="212"/>
      <c r="X127" s="214"/>
      <c r="Y127" s="214"/>
      <c r="Z127" s="214"/>
      <c r="AA127" s="214"/>
      <c r="AB127" s="214"/>
      <c r="AC127" s="214"/>
      <c r="AD127" s="214"/>
      <c r="AE127" s="214"/>
      <c r="AF127" s="214"/>
      <c r="AG127" s="214"/>
      <c r="AH127" s="214"/>
      <c r="AI127" s="214"/>
      <c r="AJ127" s="214"/>
    </row>
    <row r="128" spans="1:36" ht="18" thickBot="1">
      <c r="A128" s="214"/>
      <c r="B128" s="1891"/>
      <c r="C128" s="290"/>
      <c r="D128" s="546" t="s">
        <v>109</v>
      </c>
      <c r="E128" s="293" t="s">
        <v>3625</v>
      </c>
      <c r="F128" s="212"/>
      <c r="G128" s="212"/>
      <c r="H128" s="291"/>
      <c r="I128" s="294"/>
      <c r="J128" s="291"/>
      <c r="K128" s="214"/>
      <c r="L128" s="410" t="s">
        <v>34</v>
      </c>
      <c r="M128" s="214" t="s">
        <v>143</v>
      </c>
      <c r="N128" s="214"/>
      <c r="O128" s="214"/>
      <c r="P128" s="214"/>
      <c r="Q128" s="214"/>
      <c r="R128" s="214"/>
      <c r="S128" s="410" t="s">
        <v>34</v>
      </c>
      <c r="T128" s="214" t="s">
        <v>147</v>
      </c>
      <c r="U128" s="214"/>
      <c r="V128" s="214"/>
      <c r="W128" s="214"/>
      <c r="X128" s="214"/>
      <c r="Y128" s="214"/>
      <c r="Z128" s="214"/>
      <c r="AA128" s="214"/>
      <c r="AB128" s="214"/>
      <c r="AC128" s="214"/>
      <c r="AD128" s="214"/>
      <c r="AE128" s="214"/>
      <c r="AF128" s="214"/>
      <c r="AG128" s="214"/>
      <c r="AH128" s="214"/>
      <c r="AI128" s="214"/>
      <c r="AJ128" s="214"/>
    </row>
    <row r="129" spans="1:36" ht="18" thickBot="1">
      <c r="A129" s="214"/>
      <c r="B129" s="1891"/>
      <c r="C129" s="290"/>
      <c r="D129" s="416"/>
      <c r="E129" s="215" t="s">
        <v>73</v>
      </c>
      <c r="F129" s="214"/>
      <c r="G129" s="790"/>
      <c r="H129" s="1837" t="s">
        <v>3499</v>
      </c>
      <c r="I129" s="1837"/>
      <c r="J129" s="938" t="s">
        <v>3498</v>
      </c>
      <c r="K129" s="214"/>
      <c r="L129" s="410" t="s">
        <v>35</v>
      </c>
      <c r="M129" s="214" t="s">
        <v>3237</v>
      </c>
      <c r="N129" s="214"/>
      <c r="O129" s="214"/>
      <c r="P129" s="214"/>
      <c r="Q129" s="214"/>
      <c r="R129" s="214"/>
      <c r="S129" s="410" t="s">
        <v>35</v>
      </c>
      <c r="T129" s="214" t="s">
        <v>146</v>
      </c>
      <c r="U129" s="214"/>
      <c r="V129" s="790"/>
      <c r="W129" s="214"/>
      <c r="X129" s="214"/>
      <c r="Y129" s="214"/>
      <c r="Z129" s="214"/>
      <c r="AA129" s="214"/>
      <c r="AB129" s="214"/>
      <c r="AC129" s="214"/>
      <c r="AD129" s="214"/>
      <c r="AE129" s="214"/>
      <c r="AF129" s="214"/>
      <c r="AG129" s="214"/>
      <c r="AH129" s="214"/>
      <c r="AI129" s="214"/>
      <c r="AJ129" s="214"/>
    </row>
    <row r="130" spans="1:36" ht="17">
      <c r="A130" s="214"/>
      <c r="B130" s="1891"/>
      <c r="C130" s="290"/>
      <c r="D130" s="290"/>
      <c r="E130" s="290"/>
      <c r="F130" s="290"/>
      <c r="G130" s="290"/>
      <c r="H130" s="290"/>
      <c r="I130" s="214"/>
      <c r="J130" s="214"/>
      <c r="K130" s="214"/>
      <c r="L130" s="410" t="s">
        <v>36</v>
      </c>
      <c r="M130" s="215" t="s">
        <v>107</v>
      </c>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row>
    <row r="131" spans="1:36" ht="18" thickBot="1">
      <c r="A131" s="214"/>
      <c r="B131" s="1891"/>
      <c r="C131" s="290"/>
      <c r="D131" s="290"/>
      <c r="E131" s="290"/>
      <c r="F131" s="290"/>
      <c r="G131" s="290"/>
      <c r="H131" s="290"/>
      <c r="I131" s="290"/>
      <c r="J131" s="290"/>
      <c r="K131" s="214"/>
      <c r="L131" s="410" t="s">
        <v>37</v>
      </c>
      <c r="M131" s="215" t="s">
        <v>108</v>
      </c>
      <c r="N131" s="214"/>
      <c r="O131" s="214"/>
      <c r="P131" s="214"/>
      <c r="Q131" s="214"/>
      <c r="R131" s="214"/>
      <c r="S131" s="214"/>
      <c r="T131" s="214"/>
      <c r="U131" s="1837" t="s">
        <v>3512</v>
      </c>
      <c r="V131" s="1837"/>
      <c r="W131" s="938" t="s">
        <v>3498</v>
      </c>
      <c r="X131" s="214"/>
      <c r="Y131" s="214"/>
      <c r="Z131" s="214"/>
      <c r="AA131" s="214"/>
      <c r="AB131" s="214"/>
      <c r="AC131" s="214"/>
      <c r="AD131" s="214"/>
      <c r="AE131" s="214"/>
      <c r="AF131" s="214"/>
      <c r="AG131" s="214"/>
      <c r="AH131" s="214"/>
      <c r="AI131" s="214"/>
      <c r="AJ131" s="214"/>
    </row>
    <row r="132" spans="1:36" ht="17" thickBot="1">
      <c r="A132" s="214"/>
      <c r="B132" s="1891"/>
      <c r="C132" s="290"/>
      <c r="D132" s="214"/>
      <c r="E132" s="214"/>
      <c r="F132" s="214"/>
      <c r="G132" s="214"/>
      <c r="H132" s="214"/>
      <c r="I132" s="295"/>
      <c r="J132" s="295"/>
      <c r="K132" s="214"/>
      <c r="L132" s="410"/>
      <c r="M132" s="215"/>
      <c r="N132" s="214"/>
      <c r="O132" s="214"/>
      <c r="P132" s="789"/>
      <c r="Q132" s="214"/>
      <c r="R132" s="214"/>
      <c r="S132" s="214"/>
      <c r="T132" s="214"/>
      <c r="U132" s="214"/>
      <c r="V132" s="214"/>
      <c r="W132" s="214"/>
      <c r="X132" s="214"/>
      <c r="Y132" s="214"/>
      <c r="Z132" s="214"/>
      <c r="AA132" s="214"/>
      <c r="AB132" s="214"/>
      <c r="AC132" s="214"/>
      <c r="AD132" s="214"/>
      <c r="AE132" s="214"/>
      <c r="AF132" s="214"/>
      <c r="AG132" s="214"/>
      <c r="AH132" s="214"/>
      <c r="AI132" s="214"/>
      <c r="AJ132" s="214"/>
    </row>
    <row r="133" spans="1:36">
      <c r="A133" s="214"/>
      <c r="B133" s="1891"/>
      <c r="C133" s="290"/>
      <c r="D133" s="214"/>
      <c r="E133" s="214"/>
      <c r="F133" s="214"/>
      <c r="G133" s="214"/>
      <c r="H133" s="214"/>
      <c r="I133" s="290"/>
      <c r="J133" s="290"/>
      <c r="K133" s="214"/>
      <c r="L133" s="416"/>
      <c r="M133" s="416"/>
      <c r="N133" s="214"/>
      <c r="O133" s="214"/>
      <c r="P133" s="214"/>
      <c r="Q133" s="214"/>
      <c r="R133" s="214"/>
      <c r="S133" s="214"/>
      <c r="T133" s="214"/>
      <c r="U133" s="214"/>
      <c r="V133" s="214"/>
      <c r="W133" s="214"/>
      <c r="X133" s="214"/>
      <c r="Y133" s="214"/>
      <c r="Z133" s="214"/>
      <c r="AA133" s="214"/>
      <c r="AB133" s="214"/>
      <c r="AC133" s="214"/>
      <c r="AD133" s="214"/>
      <c r="AE133" s="214"/>
      <c r="AF133" s="214"/>
      <c r="AG133" s="214"/>
      <c r="AH133" s="214"/>
      <c r="AI133" s="214"/>
      <c r="AJ133" s="214"/>
    </row>
    <row r="134" spans="1:36" ht="18" thickBot="1">
      <c r="A134" s="214"/>
      <c r="B134" s="1891"/>
      <c r="C134" s="290"/>
      <c r="D134" s="214"/>
      <c r="E134" s="214"/>
      <c r="F134" s="214"/>
      <c r="G134" s="214"/>
      <c r="H134" s="214"/>
      <c r="I134" s="290"/>
      <c r="J134" s="290"/>
      <c r="K134" s="214"/>
      <c r="L134" s="546" t="s">
        <v>246</v>
      </c>
      <c r="M134" s="212" t="s">
        <v>3619</v>
      </c>
      <c r="N134" s="212"/>
      <c r="O134" s="212"/>
      <c r="P134" s="212"/>
      <c r="Q134" s="212"/>
      <c r="R134" s="214"/>
      <c r="S134" s="214"/>
      <c r="T134" s="214"/>
      <c r="U134" s="214"/>
      <c r="V134" s="214"/>
      <c r="W134" s="214"/>
      <c r="X134" s="214"/>
      <c r="Y134" s="214"/>
      <c r="Z134" s="214"/>
      <c r="AA134" s="214"/>
      <c r="AB134" s="214"/>
      <c r="AC134" s="214"/>
      <c r="AD134" s="214"/>
      <c r="AE134" s="214"/>
      <c r="AF134" s="214"/>
      <c r="AG134" s="214"/>
      <c r="AH134" s="214"/>
      <c r="AI134" s="214"/>
      <c r="AJ134" s="214"/>
    </row>
    <row r="135" spans="1:36" ht="17" thickBot="1">
      <c r="A135" s="214"/>
      <c r="B135" s="1891"/>
      <c r="C135" s="290"/>
      <c r="D135" s="216"/>
      <c r="E135" s="290"/>
      <c r="F135" s="290"/>
      <c r="G135" s="290"/>
      <c r="H135" s="290"/>
      <c r="I135" s="290"/>
      <c r="J135" s="290"/>
      <c r="K135" s="214"/>
      <c r="L135" s="416"/>
      <c r="M135" s="215" t="s">
        <v>3241</v>
      </c>
      <c r="N135" s="790"/>
      <c r="O135" s="214"/>
      <c r="P135" s="214"/>
      <c r="Q135" s="214"/>
      <c r="R135" s="214"/>
      <c r="S135" s="214"/>
      <c r="T135" s="214"/>
      <c r="U135" s="214"/>
      <c r="V135" s="214"/>
      <c r="W135" s="214"/>
      <c r="X135" s="214"/>
      <c r="Y135" s="214"/>
      <c r="Z135" s="214"/>
      <c r="AA135" s="214"/>
      <c r="AB135" s="214"/>
      <c r="AC135" s="214"/>
      <c r="AD135" s="214"/>
      <c r="AE135" s="214"/>
      <c r="AF135" s="214"/>
      <c r="AG135" s="214"/>
      <c r="AH135" s="214"/>
      <c r="AI135" s="214"/>
      <c r="AJ135" s="214"/>
    </row>
    <row r="136" spans="1:36" ht="17" thickBot="1">
      <c r="A136" s="214"/>
      <c r="B136" s="1891"/>
      <c r="C136" s="290"/>
      <c r="D136" s="290"/>
      <c r="E136" s="295"/>
      <c r="F136" s="295"/>
      <c r="G136" s="290"/>
      <c r="H136" s="290"/>
      <c r="I136" s="295"/>
      <c r="J136" s="295"/>
      <c r="K136" s="289"/>
      <c r="L136" s="416"/>
      <c r="M136" s="215" t="s">
        <v>3243</v>
      </c>
      <c r="N136" s="790"/>
      <c r="O136" s="1837" t="s">
        <v>3509</v>
      </c>
      <c r="P136" s="1837"/>
      <c r="Q136" s="938" t="s">
        <v>3498</v>
      </c>
      <c r="R136" s="214"/>
      <c r="S136" s="214"/>
      <c r="T136" s="214"/>
      <c r="U136" s="214"/>
      <c r="V136" s="214"/>
      <c r="W136" s="214"/>
      <c r="X136" s="214"/>
      <c r="Y136" s="214"/>
      <c r="Z136" s="214"/>
      <c r="AA136" s="214"/>
      <c r="AB136" s="214"/>
      <c r="AC136" s="214"/>
      <c r="AD136" s="214"/>
      <c r="AE136" s="214"/>
      <c r="AF136" s="214"/>
      <c r="AG136" s="214"/>
      <c r="AH136" s="214"/>
      <c r="AI136" s="214"/>
      <c r="AJ136" s="214"/>
    </row>
    <row r="137" spans="1:36" ht="17" thickBot="1">
      <c r="A137" s="214"/>
      <c r="B137" s="1891"/>
      <c r="C137" s="290"/>
      <c r="D137" s="295"/>
      <c r="E137" s="290"/>
      <c r="F137" s="296"/>
      <c r="G137" s="290"/>
      <c r="H137" s="290"/>
      <c r="I137" s="295"/>
      <c r="J137" s="290"/>
      <c r="K137" s="296"/>
      <c r="L137" s="289"/>
      <c r="M137" s="289"/>
      <c r="N137" s="289"/>
      <c r="O137" s="214"/>
      <c r="P137" s="214"/>
      <c r="Q137" s="214"/>
      <c r="R137" s="214"/>
      <c r="S137" s="214"/>
      <c r="T137" s="214"/>
      <c r="U137" s="214"/>
      <c r="V137" s="214"/>
      <c r="W137" s="214"/>
      <c r="X137" s="214"/>
      <c r="Y137" s="214"/>
      <c r="Z137" s="214"/>
      <c r="AA137" s="214"/>
      <c r="AB137" s="214"/>
      <c r="AC137" s="214"/>
      <c r="AD137" s="214"/>
      <c r="AE137" s="214"/>
      <c r="AF137" s="214"/>
      <c r="AG137" s="214"/>
      <c r="AH137" s="214"/>
      <c r="AI137" s="214"/>
      <c r="AJ137" s="214"/>
    </row>
    <row r="138" spans="1:36" ht="20" thickBot="1">
      <c r="A138" s="214"/>
      <c r="B138" s="1891"/>
      <c r="C138" s="290"/>
      <c r="D138" s="300" t="s">
        <v>236</v>
      </c>
      <c r="E138" s="517"/>
      <c r="F138" s="517"/>
      <c r="G138" s="518"/>
      <c r="H138" s="290"/>
      <c r="I138" s="295"/>
      <c r="J138" s="295"/>
      <c r="K138" s="290"/>
      <c r="L138" s="297" t="s">
        <v>235</v>
      </c>
      <c r="M138" s="298"/>
      <c r="N138" s="298"/>
      <c r="O138" s="299"/>
      <c r="P138" s="214"/>
      <c r="Q138" s="214"/>
      <c r="R138" s="214"/>
      <c r="S138" s="297" t="s">
        <v>3262</v>
      </c>
      <c r="T138" s="298"/>
      <c r="U138" s="298"/>
      <c r="V138" s="299"/>
      <c r="W138" s="214"/>
      <c r="X138" s="214"/>
      <c r="Y138" s="214"/>
      <c r="Z138" s="214"/>
      <c r="AA138" s="214"/>
      <c r="AB138" s="214"/>
      <c r="AC138" s="214"/>
      <c r="AD138" s="214"/>
      <c r="AE138" s="214"/>
      <c r="AF138" s="214"/>
      <c r="AG138" s="214"/>
      <c r="AH138" s="214"/>
      <c r="AI138" s="214"/>
      <c r="AJ138" s="214"/>
    </row>
    <row r="139" spans="1:36">
      <c r="A139" s="214"/>
      <c r="B139" s="1891"/>
      <c r="C139" s="290"/>
      <c r="D139" s="300" t="s">
        <v>3339</v>
      </c>
      <c r="E139" s="301"/>
      <c r="F139" s="301"/>
      <c r="G139" s="304"/>
      <c r="H139" s="290"/>
      <c r="I139" s="295"/>
      <c r="J139" s="295"/>
      <c r="K139" s="290"/>
      <c r="L139" s="300" t="s">
        <v>3254</v>
      </c>
      <c r="M139" s="301"/>
      <c r="N139" s="302">
        <f>P132</f>
        <v>0</v>
      </c>
      <c r="O139" s="303"/>
      <c r="P139" s="214"/>
      <c r="Q139" s="214"/>
      <c r="R139" s="214"/>
      <c r="S139" s="300" t="s">
        <v>3264</v>
      </c>
      <c r="T139" s="304"/>
      <c r="U139" s="302">
        <f>V129</f>
        <v>0</v>
      </c>
      <c r="V139" s="303"/>
      <c r="W139" s="214"/>
      <c r="X139" s="214"/>
      <c r="Y139" s="214"/>
      <c r="Z139" s="214"/>
      <c r="AA139" s="214"/>
      <c r="AB139" s="214"/>
      <c r="AC139" s="214"/>
      <c r="AD139" s="214"/>
      <c r="AE139" s="214"/>
      <c r="AF139" s="214"/>
      <c r="AG139" s="214"/>
      <c r="AH139" s="214"/>
      <c r="AI139" s="214"/>
      <c r="AJ139" s="214"/>
    </row>
    <row r="140" spans="1:36">
      <c r="A140" s="214"/>
      <c r="B140" s="1891"/>
      <c r="C140" s="290"/>
      <c r="D140" s="305" t="s">
        <v>237</v>
      </c>
      <c r="E140" s="289"/>
      <c r="F140" s="519">
        <f>'T5 - T7 | T9 - T16'!C22</f>
        <v>13950</v>
      </c>
      <c r="G140" s="520"/>
      <c r="H140" s="290"/>
      <c r="I140" s="290"/>
      <c r="J140" s="290"/>
      <c r="K140" s="290"/>
      <c r="L140" s="305" t="s">
        <v>132</v>
      </c>
      <c r="M140" s="295"/>
      <c r="N140" s="306" t="e">
        <f>VLOOKUP(N139,'T5 - T7 | T9 - T16'!B9:D13,3,FALSE)</f>
        <v>#N/A</v>
      </c>
      <c r="O140" s="307" t="s">
        <v>3260</v>
      </c>
      <c r="P140" s="214"/>
      <c r="Q140" s="214"/>
      <c r="R140" s="214"/>
      <c r="S140" s="305" t="s">
        <v>3248</v>
      </c>
      <c r="T140" s="307"/>
      <c r="U140" s="230" t="e">
        <f>VLOOKUP(U139,'T5 - T7 | T9 - T16'!B53:E54,4,FALSE)</f>
        <v>#N/A</v>
      </c>
      <c r="V140" s="307" t="s">
        <v>41</v>
      </c>
      <c r="W140" s="214"/>
      <c r="X140" s="214"/>
      <c r="Y140" s="214"/>
      <c r="Z140" s="214"/>
      <c r="AA140" s="214"/>
      <c r="AB140" s="214"/>
      <c r="AC140" s="214"/>
      <c r="AD140" s="214"/>
      <c r="AE140" s="214"/>
      <c r="AF140" s="214"/>
      <c r="AG140" s="214"/>
      <c r="AH140" s="214"/>
      <c r="AI140" s="214"/>
      <c r="AJ140" s="214"/>
    </row>
    <row r="141" spans="1:36" ht="17" thickBot="1">
      <c r="A141" s="214"/>
      <c r="B141" s="1891"/>
      <c r="C141" s="290"/>
      <c r="D141" s="308" t="s">
        <v>238</v>
      </c>
      <c r="E141" s="315"/>
      <c r="F141" s="219">
        <f>'T5 - T7 | T9 - T16'!C21</f>
        <v>85753</v>
      </c>
      <c r="G141" s="220"/>
      <c r="H141" s="290"/>
      <c r="I141" s="290"/>
      <c r="J141" s="290"/>
      <c r="K141" s="290"/>
      <c r="L141" s="308" t="s">
        <v>133</v>
      </c>
      <c r="M141" s="309"/>
      <c r="N141" s="310" t="e">
        <f>VLOOKUP(N139,'T5 - T7 | T9 - T16'!B9:D13,2,FALSE)</f>
        <v>#N/A</v>
      </c>
      <c r="O141" s="311" t="s">
        <v>3260</v>
      </c>
      <c r="P141" s="214"/>
      <c r="Q141" s="214"/>
      <c r="R141" s="214"/>
      <c r="S141" s="305" t="s">
        <v>132</v>
      </c>
      <c r="T141" s="312"/>
      <c r="U141" s="306" t="e">
        <f>VLOOKUP(U139,'T5 - T7 | T9 - T16'!B53:E54,3,FALSE)</f>
        <v>#N/A</v>
      </c>
      <c r="V141" s="307" t="s">
        <v>3260</v>
      </c>
      <c r="W141" s="214"/>
      <c r="X141" s="214"/>
      <c r="Y141" s="214"/>
      <c r="Z141" s="214"/>
      <c r="AA141" s="214"/>
      <c r="AB141" s="214"/>
      <c r="AC141" s="214"/>
      <c r="AD141" s="214"/>
      <c r="AE141" s="214"/>
      <c r="AF141" s="214"/>
      <c r="AG141" s="214"/>
      <c r="AH141" s="214"/>
      <c r="AI141" s="214"/>
      <c r="AJ141" s="214"/>
    </row>
    <row r="142" spans="1:36" ht="17" thickBot="1">
      <c r="A142" s="214"/>
      <c r="B142" s="1891"/>
      <c r="C142" s="290"/>
      <c r="D142" s="214"/>
      <c r="E142" s="214"/>
      <c r="F142" s="214"/>
      <c r="G142" s="214"/>
      <c r="H142" s="290"/>
      <c r="I142" s="295"/>
      <c r="J142" s="290"/>
      <c r="K142" s="313"/>
      <c r="L142" s="217"/>
      <c r="M142" s="289"/>
      <c r="N142" s="289"/>
      <c r="O142" s="214"/>
      <c r="P142" s="214"/>
      <c r="Q142" s="214"/>
      <c r="R142" s="214"/>
      <c r="S142" s="308" t="s">
        <v>133</v>
      </c>
      <c r="T142" s="314"/>
      <c r="U142" s="310" t="e">
        <f>VLOOKUP(U139,'T5 - T7 | T9 - T16'!B53:E54,2,FALSE)</f>
        <v>#N/A</v>
      </c>
      <c r="V142" s="311" t="s">
        <v>3260</v>
      </c>
      <c r="W142" s="214"/>
      <c r="X142" s="214"/>
      <c r="Y142" s="214"/>
      <c r="Z142" s="214"/>
      <c r="AA142" s="214"/>
      <c r="AB142" s="214"/>
      <c r="AC142" s="214"/>
      <c r="AD142" s="214"/>
      <c r="AE142" s="214"/>
      <c r="AF142" s="214"/>
      <c r="AG142" s="214"/>
      <c r="AH142" s="214"/>
      <c r="AI142" s="214"/>
      <c r="AJ142" s="214"/>
    </row>
    <row r="143" spans="1:36" ht="17" thickBot="1">
      <c r="A143" s="214"/>
      <c r="B143" s="1891"/>
      <c r="C143" s="290"/>
      <c r="D143" s="214"/>
      <c r="E143" s="214"/>
      <c r="F143" s="214"/>
      <c r="G143" s="214"/>
      <c r="H143" s="290"/>
      <c r="I143" s="295"/>
      <c r="J143" s="290"/>
      <c r="K143" s="313"/>
      <c r="L143" s="297" t="s">
        <v>3255</v>
      </c>
      <c r="M143" s="298"/>
      <c r="N143" s="298"/>
      <c r="O143" s="299"/>
      <c r="P143" s="214"/>
      <c r="Q143" s="214"/>
      <c r="R143" s="214"/>
      <c r="S143" s="217"/>
      <c r="T143" s="289"/>
      <c r="U143" s="289"/>
      <c r="V143" s="214"/>
      <c r="W143" s="214"/>
      <c r="X143" s="214"/>
      <c r="Y143" s="214"/>
      <c r="Z143" s="214"/>
      <c r="AA143" s="214"/>
      <c r="AB143" s="214"/>
      <c r="AC143" s="214"/>
      <c r="AD143" s="214"/>
      <c r="AE143" s="214"/>
      <c r="AF143" s="214"/>
      <c r="AG143" s="214"/>
      <c r="AH143" s="214"/>
      <c r="AI143" s="214"/>
      <c r="AJ143" s="214"/>
    </row>
    <row r="144" spans="1:36" ht="17" thickBot="1">
      <c r="A144" s="214"/>
      <c r="B144" s="1891"/>
      <c r="C144" s="290"/>
      <c r="D144" s="214"/>
      <c r="E144" s="214"/>
      <c r="F144" s="214"/>
      <c r="G144" s="214"/>
      <c r="H144" s="290"/>
      <c r="I144" s="290"/>
      <c r="J144" s="290"/>
      <c r="K144" s="290"/>
      <c r="L144" s="300" t="s">
        <v>3254</v>
      </c>
      <c r="M144" s="301"/>
      <c r="N144" s="302">
        <f>P132</f>
        <v>0</v>
      </c>
      <c r="O144" s="303"/>
      <c r="P144" s="214"/>
      <c r="Q144" s="214"/>
      <c r="R144" s="214"/>
      <c r="S144" s="297" t="s">
        <v>3263</v>
      </c>
      <c r="T144" s="298"/>
      <c r="U144" s="298"/>
      <c r="V144" s="299"/>
      <c r="W144" s="214"/>
      <c r="X144" s="214"/>
      <c r="Y144" s="214"/>
      <c r="Z144" s="214"/>
      <c r="AA144" s="214"/>
      <c r="AB144" s="214"/>
      <c r="AC144" s="214"/>
      <c r="AD144" s="214"/>
      <c r="AE144" s="214"/>
      <c r="AF144" s="214"/>
      <c r="AG144" s="214"/>
      <c r="AH144" s="214"/>
      <c r="AI144" s="214"/>
      <c r="AJ144" s="214"/>
    </row>
    <row r="145" spans="1:36" ht="17" thickBot="1">
      <c r="A145" s="214"/>
      <c r="B145" s="1891"/>
      <c r="C145" s="290"/>
      <c r="D145" s="290"/>
      <c r="E145" s="290"/>
      <c r="F145" s="216"/>
      <c r="G145" s="216"/>
      <c r="H145" s="290"/>
      <c r="I145" s="290"/>
      <c r="J145" s="290"/>
      <c r="K145" s="216"/>
      <c r="L145" s="308" t="s">
        <v>3765</v>
      </c>
      <c r="M145" s="309"/>
      <c r="N145" s="316" t="e">
        <f>VLOOKUP(N144,'T5 - T7 | T9 - T16'!B39:D43,2,FALSE)</f>
        <v>#N/A</v>
      </c>
      <c r="O145" s="311" t="str">
        <f>IF(N139=M132,"","GJ")</f>
        <v/>
      </c>
      <c r="P145" s="214"/>
      <c r="Q145" s="214"/>
      <c r="R145" s="214"/>
      <c r="S145" s="300" t="s">
        <v>3265</v>
      </c>
      <c r="T145" s="301"/>
      <c r="U145" s="302">
        <f>I126</f>
        <v>0</v>
      </c>
      <c r="V145" s="303"/>
      <c r="W145" s="214"/>
      <c r="X145" s="214"/>
      <c r="Y145" s="214"/>
      <c r="Z145" s="214"/>
      <c r="AA145" s="214"/>
      <c r="AB145" s="214"/>
      <c r="AC145" s="214"/>
      <c r="AD145" s="214"/>
      <c r="AE145" s="214"/>
      <c r="AF145" s="214"/>
      <c r="AG145" s="214"/>
      <c r="AH145" s="214"/>
      <c r="AI145" s="214"/>
      <c r="AJ145" s="214"/>
    </row>
    <row r="146" spans="1:36" ht="17" thickBot="1">
      <c r="A146" s="214"/>
      <c r="B146" s="1891"/>
      <c r="C146" s="290"/>
      <c r="D146" s="939" t="s">
        <v>3293</v>
      </c>
      <c r="E146" s="940"/>
      <c r="F146" s="940"/>
      <c r="G146" s="941"/>
      <c r="H146" s="290"/>
      <c r="I146" s="290"/>
      <c r="J146" s="290"/>
      <c r="K146" s="216"/>
      <c r="L146" s="217"/>
      <c r="M146" s="289"/>
      <c r="N146" s="289"/>
      <c r="O146" s="214"/>
      <c r="P146" s="214"/>
      <c r="Q146" s="214"/>
      <c r="R146" s="214"/>
      <c r="S146" s="308" t="s">
        <v>3760</v>
      </c>
      <c r="T146" s="309"/>
      <c r="U146" s="316" t="e">
        <f>VLOOKUP(U145,'T5 - T7 | T9 - T16'!H9:I11,2,FALSE)</f>
        <v>#N/A</v>
      </c>
      <c r="V146" s="311" t="s">
        <v>3242</v>
      </c>
      <c r="W146" s="214"/>
      <c r="X146" s="214"/>
      <c r="Y146" s="214"/>
      <c r="Z146" s="214"/>
      <c r="AA146" s="214"/>
      <c r="AB146" s="214"/>
      <c r="AC146" s="214"/>
      <c r="AD146" s="214"/>
      <c r="AE146" s="214"/>
      <c r="AF146" s="214"/>
      <c r="AG146" s="214"/>
      <c r="AH146" s="214"/>
      <c r="AI146" s="214"/>
      <c r="AJ146" s="214"/>
    </row>
    <row r="147" spans="1:36" ht="17" thickBot="1">
      <c r="A147" s="214"/>
      <c r="B147" s="1891"/>
      <c r="C147" s="290"/>
      <c r="D147" s="942" t="s">
        <v>3265</v>
      </c>
      <c r="E147" s="943"/>
      <c r="F147" s="961">
        <f>I126</f>
        <v>0</v>
      </c>
      <c r="G147" s="962"/>
      <c r="H147" s="290"/>
      <c r="I147" s="290"/>
      <c r="J147" s="290"/>
      <c r="K147" s="218"/>
      <c r="L147" s="297" t="s">
        <v>3341</v>
      </c>
      <c r="M147" s="317"/>
      <c r="N147" s="317"/>
      <c r="O147" s="318"/>
      <c r="P147" s="214"/>
      <c r="Q147" s="214"/>
      <c r="R147" s="214"/>
      <c r="S147" s="214"/>
      <c r="T147" s="214"/>
      <c r="U147" s="214"/>
      <c r="V147" s="214"/>
      <c r="W147" s="214"/>
      <c r="X147" s="214"/>
      <c r="Y147" s="214"/>
      <c r="Z147" s="214"/>
      <c r="AA147" s="214"/>
      <c r="AB147" s="214"/>
      <c r="AC147" s="214"/>
      <c r="AD147" s="214"/>
      <c r="AE147" s="214"/>
      <c r="AF147" s="214"/>
      <c r="AG147" s="214"/>
      <c r="AH147" s="214"/>
      <c r="AI147" s="214"/>
      <c r="AJ147" s="214"/>
    </row>
    <row r="148" spans="1:36">
      <c r="A148" s="214"/>
      <c r="B148" s="1891"/>
      <c r="C148" s="290"/>
      <c r="D148" s="944" t="s">
        <v>132</v>
      </c>
      <c r="E148" s="945"/>
      <c r="F148" s="963">
        <f>'T5 - T7 | T9 - T16'!J20</f>
        <v>75.875873960000007</v>
      </c>
      <c r="G148" s="948" t="s">
        <v>3260</v>
      </c>
      <c r="H148" s="290"/>
      <c r="I148" s="290"/>
      <c r="J148" s="290"/>
      <c r="K148" s="290"/>
      <c r="L148" s="300" t="s">
        <v>3256</v>
      </c>
      <c r="M148" s="301"/>
      <c r="N148" s="222">
        <f>N135</f>
        <v>0</v>
      </c>
      <c r="O148" s="304" t="s">
        <v>3322</v>
      </c>
      <c r="P148" s="214"/>
      <c r="Q148" s="214"/>
      <c r="R148" s="214"/>
      <c r="S148" s="214"/>
      <c r="T148" s="214"/>
      <c r="U148" s="214"/>
      <c r="V148" s="214"/>
      <c r="W148" s="214"/>
      <c r="X148" s="214"/>
      <c r="Y148" s="214"/>
      <c r="Z148" s="214"/>
      <c r="AA148" s="214"/>
      <c r="AB148" s="214"/>
      <c r="AC148" s="214"/>
      <c r="AD148" s="214"/>
      <c r="AE148" s="214"/>
      <c r="AF148" s="214"/>
      <c r="AG148" s="214"/>
      <c r="AH148" s="214"/>
      <c r="AI148" s="214"/>
      <c r="AJ148" s="214"/>
    </row>
    <row r="149" spans="1:36" ht="17" thickBot="1">
      <c r="A149" s="214"/>
      <c r="B149" s="1891"/>
      <c r="C149" s="290"/>
      <c r="D149" s="946" t="s">
        <v>133</v>
      </c>
      <c r="E149" s="947"/>
      <c r="F149" s="964">
        <f>'T5 - T7 | T9 - T16'!I20</f>
        <v>1.5408826449999999</v>
      </c>
      <c r="G149" s="949" t="s">
        <v>3260</v>
      </c>
      <c r="H149" s="290"/>
      <c r="I149" s="290"/>
      <c r="J149" s="290"/>
      <c r="K149" s="290"/>
      <c r="L149" s="305" t="s">
        <v>3257</v>
      </c>
      <c r="M149" s="295"/>
      <c r="N149" s="223">
        <f>N136</f>
        <v>0</v>
      </c>
      <c r="O149" s="307" t="s">
        <v>3322</v>
      </c>
      <c r="P149" s="289"/>
      <c r="Q149" s="214"/>
      <c r="R149" s="214"/>
      <c r="S149" s="214"/>
      <c r="T149" s="214"/>
      <c r="U149" s="214"/>
      <c r="V149" s="214"/>
      <c r="W149" s="214"/>
      <c r="X149" s="214"/>
      <c r="Y149" s="214"/>
      <c r="Z149" s="214"/>
      <c r="AA149" s="214"/>
      <c r="AB149" s="214"/>
      <c r="AC149" s="214"/>
      <c r="AD149" s="214"/>
      <c r="AE149" s="214"/>
      <c r="AF149" s="214"/>
      <c r="AG149" s="214"/>
      <c r="AH149" s="214"/>
      <c r="AI149" s="214"/>
      <c r="AJ149" s="214"/>
    </row>
    <row r="150" spans="1:36" ht="17" thickBot="1">
      <c r="A150" s="214"/>
      <c r="B150" s="1891"/>
      <c r="C150" s="290"/>
      <c r="D150" s="217"/>
      <c r="E150" s="289"/>
      <c r="F150" s="289"/>
      <c r="G150" s="214"/>
      <c r="H150" s="290"/>
      <c r="I150" s="290"/>
      <c r="J150" s="290"/>
      <c r="K150" s="290"/>
      <c r="L150" s="319" t="s">
        <v>3258</v>
      </c>
      <c r="M150" s="289"/>
      <c r="N150" s="224">
        <v>21</v>
      </c>
      <c r="O150" s="307" t="s">
        <v>3245</v>
      </c>
      <c r="P150" s="289"/>
      <c r="Q150" s="214"/>
      <c r="R150" s="214"/>
      <c r="S150" s="214"/>
      <c r="T150" s="214"/>
      <c r="U150" s="214"/>
      <c r="V150" s="214"/>
      <c r="W150" s="214"/>
      <c r="X150" s="214"/>
      <c r="Y150" s="214"/>
      <c r="Z150" s="214"/>
      <c r="AA150" s="214"/>
      <c r="AB150" s="214"/>
      <c r="AC150" s="214"/>
      <c r="AD150" s="214"/>
      <c r="AE150" s="214"/>
      <c r="AF150" s="214"/>
      <c r="AG150" s="214"/>
      <c r="AH150" s="214"/>
      <c r="AI150" s="214"/>
      <c r="AJ150" s="214"/>
    </row>
    <row r="151" spans="1:36" ht="17" thickBot="1">
      <c r="A151" s="214"/>
      <c r="B151" s="1891"/>
      <c r="C151" s="290"/>
      <c r="D151" s="939" t="s">
        <v>3279</v>
      </c>
      <c r="E151" s="940"/>
      <c r="F151" s="940"/>
      <c r="G151" s="941"/>
      <c r="H151" s="290"/>
      <c r="I151" s="290"/>
      <c r="J151" s="290"/>
      <c r="K151" s="290"/>
      <c r="L151" s="319" t="s">
        <v>3259</v>
      </c>
      <c r="M151" s="289"/>
      <c r="N151" s="224">
        <v>32</v>
      </c>
      <c r="O151" s="307" t="s">
        <v>3245</v>
      </c>
      <c r="P151" s="214"/>
      <c r="Q151" s="214"/>
      <c r="R151" s="214"/>
      <c r="S151" s="214"/>
      <c r="T151" s="214"/>
      <c r="U151" s="214"/>
      <c r="V151" s="214"/>
      <c r="W151" s="214"/>
      <c r="X151" s="214"/>
      <c r="Y151" s="214"/>
      <c r="Z151" s="214"/>
      <c r="AA151" s="214"/>
      <c r="AB151" s="214"/>
      <c r="AC151" s="214"/>
      <c r="AD151" s="214"/>
      <c r="AE151" s="214"/>
      <c r="AF151" s="214"/>
      <c r="AG151" s="214"/>
      <c r="AH151" s="214"/>
      <c r="AI151" s="214"/>
      <c r="AJ151" s="214"/>
    </row>
    <row r="152" spans="1:36" ht="17" thickBot="1">
      <c r="A152" s="214"/>
      <c r="B152" s="1891"/>
      <c r="C152" s="290"/>
      <c r="D152" s="942" t="s">
        <v>3265</v>
      </c>
      <c r="E152" s="943"/>
      <c r="F152" s="961">
        <f>I126</f>
        <v>0</v>
      </c>
      <c r="G152" s="962"/>
      <c r="H152" s="290"/>
      <c r="I152" s="290"/>
      <c r="J152" s="290"/>
      <c r="K152" s="290"/>
      <c r="L152" s="308" t="s">
        <v>3246</v>
      </c>
      <c r="M152" s="315"/>
      <c r="N152" s="310">
        <f>(N148*N150)+(N149*N151)</f>
        <v>0</v>
      </c>
      <c r="O152" s="481" t="s">
        <v>3247</v>
      </c>
      <c r="P152" s="214"/>
      <c r="Q152" s="214"/>
      <c r="R152" s="214"/>
      <c r="S152" s="214"/>
      <c r="T152" s="214"/>
      <c r="U152" s="214"/>
      <c r="V152" s="214"/>
      <c r="W152" s="214"/>
      <c r="X152" s="214"/>
      <c r="Y152" s="214"/>
      <c r="Z152" s="214"/>
      <c r="AA152" s="214"/>
      <c r="AB152" s="214"/>
      <c r="AC152" s="214"/>
      <c r="AD152" s="214"/>
      <c r="AE152" s="214"/>
      <c r="AF152" s="214"/>
      <c r="AG152" s="214"/>
      <c r="AH152" s="214"/>
      <c r="AI152" s="214"/>
      <c r="AJ152" s="214"/>
    </row>
    <row r="153" spans="1:36" ht="17" thickBot="1">
      <c r="A153" s="214"/>
      <c r="B153" s="1891"/>
      <c r="C153" s="290"/>
      <c r="D153" s="946" t="s">
        <v>3760</v>
      </c>
      <c r="E153" s="947"/>
      <c r="F153" s="965" t="e">
        <f>VLOOKUP(F152,'T5 - T7 | T9 - T16'!H28:I30,2,FALSE)</f>
        <v>#N/A</v>
      </c>
      <c r="G153" s="949" t="s">
        <v>3242</v>
      </c>
      <c r="H153" s="290"/>
      <c r="I153" s="290"/>
      <c r="J153" s="290"/>
      <c r="K153" s="290"/>
      <c r="L153" s="295"/>
      <c r="M153" s="289"/>
      <c r="N153" s="480"/>
      <c r="O153" s="289"/>
      <c r="P153" s="214"/>
      <c r="Q153" s="214"/>
      <c r="R153" s="214"/>
      <c r="S153" s="214"/>
      <c r="T153" s="214"/>
      <c r="U153" s="214"/>
      <c r="V153" s="214"/>
      <c r="W153" s="214"/>
      <c r="X153" s="214"/>
      <c r="Y153" s="214"/>
      <c r="Z153" s="214"/>
      <c r="AA153" s="214"/>
      <c r="AB153" s="214"/>
      <c r="AC153" s="214"/>
      <c r="AD153" s="214"/>
      <c r="AE153" s="214"/>
      <c r="AF153" s="214"/>
      <c r="AG153" s="214"/>
      <c r="AH153" s="214"/>
      <c r="AI153" s="214"/>
      <c r="AJ153" s="214"/>
    </row>
    <row r="154" spans="1:36" ht="17" thickBot="1">
      <c r="A154" s="214"/>
      <c r="B154" s="1891"/>
      <c r="C154" s="290"/>
      <c r="D154" s="290"/>
      <c r="E154" s="290"/>
      <c r="F154" s="218"/>
      <c r="G154" s="218"/>
      <c r="H154" s="290"/>
      <c r="I154" s="290"/>
      <c r="J154" s="290"/>
      <c r="K154" s="290"/>
      <c r="L154" s="295"/>
      <c r="M154" s="295"/>
      <c r="N154" s="320"/>
      <c r="O154" s="289"/>
      <c r="P154" s="214"/>
      <c r="Q154" s="214"/>
      <c r="R154" s="214"/>
      <c r="S154" s="214"/>
      <c r="T154" s="214"/>
      <c r="U154" s="214"/>
      <c r="V154" s="214"/>
      <c r="W154" s="214"/>
      <c r="X154" s="214"/>
      <c r="Y154" s="214"/>
      <c r="Z154" s="214"/>
      <c r="AA154" s="214"/>
      <c r="AB154" s="214"/>
      <c r="AC154" s="214"/>
      <c r="AD154" s="214"/>
      <c r="AE154" s="214"/>
      <c r="AF154" s="214"/>
      <c r="AG154" s="214"/>
      <c r="AH154" s="214"/>
      <c r="AI154" s="214"/>
      <c r="AJ154" s="214"/>
    </row>
    <row r="155" spans="1:36">
      <c r="A155" s="214"/>
      <c r="B155" s="1891"/>
      <c r="C155" s="290"/>
      <c r="D155" s="950"/>
      <c r="E155" s="943"/>
      <c r="F155" s="951" t="s">
        <v>26</v>
      </c>
      <c r="G155" s="952" t="s">
        <v>25</v>
      </c>
      <c r="H155" s="290"/>
      <c r="I155" s="290"/>
      <c r="J155" s="290"/>
      <c r="K155" s="290"/>
      <c r="L155" s="321"/>
      <c r="M155" s="301"/>
      <c r="N155" s="225" t="s">
        <v>26</v>
      </c>
      <c r="O155" s="226" t="s">
        <v>25</v>
      </c>
      <c r="P155" s="214"/>
      <c r="Q155" s="214"/>
      <c r="R155" s="214"/>
      <c r="S155" s="321"/>
      <c r="T155" s="301"/>
      <c r="U155" s="225" t="s">
        <v>26</v>
      </c>
      <c r="V155" s="226" t="s">
        <v>25</v>
      </c>
      <c r="W155" s="214"/>
      <c r="X155" s="214"/>
      <c r="Y155" s="321"/>
      <c r="Z155" s="301"/>
      <c r="AA155" s="225" t="s">
        <v>26</v>
      </c>
      <c r="AB155" s="226" t="s">
        <v>25</v>
      </c>
      <c r="AC155" s="214"/>
      <c r="AD155" s="214"/>
      <c r="AE155" s="214"/>
      <c r="AF155" s="214"/>
      <c r="AG155" s="214"/>
      <c r="AH155" s="214"/>
      <c r="AI155" s="214"/>
      <c r="AJ155" s="214"/>
    </row>
    <row r="156" spans="1:36">
      <c r="A156" s="214"/>
      <c r="B156" s="1891"/>
      <c r="C156" s="290"/>
      <c r="D156" s="953" t="s">
        <v>112</v>
      </c>
      <c r="E156" s="954"/>
      <c r="F156" s="955" t="e">
        <f>F148*F153/(G129+1)</f>
        <v>#N/A</v>
      </c>
      <c r="G156" s="956" t="e">
        <f>F149*F153/(G129+1)</f>
        <v>#N/A</v>
      </c>
      <c r="H156" s="290"/>
      <c r="I156" s="290"/>
      <c r="J156" s="290"/>
      <c r="K156" s="290"/>
      <c r="L156" s="319" t="s">
        <v>112</v>
      </c>
      <c r="M156" s="289"/>
      <c r="N156" s="217" t="e">
        <f>N140*N145*N152/(G129+1)</f>
        <v>#N/A</v>
      </c>
      <c r="O156" s="227" t="e">
        <f>N141*N145*N152/(G129+1)</f>
        <v>#N/A</v>
      </c>
      <c r="P156" s="214"/>
      <c r="Q156" s="214"/>
      <c r="R156" s="214"/>
      <c r="S156" s="319" t="s">
        <v>112</v>
      </c>
      <c r="T156" s="289"/>
      <c r="U156" s="217" t="e">
        <f>(U141*U140)*U146/(G129+1)</f>
        <v>#N/A</v>
      </c>
      <c r="V156" s="227" t="e">
        <f>(U142*U140)*U146/(G129+1)</f>
        <v>#N/A</v>
      </c>
      <c r="W156" s="214"/>
      <c r="X156" s="214"/>
      <c r="Y156" s="319" t="s">
        <v>112</v>
      </c>
      <c r="Z156" s="289"/>
      <c r="AA156" s="217">
        <v>0</v>
      </c>
      <c r="AB156" s="227">
        <v>0</v>
      </c>
      <c r="AC156" s="214"/>
      <c r="AD156" s="214"/>
      <c r="AE156" s="214"/>
      <c r="AF156" s="214"/>
      <c r="AG156" s="214"/>
      <c r="AH156" s="214"/>
      <c r="AI156" s="214"/>
      <c r="AJ156" s="214"/>
    </row>
    <row r="157" spans="1:36" ht="17" thickBot="1">
      <c r="A157" s="214"/>
      <c r="B157" s="1892"/>
      <c r="C157" s="290"/>
      <c r="D157" s="957" t="s">
        <v>113</v>
      </c>
      <c r="E157" s="958"/>
      <c r="F157" s="959" t="e">
        <f>F156*F140/(10^6)</f>
        <v>#N/A</v>
      </c>
      <c r="G157" s="960" t="e">
        <f>G156*F141/(10^6)</f>
        <v>#N/A</v>
      </c>
      <c r="H157" s="290"/>
      <c r="I157" s="290"/>
      <c r="J157" s="290"/>
      <c r="K157" s="290"/>
      <c r="L157" s="322" t="s">
        <v>113</v>
      </c>
      <c r="M157" s="315"/>
      <c r="N157" s="228" t="e">
        <f>N156*F140/(10^6)</f>
        <v>#N/A</v>
      </c>
      <c r="O157" s="229" t="e">
        <f>O156*F141/(10^6)</f>
        <v>#N/A</v>
      </c>
      <c r="P157" s="214"/>
      <c r="Q157" s="214"/>
      <c r="R157" s="214"/>
      <c r="S157" s="322" t="s">
        <v>113</v>
      </c>
      <c r="T157" s="315"/>
      <c r="U157" s="228" t="e">
        <f>U156*F140/(10^6)</f>
        <v>#N/A</v>
      </c>
      <c r="V157" s="229" t="e">
        <f>V156*F141/(10^6)</f>
        <v>#N/A</v>
      </c>
      <c r="W157" s="214"/>
      <c r="X157" s="214"/>
      <c r="Y157" s="322" t="s">
        <v>113</v>
      </c>
      <c r="Z157" s="315"/>
      <c r="AA157" s="228">
        <f>AA156*F140/(10^6)</f>
        <v>0</v>
      </c>
      <c r="AB157" s="229">
        <f>AB156*F141/(10^6)</f>
        <v>0</v>
      </c>
      <c r="AC157" s="214"/>
      <c r="AD157" s="214"/>
      <c r="AE157" s="214"/>
      <c r="AF157" s="214"/>
      <c r="AG157" s="214"/>
      <c r="AH157" s="214"/>
      <c r="AI157" s="214"/>
      <c r="AJ157" s="214"/>
    </row>
    <row r="158" spans="1:36">
      <c r="A158" s="214"/>
      <c r="B158" s="221"/>
      <c r="C158" s="290"/>
      <c r="D158" s="290"/>
      <c r="E158" s="290"/>
      <c r="F158" s="218"/>
      <c r="G158" s="218"/>
      <c r="H158" s="290"/>
      <c r="I158" s="290"/>
      <c r="J158" s="290"/>
      <c r="K158" s="290"/>
      <c r="L158" s="214"/>
      <c r="M158" s="214"/>
      <c r="N158" s="214"/>
      <c r="O158" s="214"/>
      <c r="P158" s="214"/>
      <c r="Q158" s="214"/>
      <c r="R158" s="214"/>
      <c r="S158" s="214"/>
      <c r="T158" s="214"/>
      <c r="U158" s="214"/>
      <c r="V158" s="214"/>
      <c r="W158" s="214"/>
      <c r="X158" s="214"/>
      <c r="Y158" s="214"/>
      <c r="Z158" s="214"/>
      <c r="AA158" s="214"/>
      <c r="AB158" s="214"/>
      <c r="AC158" s="214"/>
      <c r="AD158" s="214"/>
      <c r="AE158" s="214"/>
      <c r="AF158" s="214"/>
      <c r="AG158" s="214"/>
      <c r="AH158" s="214"/>
      <c r="AI158" s="214"/>
      <c r="AJ158" s="214"/>
    </row>
    <row r="159" spans="1:36" ht="17" thickBot="1">
      <c r="A159" s="325"/>
      <c r="B159" s="325"/>
      <c r="C159" s="325"/>
      <c r="D159" s="325"/>
      <c r="E159" s="325"/>
      <c r="F159" s="325"/>
      <c r="G159" s="325"/>
      <c r="H159" s="325"/>
      <c r="I159" s="325"/>
      <c r="J159" s="325"/>
      <c r="K159" s="325"/>
      <c r="L159" s="325"/>
      <c r="M159" s="325"/>
      <c r="N159" s="325"/>
      <c r="O159" s="325"/>
      <c r="P159" s="325"/>
      <c r="Q159" s="325"/>
      <c r="R159" s="325"/>
      <c r="S159" s="325"/>
      <c r="T159" s="325"/>
      <c r="U159" s="325"/>
      <c r="V159" s="325"/>
      <c r="W159" s="325"/>
      <c r="X159" s="325"/>
      <c r="Y159" s="325"/>
      <c r="Z159" s="325"/>
      <c r="AA159" s="325"/>
      <c r="AB159" s="325"/>
      <c r="AC159" s="325"/>
      <c r="AD159" s="325"/>
      <c r="AE159" s="325"/>
      <c r="AF159" s="325"/>
      <c r="AG159" s="325"/>
      <c r="AH159" s="325"/>
      <c r="AI159" s="325"/>
      <c r="AJ159" s="325"/>
    </row>
    <row r="160" spans="1:36" ht="17" customHeight="1" thickBot="1">
      <c r="A160" s="325"/>
      <c r="B160" s="1840" t="s">
        <v>3287</v>
      </c>
      <c r="C160" s="325"/>
      <c r="D160" s="325"/>
      <c r="E160" s="325"/>
      <c r="F160" s="325"/>
      <c r="G160" s="325"/>
      <c r="H160" s="325"/>
      <c r="I160" s="325"/>
      <c r="J160" s="325"/>
      <c r="K160" s="325"/>
      <c r="L160" s="325"/>
      <c r="M160" s="325"/>
      <c r="N160" s="325"/>
      <c r="O160" s="325"/>
      <c r="P160" s="325"/>
      <c r="Q160" s="325"/>
      <c r="R160" s="325"/>
      <c r="S160" s="325"/>
      <c r="T160" s="325"/>
      <c r="U160" s="325"/>
      <c r="V160" s="325"/>
      <c r="W160" s="325"/>
      <c r="X160" s="325"/>
      <c r="Y160" s="325"/>
      <c r="Z160" s="325"/>
      <c r="AA160" s="325"/>
      <c r="AB160" s="325"/>
      <c r="AC160" s="325"/>
      <c r="AD160" s="325"/>
      <c r="AE160" s="325"/>
      <c r="AF160" s="325"/>
      <c r="AG160" s="325"/>
      <c r="AH160" s="325"/>
      <c r="AI160" s="325"/>
      <c r="AJ160" s="325"/>
    </row>
    <row r="161" spans="1:36" ht="16" customHeight="1">
      <c r="A161" s="325"/>
      <c r="B161" s="1841"/>
      <c r="C161" s="325"/>
      <c r="D161" s="325"/>
      <c r="E161" s="1952" t="s">
        <v>3275</v>
      </c>
      <c r="F161" s="1953"/>
      <c r="G161" s="1953"/>
      <c r="H161" s="1953"/>
      <c r="I161" s="1954"/>
      <c r="J161" s="325"/>
      <c r="K161" s="325"/>
      <c r="L161" s="325"/>
      <c r="M161" s="1952" t="s">
        <v>3276</v>
      </c>
      <c r="N161" s="1953"/>
      <c r="O161" s="1953"/>
      <c r="P161" s="1953"/>
      <c r="Q161" s="1954"/>
      <c r="R161" s="325"/>
      <c r="S161" s="325"/>
      <c r="T161" s="325"/>
      <c r="U161" s="325"/>
      <c r="V161" s="325"/>
      <c r="W161" s="325"/>
      <c r="X161" s="325"/>
      <c r="Y161" s="325"/>
      <c r="Z161" s="325"/>
      <c r="AA161" s="325"/>
      <c r="AB161" s="325"/>
      <c r="AC161" s="325"/>
      <c r="AD161" s="325"/>
      <c r="AE161" s="325"/>
      <c r="AF161" s="325"/>
      <c r="AG161" s="325"/>
      <c r="AH161" s="325"/>
      <c r="AI161" s="325"/>
      <c r="AJ161" s="325"/>
    </row>
    <row r="162" spans="1:36" ht="17" customHeight="1" thickBot="1">
      <c r="A162" s="325"/>
      <c r="B162" s="1841"/>
      <c r="C162" s="325"/>
      <c r="D162" s="325"/>
      <c r="E162" s="1955"/>
      <c r="F162" s="1956"/>
      <c r="G162" s="1956"/>
      <c r="H162" s="1956"/>
      <c r="I162" s="1957"/>
      <c r="J162" s="325"/>
      <c r="K162" s="325"/>
      <c r="L162" s="325"/>
      <c r="M162" s="1955"/>
      <c r="N162" s="1956"/>
      <c r="O162" s="1956"/>
      <c r="P162" s="1956"/>
      <c r="Q162" s="1957"/>
      <c r="R162" s="325"/>
      <c r="S162" s="325"/>
      <c r="T162" s="325"/>
      <c r="U162" s="325"/>
      <c r="V162" s="325"/>
      <c r="W162" s="325"/>
      <c r="X162" s="325"/>
      <c r="Y162" s="325"/>
      <c r="Z162" s="325"/>
      <c r="AA162" s="325"/>
      <c r="AB162" s="325"/>
      <c r="AC162" s="325"/>
      <c r="AD162" s="325"/>
      <c r="AE162" s="325"/>
      <c r="AF162" s="325"/>
      <c r="AG162" s="325"/>
      <c r="AH162" s="325"/>
      <c r="AI162" s="325"/>
      <c r="AJ162" s="325"/>
    </row>
    <row r="163" spans="1:36">
      <c r="A163" s="325"/>
      <c r="B163" s="1841"/>
      <c r="C163" s="325"/>
      <c r="D163" s="326"/>
      <c r="E163" s="326"/>
      <c r="F163" s="326"/>
      <c r="G163" s="326"/>
      <c r="H163" s="326"/>
      <c r="I163" s="326"/>
      <c r="J163" s="326"/>
      <c r="K163" s="325"/>
      <c r="L163" s="326"/>
      <c r="M163" s="326"/>
      <c r="N163" s="326"/>
      <c r="O163" s="326"/>
      <c r="P163" s="326"/>
      <c r="Q163" s="326"/>
      <c r="R163" s="326"/>
      <c r="S163" s="325"/>
      <c r="T163" s="325"/>
      <c r="U163" s="325"/>
      <c r="V163" s="325"/>
      <c r="W163" s="325"/>
      <c r="X163" s="325"/>
      <c r="Y163" s="325"/>
      <c r="Z163" s="325"/>
      <c r="AA163" s="325"/>
      <c r="AB163" s="325"/>
      <c r="AC163" s="325"/>
      <c r="AD163" s="325"/>
      <c r="AE163" s="325"/>
      <c r="AF163" s="325"/>
      <c r="AG163" s="325"/>
      <c r="AH163" s="325"/>
      <c r="AI163" s="325"/>
      <c r="AJ163" s="325"/>
    </row>
    <row r="164" spans="1:36" ht="17">
      <c r="A164" s="325"/>
      <c r="B164" s="1841"/>
      <c r="C164" s="325"/>
      <c r="D164" s="546" t="s">
        <v>3269</v>
      </c>
      <c r="E164" s="212" t="s">
        <v>3447</v>
      </c>
      <c r="F164" s="212"/>
      <c r="G164" s="212"/>
      <c r="H164" s="291"/>
      <c r="I164" s="291"/>
      <c r="J164" s="291"/>
      <c r="K164" s="325"/>
      <c r="L164" s="546" t="s">
        <v>3338</v>
      </c>
      <c r="M164" s="212" t="s">
        <v>3292</v>
      </c>
      <c r="N164" s="212"/>
      <c r="O164" s="212"/>
      <c r="P164" s="291"/>
      <c r="Q164" s="291"/>
      <c r="R164" s="291"/>
      <c r="S164" s="325"/>
      <c r="T164" s="325"/>
      <c r="U164" s="325"/>
      <c r="V164" s="325"/>
      <c r="W164" s="325"/>
      <c r="X164" s="325"/>
      <c r="Y164" s="325"/>
      <c r="Z164" s="325"/>
      <c r="AA164" s="325"/>
      <c r="AB164" s="325"/>
      <c r="AC164" s="325"/>
      <c r="AD164" s="325"/>
      <c r="AE164" s="325"/>
      <c r="AF164" s="325"/>
      <c r="AG164" s="325"/>
      <c r="AH164" s="325"/>
      <c r="AI164" s="325"/>
      <c r="AJ164" s="325"/>
    </row>
    <row r="165" spans="1:36" ht="17" thickBot="1">
      <c r="A165" s="325"/>
      <c r="B165" s="1841"/>
      <c r="C165" s="325"/>
      <c r="D165" s="548" t="s">
        <v>34</v>
      </c>
      <c r="E165" s="325" t="s">
        <v>88</v>
      </c>
      <c r="F165" s="325"/>
      <c r="G165" s="325"/>
      <c r="H165" s="325"/>
      <c r="I165" s="325"/>
      <c r="J165" s="325"/>
      <c r="K165" s="325"/>
      <c r="L165" s="548" t="s">
        <v>34</v>
      </c>
      <c r="M165" s="325" t="s">
        <v>88</v>
      </c>
      <c r="N165" s="325"/>
      <c r="O165" s="325"/>
      <c r="P165" s="325"/>
      <c r="Q165" s="325"/>
      <c r="R165" s="325"/>
      <c r="S165" s="325"/>
      <c r="T165" s="325"/>
      <c r="U165" s="325"/>
      <c r="V165" s="325"/>
      <c r="W165" s="325"/>
      <c r="X165" s="325"/>
      <c r="Y165" s="325"/>
      <c r="Z165" s="325"/>
      <c r="AA165" s="325"/>
      <c r="AB165" s="325"/>
      <c r="AC165" s="325"/>
      <c r="AD165" s="325"/>
      <c r="AE165" s="325"/>
      <c r="AF165" s="325"/>
      <c r="AG165" s="325"/>
      <c r="AH165" s="325"/>
      <c r="AI165" s="325"/>
      <c r="AJ165" s="325"/>
    </row>
    <row r="166" spans="1:36" ht="17" thickBot="1">
      <c r="A166" s="325"/>
      <c r="B166" s="1841"/>
      <c r="C166" s="325"/>
      <c r="D166" s="548" t="s">
        <v>35</v>
      </c>
      <c r="E166" s="325" t="s">
        <v>89</v>
      </c>
      <c r="F166" s="325"/>
      <c r="G166" s="325"/>
      <c r="H166" s="788" t="s">
        <v>89</v>
      </c>
      <c r="I166" s="325"/>
      <c r="J166" s="325"/>
      <c r="K166" s="325"/>
      <c r="L166" s="548" t="s">
        <v>35</v>
      </c>
      <c r="M166" s="325" t="s">
        <v>89</v>
      </c>
      <c r="N166" s="325"/>
      <c r="O166" s="325"/>
      <c r="P166" s="788" t="s">
        <v>89</v>
      </c>
      <c r="Q166" s="325"/>
      <c r="R166" s="325"/>
      <c r="S166" s="325"/>
      <c r="T166" s="325"/>
      <c r="U166" s="325"/>
      <c r="V166" s="325"/>
      <c r="W166" s="325"/>
      <c r="X166" s="325"/>
      <c r="Y166" s="325"/>
      <c r="Z166" s="325"/>
      <c r="AA166" s="325"/>
      <c r="AB166" s="325"/>
      <c r="AC166" s="325"/>
      <c r="AD166" s="325"/>
      <c r="AE166" s="325"/>
      <c r="AF166" s="325"/>
      <c r="AG166" s="325"/>
      <c r="AH166" s="325"/>
      <c r="AI166" s="325"/>
      <c r="AJ166" s="325"/>
    </row>
    <row r="167" spans="1:36" ht="17" thickBot="1">
      <c r="A167" s="325"/>
      <c r="B167" s="1841"/>
      <c r="C167" s="325"/>
      <c r="D167" s="936" t="s">
        <v>3515</v>
      </c>
      <c r="E167" s="937"/>
      <c r="F167" s="938" t="s">
        <v>3498</v>
      </c>
      <c r="G167" s="325"/>
      <c r="H167" s="325"/>
      <c r="I167" s="325"/>
      <c r="J167" s="325"/>
      <c r="K167" s="325"/>
      <c r="L167" s="936" t="s">
        <v>3515</v>
      </c>
      <c r="M167" s="937"/>
      <c r="N167" s="938" t="s">
        <v>3498</v>
      </c>
      <c r="O167" s="325"/>
      <c r="P167" s="325"/>
      <c r="Q167" s="325"/>
      <c r="R167" s="325"/>
      <c r="S167" s="325"/>
      <c r="T167" s="325"/>
      <c r="U167" s="325"/>
      <c r="V167" s="325"/>
      <c r="W167" s="325"/>
      <c r="X167" s="325"/>
      <c r="Y167" s="325"/>
      <c r="Z167" s="325"/>
      <c r="AA167" s="325"/>
      <c r="AB167" s="325"/>
      <c r="AC167" s="325"/>
      <c r="AD167" s="325"/>
      <c r="AE167" s="325"/>
      <c r="AF167" s="325"/>
      <c r="AG167" s="325"/>
      <c r="AH167" s="325"/>
      <c r="AI167" s="325"/>
      <c r="AJ167" s="325"/>
    </row>
    <row r="168" spans="1:36">
      <c r="A168" s="325"/>
      <c r="B168" s="1841"/>
      <c r="C168" s="325"/>
      <c r="D168" s="936" t="s">
        <v>3514</v>
      </c>
      <c r="E168" s="937"/>
      <c r="F168" s="938" t="s">
        <v>3498</v>
      </c>
      <c r="G168" s="325"/>
      <c r="H168" s="325"/>
      <c r="I168" s="325"/>
      <c r="J168" s="325"/>
      <c r="K168" s="325"/>
      <c r="L168" s="936" t="s">
        <v>3514</v>
      </c>
      <c r="M168" s="937"/>
      <c r="N168" s="938" t="s">
        <v>3498</v>
      </c>
      <c r="O168" s="325"/>
      <c r="P168" s="325"/>
      <c r="Q168" s="325"/>
      <c r="R168" s="325"/>
      <c r="S168" s="325"/>
      <c r="T168" s="325"/>
      <c r="U168" s="325"/>
      <c r="V168" s="325"/>
      <c r="W168" s="1943" t="s">
        <v>182</v>
      </c>
      <c r="X168" s="1944"/>
      <c r="Y168" s="1944"/>
      <c r="Z168" s="1944"/>
      <c r="AA168" s="1945"/>
      <c r="AB168" s="325"/>
      <c r="AC168" s="325"/>
      <c r="AD168" s="325"/>
      <c r="AE168" s="325"/>
      <c r="AF168" s="325"/>
      <c r="AG168" s="325"/>
      <c r="AH168" s="325"/>
      <c r="AI168" s="325"/>
      <c r="AJ168" s="325"/>
    </row>
    <row r="169" spans="1:36" ht="18" thickBot="1">
      <c r="A169" s="325"/>
      <c r="B169" s="1841"/>
      <c r="C169" s="325"/>
      <c r="D169" s="546" t="s">
        <v>3331</v>
      </c>
      <c r="E169" s="212" t="s">
        <v>3754</v>
      </c>
      <c r="F169" s="212"/>
      <c r="G169" s="212"/>
      <c r="H169" s="291"/>
      <c r="I169" s="291"/>
      <c r="J169" s="291"/>
      <c r="K169" s="325"/>
      <c r="L169" s="546" t="s">
        <v>3353</v>
      </c>
      <c r="M169" s="212" t="s">
        <v>3755</v>
      </c>
      <c r="N169" s="212"/>
      <c r="O169" s="212"/>
      <c r="P169" s="291"/>
      <c r="Q169" s="291"/>
      <c r="R169" s="291"/>
      <c r="S169" s="325"/>
      <c r="T169" s="325"/>
      <c r="U169" s="325"/>
      <c r="V169" s="325"/>
      <c r="W169" s="1946"/>
      <c r="X169" s="1947"/>
      <c r="Y169" s="1947"/>
      <c r="Z169" s="1947"/>
      <c r="AA169" s="1948"/>
      <c r="AB169" s="325"/>
      <c r="AC169" s="325"/>
      <c r="AD169" s="325"/>
      <c r="AE169" s="325"/>
      <c r="AF169" s="325"/>
      <c r="AG169" s="325"/>
      <c r="AH169" s="325"/>
      <c r="AI169" s="325"/>
      <c r="AJ169" s="325"/>
    </row>
    <row r="170" spans="1:36" ht="17" thickBot="1">
      <c r="A170" s="325"/>
      <c r="B170" s="1841"/>
      <c r="C170" s="325"/>
      <c r="D170" s="325"/>
      <c r="E170" s="1879" t="s">
        <v>73</v>
      </c>
      <c r="F170" s="1880"/>
      <c r="G170" s="788"/>
      <c r="H170" s="1837" t="s">
        <v>3516</v>
      </c>
      <c r="I170" s="1837"/>
      <c r="J170" s="938" t="s">
        <v>3498</v>
      </c>
      <c r="K170" s="325"/>
      <c r="L170" s="548"/>
      <c r="M170" s="1879" t="s">
        <v>73</v>
      </c>
      <c r="N170" s="1880"/>
      <c r="O170" s="788"/>
      <c r="P170" s="1837" t="s">
        <v>3517</v>
      </c>
      <c r="Q170" s="1837"/>
      <c r="R170" s="938" t="s">
        <v>3498</v>
      </c>
      <c r="S170" s="325"/>
      <c r="T170" s="325"/>
      <c r="U170" s="325"/>
      <c r="V170" s="325"/>
      <c r="W170" s="1946"/>
      <c r="X170" s="1947"/>
      <c r="Y170" s="1947"/>
      <c r="Z170" s="1947"/>
      <c r="AA170" s="1948"/>
      <c r="AB170" s="325"/>
      <c r="AC170" s="325"/>
      <c r="AD170" s="325"/>
      <c r="AE170" s="325"/>
      <c r="AF170" s="325"/>
      <c r="AG170" s="325"/>
      <c r="AH170" s="325"/>
      <c r="AI170" s="325"/>
      <c r="AJ170" s="325"/>
    </row>
    <row r="171" spans="1:36" ht="17" thickBot="1">
      <c r="A171" s="325"/>
      <c r="B171" s="1841"/>
      <c r="C171" s="325"/>
      <c r="D171" s="325"/>
      <c r="E171" s="325"/>
      <c r="F171" s="325"/>
      <c r="G171" s="327"/>
      <c r="H171" s="325"/>
      <c r="I171" s="325"/>
      <c r="J171" s="325"/>
      <c r="K171" s="325"/>
      <c r="L171" s="325"/>
      <c r="M171" s="325"/>
      <c r="N171" s="325"/>
      <c r="O171" s="325"/>
      <c r="P171" s="325"/>
      <c r="Q171" s="325"/>
      <c r="R171" s="325"/>
      <c r="S171" s="325"/>
      <c r="T171" s="325"/>
      <c r="U171" s="325"/>
      <c r="V171" s="325"/>
      <c r="W171" s="1949"/>
      <c r="X171" s="1950"/>
      <c r="Y171" s="1950"/>
      <c r="Z171" s="1950"/>
      <c r="AA171" s="1951"/>
      <c r="AB171" s="325"/>
      <c r="AC171" s="325"/>
      <c r="AD171" s="325"/>
      <c r="AE171" s="325"/>
      <c r="AF171" s="325"/>
      <c r="AG171" s="325"/>
      <c r="AH171" s="325"/>
      <c r="AI171" s="325"/>
      <c r="AJ171" s="325"/>
    </row>
    <row r="172" spans="1:36" ht="20" thickBot="1">
      <c r="A172" s="325"/>
      <c r="B172" s="1841"/>
      <c r="C172" s="325"/>
      <c r="D172" s="335" t="s">
        <v>3286</v>
      </c>
      <c r="E172" s="328"/>
      <c r="F172" s="336"/>
      <c r="G172" s="332"/>
      <c r="H172" s="325"/>
      <c r="I172" s="325"/>
      <c r="J172" s="325"/>
      <c r="K172" s="325"/>
      <c r="L172" s="335" t="s">
        <v>114</v>
      </c>
      <c r="M172" s="328"/>
      <c r="N172" s="336"/>
      <c r="O172" s="325"/>
      <c r="P172" s="325"/>
      <c r="Q172" s="325"/>
      <c r="R172" s="325"/>
      <c r="S172" s="325"/>
      <c r="T172" s="325"/>
      <c r="U172" s="325"/>
      <c r="V172" s="325"/>
      <c r="W172" s="325"/>
      <c r="X172" s="325"/>
      <c r="Y172" s="325"/>
      <c r="Z172" s="371" t="s">
        <v>3518</v>
      </c>
      <c r="AA172" s="966" t="s">
        <v>3519</v>
      </c>
      <c r="AB172" s="325"/>
      <c r="AC172" s="325"/>
      <c r="AD172" s="325"/>
      <c r="AE172" s="325"/>
      <c r="AF172" s="325"/>
      <c r="AG172" s="325"/>
      <c r="AH172" s="325"/>
      <c r="AI172" s="325"/>
      <c r="AJ172" s="325"/>
    </row>
    <row r="173" spans="1:36">
      <c r="A173" s="325"/>
      <c r="B173" s="1841"/>
      <c r="C173" s="325"/>
      <c r="D173" s="329" t="s">
        <v>3337</v>
      </c>
      <c r="E173" s="337"/>
      <c r="F173" s="513"/>
      <c r="G173" s="327"/>
      <c r="H173" s="325"/>
      <c r="I173" s="325"/>
      <c r="J173" s="325"/>
      <c r="K173" s="325"/>
      <c r="L173" s="329" t="s">
        <v>33</v>
      </c>
      <c r="M173" s="337"/>
      <c r="N173" s="783">
        <f>G12</f>
        <v>0</v>
      </c>
      <c r="O173" s="325"/>
      <c r="P173" s="325"/>
      <c r="Q173" s="325"/>
      <c r="R173" s="325"/>
      <c r="S173" s="325"/>
      <c r="T173" s="325"/>
      <c r="U173" s="325"/>
      <c r="V173" s="325"/>
      <c r="W173" s="325"/>
      <c r="X173" s="325"/>
      <c r="Y173" s="325"/>
      <c r="Z173" s="371" t="s">
        <v>3520</v>
      </c>
      <c r="AA173" s="966" t="s">
        <v>3519</v>
      </c>
      <c r="AB173" s="325"/>
      <c r="AC173" s="325"/>
      <c r="AD173" s="325"/>
      <c r="AE173" s="325"/>
      <c r="AF173" s="325"/>
      <c r="AG173" s="325"/>
      <c r="AH173" s="325"/>
      <c r="AI173" s="325"/>
      <c r="AJ173" s="325"/>
    </row>
    <row r="174" spans="1:36">
      <c r="A174" s="325"/>
      <c r="B174" s="1841"/>
      <c r="C174" s="325"/>
      <c r="D174" s="331" t="s">
        <v>237</v>
      </c>
      <c r="E174" s="326"/>
      <c r="F174" s="356">
        <f>'T5 - T7 | T9 - T16'!I55</f>
        <v>10699</v>
      </c>
      <c r="G174" s="333"/>
      <c r="H174" s="325"/>
      <c r="I174" s="325"/>
      <c r="J174" s="325"/>
      <c r="K174" s="325"/>
      <c r="L174" s="331" t="s">
        <v>237</v>
      </c>
      <c r="M174" s="326"/>
      <c r="N174" s="356" t="e">
        <f>VLOOKUP(F27,'T2'!B9:D2990,2,FALSE)</f>
        <v>#N/A</v>
      </c>
      <c r="O174" s="325"/>
      <c r="P174" s="325"/>
      <c r="Q174" s="325"/>
      <c r="R174" s="325"/>
      <c r="S174" s="325"/>
      <c r="T174" s="325"/>
      <c r="U174" s="325"/>
      <c r="V174" s="325"/>
      <c r="W174" s="325"/>
      <c r="X174" s="325"/>
      <c r="Y174" s="325"/>
      <c r="Z174" s="371" t="s">
        <v>3466</v>
      </c>
      <c r="AA174" s="966" t="s">
        <v>3519</v>
      </c>
      <c r="AB174" s="325"/>
      <c r="AC174" s="325"/>
      <c r="AD174" s="325"/>
      <c r="AE174" s="325"/>
      <c r="AF174" s="325"/>
      <c r="AG174" s="325"/>
      <c r="AH174" s="325"/>
      <c r="AI174" s="325"/>
      <c r="AJ174" s="325"/>
    </row>
    <row r="175" spans="1:36" ht="17" thickBot="1">
      <c r="A175" s="325"/>
      <c r="B175" s="1841"/>
      <c r="C175" s="325"/>
      <c r="D175" s="330" t="s">
        <v>238</v>
      </c>
      <c r="E175" s="338"/>
      <c r="F175" s="339">
        <f>'T5 - T7 | T9 - T16'!I54</f>
        <v>203331</v>
      </c>
      <c r="G175" s="334"/>
      <c r="H175" s="325"/>
      <c r="I175" s="325"/>
      <c r="J175" s="325"/>
      <c r="K175" s="325"/>
      <c r="L175" s="330" t="s">
        <v>238</v>
      </c>
      <c r="M175" s="338"/>
      <c r="N175" s="339" t="e">
        <f>VLOOKUP(F27,'T2'!B9:D2990,3,FALSE)</f>
        <v>#N/A</v>
      </c>
      <c r="O175" s="325"/>
      <c r="P175" s="325"/>
      <c r="Q175" s="325"/>
      <c r="R175" s="325"/>
      <c r="S175" s="325"/>
      <c r="T175" s="325"/>
      <c r="U175" s="325"/>
      <c r="V175" s="325"/>
      <c r="W175" s="325"/>
      <c r="X175" s="325"/>
      <c r="Y175" s="325"/>
      <c r="Z175" s="325"/>
      <c r="AA175" s="325"/>
      <c r="AB175" s="325"/>
      <c r="AC175" s="325"/>
      <c r="AD175" s="325"/>
      <c r="AE175" s="325"/>
      <c r="AF175" s="325"/>
      <c r="AG175" s="325"/>
      <c r="AH175" s="325"/>
      <c r="AI175" s="325"/>
      <c r="AJ175" s="325"/>
    </row>
    <row r="176" spans="1:36" ht="17" thickBot="1">
      <c r="A176" s="325"/>
      <c r="B176" s="1841"/>
      <c r="C176" s="325"/>
      <c r="D176" s="325"/>
      <c r="E176" s="325"/>
      <c r="F176" s="325"/>
      <c r="G176" s="325"/>
      <c r="H176" s="325"/>
      <c r="I176" s="325"/>
      <c r="J176" s="325"/>
      <c r="K176" s="325"/>
      <c r="L176" s="325"/>
      <c r="M176" s="325"/>
      <c r="N176" s="325"/>
      <c r="O176" s="325"/>
      <c r="P176" s="325"/>
      <c r="Q176" s="325"/>
      <c r="R176" s="325"/>
      <c r="S176" s="325"/>
      <c r="T176" s="325"/>
      <c r="U176" s="325"/>
      <c r="V176" s="325"/>
      <c r="W176" s="325"/>
      <c r="X176" s="325"/>
      <c r="Y176" s="325"/>
      <c r="Z176" s="325"/>
      <c r="AA176" s="325"/>
      <c r="AB176" s="325"/>
      <c r="AC176" s="325"/>
      <c r="AD176" s="325"/>
      <c r="AE176" s="325"/>
      <c r="AF176" s="325"/>
      <c r="AG176" s="325"/>
      <c r="AH176" s="325"/>
      <c r="AI176" s="325"/>
      <c r="AJ176" s="325"/>
    </row>
    <row r="177" spans="1:16384" ht="17" thickBot="1">
      <c r="A177" s="325"/>
      <c r="B177" s="1841"/>
      <c r="C177" s="325"/>
      <c r="D177" s="342" t="s">
        <v>3280</v>
      </c>
      <c r="E177" s="343"/>
      <c r="F177" s="343"/>
      <c r="G177" s="344"/>
      <c r="H177" s="325"/>
      <c r="I177" s="325"/>
      <c r="J177" s="325"/>
      <c r="K177" s="325"/>
      <c r="L177" s="342" t="s">
        <v>3281</v>
      </c>
      <c r="M177" s="343"/>
      <c r="N177" s="343"/>
      <c r="O177" s="344"/>
      <c r="P177" s="325"/>
      <c r="Q177" s="325"/>
      <c r="R177" s="325"/>
      <c r="S177" s="325"/>
      <c r="T177" s="325"/>
      <c r="U177" s="325"/>
      <c r="V177" s="325"/>
      <c r="W177" s="325"/>
      <c r="X177" s="325"/>
      <c r="Y177" s="325"/>
      <c r="Z177" s="325"/>
      <c r="AA177" s="325"/>
      <c r="AB177" s="325"/>
      <c r="AC177" s="325"/>
      <c r="AD177" s="325"/>
      <c r="AE177" s="325"/>
      <c r="AF177" s="325"/>
      <c r="AG177" s="325"/>
      <c r="AH177" s="325"/>
      <c r="AI177" s="325"/>
      <c r="AJ177" s="325"/>
    </row>
    <row r="178" spans="1:16384">
      <c r="A178" s="325"/>
      <c r="B178" s="1841"/>
      <c r="C178" s="325"/>
      <c r="D178" s="345" t="s">
        <v>3284</v>
      </c>
      <c r="E178" s="346"/>
      <c r="F178" s="353">
        <f>G170*52</f>
        <v>0</v>
      </c>
      <c r="G178" s="348" t="s">
        <v>3285</v>
      </c>
      <c r="H178" s="325"/>
      <c r="I178" s="325"/>
      <c r="J178" s="325"/>
      <c r="K178" s="325"/>
      <c r="L178" s="345" t="s">
        <v>3284</v>
      </c>
      <c r="M178" s="346"/>
      <c r="N178" s="353">
        <f>O170*52</f>
        <v>0</v>
      </c>
      <c r="O178" s="348" t="s">
        <v>3285</v>
      </c>
      <c r="P178" s="325"/>
      <c r="Q178" s="325"/>
      <c r="R178" s="325"/>
      <c r="S178" s="325"/>
      <c r="T178" s="325"/>
      <c r="U178" s="325"/>
      <c r="V178" s="325"/>
      <c r="W178" s="325"/>
      <c r="X178" s="325"/>
      <c r="Y178" s="325"/>
      <c r="Z178" s="325"/>
      <c r="AA178" s="325"/>
      <c r="AB178" s="325"/>
      <c r="AC178" s="325"/>
      <c r="AD178" s="325"/>
      <c r="AE178" s="325"/>
      <c r="AF178" s="325"/>
      <c r="AG178" s="325"/>
      <c r="AH178" s="325"/>
      <c r="AI178" s="325"/>
      <c r="AJ178" s="325"/>
    </row>
    <row r="179" spans="1:16384">
      <c r="A179" s="325"/>
      <c r="B179" s="1841"/>
      <c r="C179" s="325"/>
      <c r="D179" s="340" t="s">
        <v>3283</v>
      </c>
      <c r="E179" s="349"/>
      <c r="F179" s="354">
        <f>'T5 - T7 | T9 - T16'!J38</f>
        <v>12.653846153846153</v>
      </c>
      <c r="G179" s="350" t="s">
        <v>144</v>
      </c>
      <c r="H179" s="325"/>
      <c r="I179" s="325"/>
      <c r="J179" s="325"/>
      <c r="K179" s="325"/>
      <c r="L179" s="340" t="s">
        <v>3283</v>
      </c>
      <c r="M179" s="349"/>
      <c r="N179" s="354">
        <f>'T5 - T7 | T9 - T16'!J46</f>
        <v>0.49709631578947361</v>
      </c>
      <c r="O179" s="350" t="s">
        <v>144</v>
      </c>
      <c r="P179" s="325"/>
      <c r="Q179" s="325"/>
      <c r="R179" s="325"/>
      <c r="S179" s="325"/>
      <c r="T179" s="325"/>
      <c r="U179" s="325"/>
      <c r="V179" s="325"/>
      <c r="W179" s="325"/>
      <c r="X179" s="325"/>
      <c r="Y179" s="325"/>
      <c r="Z179" s="325"/>
      <c r="AA179" s="325"/>
      <c r="AB179" s="325"/>
      <c r="AC179" s="325"/>
      <c r="AD179" s="325"/>
      <c r="AE179" s="325"/>
      <c r="AF179" s="325"/>
      <c r="AG179" s="325"/>
      <c r="AH179" s="325"/>
      <c r="AI179" s="325"/>
      <c r="AJ179" s="325"/>
    </row>
    <row r="180" spans="1:16384" ht="17" thickBot="1">
      <c r="A180" s="325"/>
      <c r="B180" s="1841"/>
      <c r="C180" s="325"/>
      <c r="D180" s="341" t="s">
        <v>3282</v>
      </c>
      <c r="E180" s="351"/>
      <c r="F180" s="355">
        <f>'T5 - T7 | T9 - T16'!I38</f>
        <v>0.74076923076923074</v>
      </c>
      <c r="G180" s="352" t="s">
        <v>144</v>
      </c>
      <c r="H180" s="325"/>
      <c r="I180" s="325"/>
      <c r="J180" s="325"/>
      <c r="K180" s="325"/>
      <c r="L180" s="341" t="s">
        <v>3282</v>
      </c>
      <c r="M180" s="351"/>
      <c r="N180" s="355">
        <f>'T5 - T7 | T9 - T16'!I46</f>
        <v>0</v>
      </c>
      <c r="O180" s="352" t="s">
        <v>144</v>
      </c>
      <c r="P180" s="325"/>
      <c r="Q180" s="325"/>
      <c r="R180" s="325"/>
      <c r="S180" s="325"/>
      <c r="T180" s="325"/>
      <c r="U180" s="325"/>
      <c r="V180" s="325"/>
      <c r="W180" s="325"/>
      <c r="X180" s="325"/>
      <c r="Y180" s="325"/>
      <c r="Z180" s="325"/>
      <c r="AA180" s="325"/>
      <c r="AB180" s="325"/>
      <c r="AC180" s="325"/>
      <c r="AD180" s="325"/>
      <c r="AE180" s="325"/>
      <c r="AF180" s="325"/>
      <c r="AG180" s="325"/>
      <c r="AH180" s="325"/>
      <c r="AI180" s="325"/>
      <c r="AJ180" s="325"/>
    </row>
    <row r="181" spans="1:16384" ht="17" thickBot="1">
      <c r="A181" s="325"/>
      <c r="B181" s="1841"/>
      <c r="C181" s="370"/>
      <c r="D181" s="325"/>
      <c r="E181" s="325"/>
      <c r="F181" s="325"/>
      <c r="G181" s="325"/>
      <c r="H181" s="325"/>
      <c r="I181" s="325"/>
      <c r="J181" s="325"/>
      <c r="K181" s="325"/>
      <c r="L181" s="325"/>
      <c r="M181" s="325"/>
      <c r="N181" s="325"/>
      <c r="O181" s="325"/>
      <c r="P181" s="325"/>
      <c r="Q181" s="325"/>
      <c r="R181" s="325"/>
      <c r="S181" s="325"/>
      <c r="T181" s="325"/>
      <c r="U181" s="325"/>
      <c r="V181" s="325"/>
      <c r="W181" s="325"/>
      <c r="X181" s="325"/>
      <c r="Y181" s="325"/>
      <c r="Z181" s="325"/>
      <c r="AA181" s="325"/>
      <c r="AB181" s="325"/>
      <c r="AC181" s="325"/>
      <c r="AD181" s="325"/>
      <c r="AE181" s="325"/>
      <c r="AF181" s="325"/>
      <c r="AG181" s="325"/>
      <c r="AH181" s="325"/>
      <c r="AI181" s="325"/>
      <c r="AJ181" s="325"/>
    </row>
    <row r="182" spans="1:16384">
      <c r="A182" s="325"/>
      <c r="B182" s="1841"/>
      <c r="C182" s="370"/>
      <c r="D182" s="347"/>
      <c r="E182" s="346"/>
      <c r="F182" s="357" t="s">
        <v>26</v>
      </c>
      <c r="G182" s="358" t="s">
        <v>25</v>
      </c>
      <c r="H182" s="325"/>
      <c r="I182" s="325"/>
      <c r="J182" s="325"/>
      <c r="K182" s="325"/>
      <c r="L182" s="347"/>
      <c r="M182" s="346"/>
      <c r="N182" s="357" t="s">
        <v>26</v>
      </c>
      <c r="O182" s="358" t="s">
        <v>25</v>
      </c>
      <c r="P182" s="325"/>
      <c r="Q182" s="325"/>
      <c r="R182" s="325"/>
      <c r="S182" s="325"/>
      <c r="T182" s="325"/>
      <c r="U182" s="325"/>
      <c r="V182" s="325"/>
      <c r="W182" s="325"/>
      <c r="X182" s="325"/>
      <c r="Y182" s="325"/>
      <c r="Z182" s="325"/>
      <c r="AA182" s="325"/>
      <c r="AB182" s="325"/>
      <c r="AC182" s="325"/>
      <c r="AD182" s="325"/>
      <c r="AE182" s="325"/>
      <c r="AF182" s="325"/>
      <c r="AG182" s="325"/>
      <c r="AH182" s="325"/>
      <c r="AI182" s="325"/>
      <c r="AJ182" s="325"/>
    </row>
    <row r="183" spans="1:16384">
      <c r="A183" s="325"/>
      <c r="B183" s="1841"/>
      <c r="C183" s="370"/>
      <c r="D183" s="359" t="s">
        <v>112</v>
      </c>
      <c r="E183" s="360"/>
      <c r="F183" s="361">
        <f>F179*F178</f>
        <v>0</v>
      </c>
      <c r="G183" s="362">
        <f>F180*F178</f>
        <v>0</v>
      </c>
      <c r="H183" s="325"/>
      <c r="I183" s="325"/>
      <c r="J183" s="325"/>
      <c r="K183" s="325"/>
      <c r="L183" s="359" t="s">
        <v>112</v>
      </c>
      <c r="M183" s="360"/>
      <c r="N183" s="361">
        <f>N179*N178/(G129+1)</f>
        <v>0</v>
      </c>
      <c r="O183" s="362">
        <f>N180*N178</f>
        <v>0</v>
      </c>
      <c r="P183" s="325"/>
      <c r="Q183" s="325"/>
      <c r="R183" s="325"/>
      <c r="S183" s="325"/>
      <c r="T183" s="325"/>
      <c r="U183" s="325"/>
      <c r="V183" s="325"/>
      <c r="W183" s="325"/>
      <c r="X183" s="325"/>
      <c r="Y183" s="325"/>
      <c r="Z183" s="325"/>
      <c r="AA183" s="325"/>
      <c r="AB183" s="325"/>
      <c r="AC183" s="325"/>
      <c r="AD183" s="325"/>
      <c r="AE183" s="325"/>
      <c r="AF183" s="325"/>
      <c r="AG183" s="325"/>
      <c r="AH183" s="325"/>
      <c r="AI183" s="325"/>
      <c r="AJ183" s="325"/>
    </row>
    <row r="184" spans="1:16384" ht="17" thickBot="1">
      <c r="A184" s="325"/>
      <c r="B184" s="1842"/>
      <c r="C184" s="370"/>
      <c r="D184" s="363" t="s">
        <v>113</v>
      </c>
      <c r="E184" s="364"/>
      <c r="F184" s="365">
        <f>F183*F174/(10^6)</f>
        <v>0</v>
      </c>
      <c r="G184" s="366">
        <f>G183*F175/(10^6)</f>
        <v>0</v>
      </c>
      <c r="H184" s="325"/>
      <c r="I184" s="325"/>
      <c r="J184" s="325"/>
      <c r="K184" s="853"/>
      <c r="L184" s="363" t="s">
        <v>113</v>
      </c>
      <c r="M184" s="364"/>
      <c r="N184" s="365" t="e">
        <f>N183*N174/(10^6)</f>
        <v>#N/A</v>
      </c>
      <c r="O184" s="366" t="e">
        <f>O183*N175/(10^6)</f>
        <v>#N/A</v>
      </c>
      <c r="P184" s="325"/>
      <c r="Q184" s="325"/>
      <c r="R184" s="325"/>
      <c r="S184" s="325"/>
      <c r="T184" s="325"/>
      <c r="U184" s="325"/>
      <c r="V184" s="325"/>
      <c r="W184" s="325"/>
      <c r="X184" s="325"/>
      <c r="Y184" s="325"/>
      <c r="Z184" s="325"/>
      <c r="AA184" s="325"/>
      <c r="AB184" s="325"/>
      <c r="AC184" s="325"/>
      <c r="AD184" s="325"/>
      <c r="AE184" s="325"/>
      <c r="AF184" s="325"/>
      <c r="AG184" s="325"/>
      <c r="AH184" s="325"/>
      <c r="AI184" s="325"/>
      <c r="AJ184" s="325"/>
    </row>
    <row r="185" spans="1:16384">
      <c r="A185" s="1212"/>
      <c r="B185" s="1212"/>
      <c r="C185" s="1212"/>
      <c r="D185" s="1212"/>
      <c r="E185" s="1212"/>
      <c r="F185" s="1212"/>
      <c r="G185" s="1212"/>
      <c r="H185" s="1212"/>
      <c r="I185" s="1212"/>
      <c r="J185" s="1212"/>
      <c r="K185" s="1212"/>
      <c r="L185" s="1212"/>
      <c r="M185" s="1212"/>
      <c r="N185" s="1212"/>
      <c r="O185" s="1212"/>
      <c r="P185" s="1212"/>
      <c r="Q185" s="1212"/>
      <c r="R185" s="1212"/>
      <c r="S185" s="1212"/>
      <c r="T185" s="1212"/>
      <c r="U185" s="1212"/>
      <c r="V185" s="1212"/>
      <c r="W185" s="1212"/>
      <c r="X185" s="1212"/>
      <c r="Y185" s="1212"/>
      <c r="Z185" s="1212"/>
      <c r="AA185" s="1212"/>
      <c r="AB185" s="1212"/>
      <c r="AC185" s="1212"/>
      <c r="AD185" s="1212"/>
      <c r="AE185" s="1212"/>
      <c r="AF185" s="1212"/>
      <c r="AG185" s="1212"/>
      <c r="AH185" s="1212"/>
      <c r="AI185" s="1212"/>
      <c r="AJ185" s="1212"/>
      <c r="AK185" s="1332"/>
      <c r="AL185" s="1332"/>
      <c r="AM185" s="1332"/>
      <c r="AN185" s="1332"/>
      <c r="AO185" s="1332"/>
      <c r="AP185" s="1332"/>
      <c r="AQ185" s="1332"/>
      <c r="AR185" s="1332"/>
      <c r="AS185" s="1332"/>
      <c r="AT185" s="1332"/>
      <c r="AU185" s="1332"/>
      <c r="AV185" s="1332"/>
      <c r="AW185" s="1332"/>
      <c r="AX185" s="1332"/>
      <c r="AY185" s="1332"/>
      <c r="AZ185" s="1332"/>
      <c r="BA185" s="1332"/>
      <c r="BB185" s="1332"/>
      <c r="BC185" s="1332"/>
      <c r="BD185" s="1332"/>
      <c r="BE185" s="1332"/>
      <c r="BF185" s="1332"/>
      <c r="BG185" s="1332"/>
      <c r="BH185" s="1332"/>
      <c r="BI185" s="1332"/>
      <c r="BJ185" s="1332"/>
      <c r="BK185" s="1332"/>
      <c r="BL185" s="1332"/>
      <c r="BM185" s="1332"/>
      <c r="BN185" s="1332"/>
      <c r="BO185" s="1332"/>
      <c r="BP185" s="1332"/>
      <c r="BQ185" s="1332"/>
      <c r="BR185" s="1332"/>
      <c r="BS185" s="1332"/>
      <c r="BT185" s="1332"/>
      <c r="BU185" s="1332"/>
      <c r="BV185" s="1332"/>
      <c r="BW185" s="1332"/>
      <c r="BX185" s="1332"/>
      <c r="BY185" s="1332"/>
      <c r="BZ185" s="1332"/>
      <c r="CA185" s="1332"/>
      <c r="CB185" s="1332"/>
      <c r="CC185" s="1332"/>
      <c r="CD185" s="1332"/>
      <c r="CE185" s="1332"/>
      <c r="CF185" s="1332"/>
      <c r="CG185" s="1332"/>
      <c r="CH185" s="1332"/>
      <c r="CI185" s="1332"/>
      <c r="CJ185" s="1332"/>
      <c r="CK185" s="1332"/>
      <c r="CL185" s="1332"/>
      <c r="CM185" s="1332"/>
      <c r="CN185" s="1332"/>
      <c r="CO185" s="1332"/>
      <c r="CP185" s="1332"/>
      <c r="CQ185" s="1332"/>
      <c r="CR185" s="1332"/>
      <c r="CS185" s="1332"/>
      <c r="CT185" s="1332"/>
      <c r="CU185" s="1332"/>
      <c r="CV185" s="1332"/>
      <c r="CW185" s="1332"/>
      <c r="CX185" s="1332"/>
      <c r="CY185" s="1332"/>
      <c r="CZ185" s="1332"/>
      <c r="DA185" s="1332"/>
      <c r="DB185" s="1332"/>
      <c r="DC185" s="1332"/>
      <c r="DD185" s="1332"/>
      <c r="DE185" s="1332"/>
      <c r="DF185" s="1332"/>
      <c r="DG185" s="1332"/>
      <c r="DH185" s="1332"/>
      <c r="DI185" s="1332"/>
      <c r="DJ185" s="1332"/>
      <c r="DK185" s="1332"/>
      <c r="DL185" s="1332"/>
      <c r="DM185" s="1332"/>
      <c r="DN185" s="1332"/>
      <c r="DO185" s="1332"/>
      <c r="DP185" s="1332"/>
      <c r="DQ185" s="1332"/>
      <c r="DR185" s="1332"/>
      <c r="DS185" s="1332"/>
      <c r="DT185" s="1332"/>
      <c r="DU185" s="1332"/>
      <c r="DV185" s="1332"/>
      <c r="DW185" s="1332"/>
      <c r="DX185" s="1332"/>
      <c r="DY185" s="1332"/>
      <c r="DZ185" s="1332"/>
      <c r="EA185" s="1332"/>
      <c r="EB185" s="1332"/>
      <c r="EC185" s="1332"/>
      <c r="ED185" s="1332"/>
      <c r="EE185" s="1332"/>
      <c r="EF185" s="1332"/>
      <c r="EG185" s="1332"/>
      <c r="EH185" s="1332"/>
      <c r="EI185" s="1332"/>
      <c r="EJ185" s="1332"/>
      <c r="EK185" s="1332"/>
      <c r="EL185" s="1332"/>
      <c r="EM185" s="1332"/>
      <c r="EN185" s="1332"/>
      <c r="EO185" s="1332"/>
      <c r="EP185" s="1332"/>
      <c r="EQ185" s="1332"/>
      <c r="ER185" s="1332"/>
      <c r="ES185" s="1332"/>
      <c r="ET185" s="1332"/>
      <c r="EU185" s="1332"/>
      <c r="EV185" s="1332"/>
      <c r="EW185" s="1332"/>
      <c r="EX185" s="1332"/>
      <c r="EY185" s="1332"/>
      <c r="EZ185" s="1332"/>
      <c r="FA185" s="1332"/>
      <c r="FB185" s="1332"/>
      <c r="FC185" s="1332"/>
      <c r="FD185" s="1332"/>
      <c r="FE185" s="1332"/>
      <c r="FF185" s="1332"/>
      <c r="FG185" s="1332"/>
      <c r="FH185" s="1332"/>
      <c r="FI185" s="1332"/>
      <c r="FJ185" s="1332"/>
      <c r="FK185" s="1332"/>
      <c r="FL185" s="1332"/>
      <c r="FM185" s="1332"/>
      <c r="FN185" s="1332"/>
      <c r="FO185" s="1332"/>
      <c r="FP185" s="1332"/>
      <c r="FQ185" s="1332"/>
      <c r="FR185" s="1332"/>
      <c r="FS185" s="1332"/>
      <c r="FT185" s="1332"/>
      <c r="FU185" s="1332"/>
      <c r="FV185" s="1332"/>
      <c r="FW185" s="1332"/>
      <c r="FX185" s="1332"/>
      <c r="FY185" s="1332"/>
      <c r="FZ185" s="1332"/>
      <c r="GA185" s="1332"/>
      <c r="GB185" s="1332"/>
      <c r="GC185" s="1332"/>
      <c r="GD185" s="1332"/>
      <c r="GE185" s="1332"/>
      <c r="GF185" s="1332"/>
      <c r="GG185" s="1332"/>
      <c r="GH185" s="1332"/>
      <c r="GI185" s="1332"/>
      <c r="GJ185" s="1332"/>
      <c r="GK185" s="1332"/>
      <c r="GL185" s="1332"/>
      <c r="GM185" s="1332"/>
      <c r="GN185" s="1332"/>
      <c r="GO185" s="1332"/>
      <c r="GP185" s="1332"/>
      <c r="GQ185" s="1332"/>
      <c r="GR185" s="1332"/>
      <c r="GS185" s="1332"/>
      <c r="GT185" s="1332"/>
      <c r="GU185" s="1332"/>
      <c r="GV185" s="1332"/>
      <c r="GW185" s="1332"/>
      <c r="GX185" s="1332"/>
      <c r="GY185" s="1332"/>
      <c r="GZ185" s="1332"/>
      <c r="HA185" s="1332"/>
      <c r="HB185" s="1332"/>
      <c r="HC185" s="1332"/>
      <c r="HD185" s="1332"/>
      <c r="HE185" s="1332"/>
      <c r="HF185" s="1332"/>
      <c r="HG185" s="1332"/>
      <c r="HH185" s="1332"/>
      <c r="HI185" s="1332"/>
      <c r="HJ185" s="1332"/>
      <c r="HK185" s="1332"/>
      <c r="HL185" s="1332"/>
      <c r="HM185" s="1332"/>
      <c r="HN185" s="1332"/>
      <c r="HO185" s="1332"/>
      <c r="HP185" s="1332"/>
      <c r="HQ185" s="1332"/>
      <c r="HR185" s="1332"/>
      <c r="HS185" s="1332"/>
      <c r="HT185" s="1332"/>
      <c r="HU185" s="1332"/>
      <c r="HV185" s="1332"/>
      <c r="HW185" s="1332"/>
      <c r="HX185" s="1332"/>
      <c r="HY185" s="1332"/>
      <c r="HZ185" s="1332"/>
      <c r="IA185" s="1332"/>
      <c r="IB185" s="1332"/>
      <c r="IC185" s="1332"/>
      <c r="ID185" s="1332"/>
      <c r="IE185" s="1332"/>
      <c r="IF185" s="1332"/>
      <c r="IG185" s="1332"/>
      <c r="IH185" s="1332"/>
      <c r="II185" s="1332"/>
      <c r="IJ185" s="1332"/>
      <c r="IK185" s="1332"/>
      <c r="IL185" s="1332"/>
      <c r="IM185" s="1332"/>
      <c r="IN185" s="1332"/>
      <c r="IO185" s="1332"/>
      <c r="IP185" s="1332"/>
      <c r="IQ185" s="1332"/>
      <c r="IR185" s="1332"/>
      <c r="IS185" s="1332"/>
      <c r="IT185" s="1332"/>
      <c r="IU185" s="1332"/>
      <c r="IV185" s="1332"/>
      <c r="IW185" s="1332"/>
      <c r="IX185" s="1332"/>
      <c r="IY185" s="1332"/>
      <c r="IZ185" s="1332"/>
      <c r="JA185" s="1332"/>
      <c r="JB185" s="1332"/>
      <c r="JC185" s="1332"/>
      <c r="JD185" s="1332"/>
      <c r="JE185" s="1332"/>
      <c r="JF185" s="1332"/>
      <c r="JG185" s="1332"/>
      <c r="JH185" s="1332"/>
      <c r="JI185" s="1332"/>
      <c r="JJ185" s="1332"/>
      <c r="JK185" s="1332"/>
      <c r="JL185" s="1332"/>
      <c r="JM185" s="1332"/>
      <c r="JN185" s="1332"/>
      <c r="JO185" s="1332"/>
      <c r="JP185" s="1332"/>
      <c r="JQ185" s="1332"/>
      <c r="JR185" s="1332"/>
      <c r="JS185" s="1332"/>
      <c r="JT185" s="1332"/>
      <c r="JU185" s="1332"/>
      <c r="JV185" s="1332"/>
      <c r="JW185" s="1332"/>
      <c r="JX185" s="1332"/>
      <c r="JY185" s="1332"/>
      <c r="JZ185" s="1332"/>
      <c r="KA185" s="1332"/>
      <c r="KB185" s="1332"/>
      <c r="KC185" s="1332"/>
      <c r="KD185" s="1332"/>
      <c r="KE185" s="1332"/>
      <c r="KF185" s="1332"/>
      <c r="KG185" s="1332"/>
      <c r="KH185" s="1332"/>
      <c r="KI185" s="1332"/>
      <c r="KJ185" s="1332"/>
      <c r="KK185" s="1332"/>
      <c r="KL185" s="1332"/>
      <c r="KM185" s="1332"/>
      <c r="KN185" s="1332"/>
      <c r="KO185" s="1332"/>
      <c r="KP185" s="1332"/>
      <c r="KQ185" s="1332"/>
      <c r="KR185" s="1332"/>
      <c r="KS185" s="1332"/>
      <c r="KT185" s="1332"/>
      <c r="KU185" s="1332"/>
      <c r="KV185" s="1332"/>
      <c r="KW185" s="1332"/>
      <c r="KX185" s="1332"/>
      <c r="KY185" s="1332"/>
      <c r="KZ185" s="1332"/>
      <c r="LA185" s="1332"/>
      <c r="LB185" s="1332"/>
      <c r="LC185" s="1332"/>
      <c r="LD185" s="1332"/>
      <c r="LE185" s="1332"/>
      <c r="LF185" s="1332"/>
      <c r="LG185" s="1332"/>
      <c r="LH185" s="1332"/>
      <c r="LI185" s="1332"/>
      <c r="LJ185" s="1332"/>
      <c r="LK185" s="1332"/>
      <c r="LL185" s="1332"/>
      <c r="LM185" s="1332"/>
      <c r="LN185" s="1332"/>
      <c r="LO185" s="1332"/>
      <c r="LP185" s="1332"/>
      <c r="LQ185" s="1332"/>
      <c r="LR185" s="1332"/>
      <c r="LS185" s="1332"/>
      <c r="LT185" s="1332"/>
      <c r="LU185" s="1332"/>
      <c r="LV185" s="1332"/>
      <c r="LW185" s="1332"/>
      <c r="LX185" s="1332"/>
      <c r="LY185" s="1332"/>
      <c r="LZ185" s="1332"/>
      <c r="MA185" s="1332"/>
      <c r="MB185" s="1332"/>
      <c r="MC185" s="1332"/>
      <c r="MD185" s="1332"/>
      <c r="ME185" s="1332"/>
      <c r="MF185" s="1332"/>
      <c r="MG185" s="1332"/>
      <c r="MH185" s="1332"/>
      <c r="MI185" s="1332"/>
      <c r="MJ185" s="1332"/>
      <c r="MK185" s="1332"/>
      <c r="ML185" s="1332"/>
      <c r="MM185" s="1332"/>
      <c r="MN185" s="1332"/>
      <c r="MO185" s="1332"/>
      <c r="MP185" s="1332"/>
      <c r="MQ185" s="1332"/>
      <c r="MR185" s="1332"/>
      <c r="MS185" s="1332"/>
      <c r="MT185" s="1332"/>
      <c r="MU185" s="1332"/>
      <c r="MV185" s="1332"/>
      <c r="MW185" s="1332"/>
      <c r="MX185" s="1332"/>
      <c r="MY185" s="1332"/>
      <c r="MZ185" s="1332"/>
      <c r="NA185" s="1332"/>
      <c r="NB185" s="1332"/>
      <c r="NC185" s="1332"/>
      <c r="ND185" s="1332"/>
      <c r="NE185" s="1332"/>
      <c r="NF185" s="1332"/>
      <c r="NG185" s="1332"/>
      <c r="NH185" s="1332"/>
      <c r="NI185" s="1332"/>
      <c r="NJ185" s="1332"/>
      <c r="NK185" s="1332"/>
      <c r="NL185" s="1332"/>
      <c r="NM185" s="1332"/>
      <c r="NN185" s="1332"/>
      <c r="NO185" s="1332"/>
      <c r="NP185" s="1332"/>
      <c r="NQ185" s="1332"/>
      <c r="NR185" s="1332"/>
      <c r="NS185" s="1332"/>
      <c r="NT185" s="1332"/>
      <c r="NU185" s="1332"/>
      <c r="NV185" s="1332"/>
      <c r="NW185" s="1332"/>
      <c r="NX185" s="1332"/>
      <c r="NY185" s="1332"/>
      <c r="NZ185" s="1332"/>
      <c r="OA185" s="1332"/>
      <c r="OB185" s="1332"/>
      <c r="OC185" s="1332"/>
      <c r="OD185" s="1332"/>
      <c r="OE185" s="1332"/>
      <c r="OF185" s="1332"/>
      <c r="OG185" s="1332"/>
      <c r="OH185" s="1332"/>
      <c r="OI185" s="1332"/>
      <c r="OJ185" s="1332"/>
      <c r="OK185" s="1332"/>
      <c r="OL185" s="1332"/>
      <c r="OM185" s="1332"/>
      <c r="ON185" s="1332"/>
      <c r="OO185" s="1332"/>
      <c r="OP185" s="1332"/>
      <c r="OQ185" s="1332"/>
      <c r="OR185" s="1332"/>
      <c r="OS185" s="1332"/>
      <c r="OT185" s="1332"/>
      <c r="OU185" s="1332"/>
      <c r="OV185" s="1332"/>
      <c r="OW185" s="1332"/>
      <c r="OX185" s="1332"/>
      <c r="OY185" s="1332"/>
      <c r="OZ185" s="1332"/>
      <c r="PA185" s="1332"/>
      <c r="PB185" s="1332"/>
      <c r="PC185" s="1332"/>
      <c r="PD185" s="1332"/>
      <c r="PE185" s="1332"/>
      <c r="PF185" s="1332"/>
      <c r="PG185" s="1332"/>
      <c r="PH185" s="1332"/>
      <c r="PI185" s="1332"/>
      <c r="PJ185" s="1332"/>
      <c r="PK185" s="1332"/>
      <c r="PL185" s="1332"/>
      <c r="PM185" s="1332"/>
      <c r="PN185" s="1332"/>
      <c r="PO185" s="1332"/>
      <c r="PP185" s="1332"/>
      <c r="PQ185" s="1332"/>
      <c r="PR185" s="1332"/>
      <c r="PS185" s="1332"/>
      <c r="PT185" s="1332"/>
      <c r="PU185" s="1332"/>
      <c r="PV185" s="1332"/>
      <c r="PW185" s="1332"/>
      <c r="PX185" s="1332"/>
      <c r="PY185" s="1332"/>
      <c r="PZ185" s="1332"/>
      <c r="QA185" s="1332"/>
      <c r="QB185" s="1332"/>
      <c r="QC185" s="1332"/>
      <c r="QD185" s="1332"/>
      <c r="QE185" s="1332"/>
      <c r="QF185" s="1332"/>
      <c r="QG185" s="1332"/>
      <c r="QH185" s="1332"/>
      <c r="QI185" s="1332"/>
      <c r="QJ185" s="1332"/>
      <c r="QK185" s="1332"/>
      <c r="QL185" s="1332"/>
      <c r="QM185" s="1332"/>
      <c r="QN185" s="1332"/>
      <c r="QO185" s="1332"/>
      <c r="QP185" s="1332"/>
      <c r="QQ185" s="1332"/>
      <c r="QR185" s="1332"/>
      <c r="QS185" s="1332"/>
      <c r="QT185" s="1332"/>
      <c r="QU185" s="1332"/>
      <c r="QV185" s="1332"/>
      <c r="QW185" s="1332"/>
      <c r="QX185" s="1332"/>
      <c r="QY185" s="1332"/>
      <c r="QZ185" s="1332"/>
      <c r="RA185" s="1332"/>
      <c r="RB185" s="1332"/>
      <c r="RC185" s="1332"/>
      <c r="RD185" s="1332"/>
      <c r="RE185" s="1332"/>
      <c r="RF185" s="1332"/>
      <c r="RG185" s="1332"/>
      <c r="RH185" s="1332"/>
      <c r="RI185" s="1332"/>
      <c r="RJ185" s="1332"/>
      <c r="RK185" s="1332"/>
      <c r="RL185" s="1332"/>
      <c r="RM185" s="1332"/>
      <c r="RN185" s="1332"/>
      <c r="RO185" s="1332"/>
      <c r="RP185" s="1332"/>
      <c r="RQ185" s="1332"/>
      <c r="RR185" s="1332"/>
      <c r="RS185" s="1332"/>
      <c r="RT185" s="1332"/>
      <c r="RU185" s="1332"/>
      <c r="RV185" s="1332"/>
      <c r="RW185" s="1332"/>
      <c r="RX185" s="1332"/>
      <c r="RY185" s="1332"/>
      <c r="RZ185" s="1332"/>
      <c r="SA185" s="1332"/>
      <c r="SB185" s="1332"/>
      <c r="SC185" s="1332"/>
      <c r="SD185" s="1332"/>
      <c r="SE185" s="1332"/>
      <c r="SF185" s="1332"/>
      <c r="SG185" s="1332"/>
      <c r="SH185" s="1332"/>
      <c r="SI185" s="1332"/>
      <c r="SJ185" s="1332"/>
      <c r="SK185" s="1332"/>
      <c r="SL185" s="1332"/>
      <c r="SM185" s="1332"/>
      <c r="SN185" s="1332"/>
      <c r="SO185" s="1332"/>
      <c r="SP185" s="1332"/>
      <c r="SQ185" s="1332"/>
      <c r="SR185" s="1332"/>
      <c r="SS185" s="1332"/>
      <c r="ST185" s="1332"/>
      <c r="SU185" s="1332"/>
      <c r="SV185" s="1332"/>
      <c r="SW185" s="1332"/>
      <c r="SX185" s="1332"/>
      <c r="SY185" s="1332"/>
      <c r="SZ185" s="1332"/>
      <c r="TA185" s="1332"/>
      <c r="TB185" s="1332"/>
      <c r="TC185" s="1332"/>
      <c r="TD185" s="1332"/>
      <c r="TE185" s="1332"/>
      <c r="TF185" s="1332"/>
      <c r="TG185" s="1332"/>
      <c r="TH185" s="1332"/>
      <c r="TI185" s="1332"/>
      <c r="TJ185" s="1332"/>
      <c r="TK185" s="1332"/>
      <c r="TL185" s="1332"/>
      <c r="TM185" s="1332"/>
      <c r="TN185" s="1332"/>
      <c r="TO185" s="1332"/>
      <c r="TP185" s="1332"/>
      <c r="TQ185" s="1332"/>
      <c r="TR185" s="1332"/>
      <c r="TS185" s="1332"/>
      <c r="TT185" s="1332"/>
      <c r="TU185" s="1332"/>
      <c r="TV185" s="1332"/>
      <c r="TW185" s="1332"/>
      <c r="TX185" s="1332"/>
      <c r="TY185" s="1332"/>
      <c r="TZ185" s="1332"/>
      <c r="UA185" s="1332"/>
      <c r="UB185" s="1332"/>
      <c r="UC185" s="1332"/>
      <c r="UD185" s="1332"/>
      <c r="UE185" s="1332"/>
      <c r="UF185" s="1332"/>
      <c r="UG185" s="1332"/>
      <c r="UH185" s="1332"/>
      <c r="UI185" s="1332"/>
      <c r="UJ185" s="1332"/>
      <c r="UK185" s="1332"/>
      <c r="UL185" s="1332"/>
      <c r="UM185" s="1332"/>
      <c r="UN185" s="1332"/>
      <c r="UO185" s="1332"/>
      <c r="UP185" s="1332"/>
      <c r="UQ185" s="1332"/>
      <c r="UR185" s="1332"/>
      <c r="US185" s="1332"/>
      <c r="UT185" s="1332"/>
      <c r="UU185" s="1332"/>
      <c r="UV185" s="1332"/>
      <c r="UW185" s="1332"/>
      <c r="UX185" s="1332"/>
      <c r="UY185" s="1332"/>
      <c r="UZ185" s="1332"/>
      <c r="VA185" s="1332"/>
      <c r="VB185" s="1332"/>
      <c r="VC185" s="1332"/>
      <c r="VD185" s="1332"/>
      <c r="VE185" s="1332"/>
      <c r="VF185" s="1332"/>
      <c r="VG185" s="1332"/>
      <c r="VH185" s="1332"/>
      <c r="VI185" s="1332"/>
      <c r="VJ185" s="1332"/>
      <c r="VK185" s="1332"/>
      <c r="VL185" s="1332"/>
      <c r="VM185" s="1332"/>
      <c r="VN185" s="1332"/>
      <c r="VO185" s="1332"/>
      <c r="VP185" s="1332"/>
      <c r="VQ185" s="1332"/>
      <c r="VR185" s="1332"/>
      <c r="VS185" s="1332"/>
      <c r="VT185" s="1332"/>
      <c r="VU185" s="1332"/>
      <c r="VV185" s="1332"/>
      <c r="VW185" s="1332"/>
      <c r="VX185" s="1332"/>
      <c r="VY185" s="1332"/>
      <c r="VZ185" s="1332"/>
      <c r="WA185" s="1332"/>
      <c r="WB185" s="1332"/>
      <c r="WC185" s="1332"/>
      <c r="WD185" s="1332"/>
      <c r="WE185" s="1332"/>
      <c r="WF185" s="1332"/>
      <c r="WG185" s="1332"/>
      <c r="WH185" s="1332"/>
      <c r="WI185" s="1332"/>
      <c r="WJ185" s="1332"/>
      <c r="WK185" s="1332"/>
      <c r="WL185" s="1332"/>
      <c r="WM185" s="1332"/>
      <c r="WN185" s="1332"/>
      <c r="WO185" s="1332"/>
      <c r="WP185" s="1332"/>
      <c r="WQ185" s="1332"/>
      <c r="WR185" s="1332"/>
      <c r="WS185" s="1332"/>
      <c r="WT185" s="1332"/>
      <c r="WU185" s="1332"/>
      <c r="WV185" s="1332"/>
      <c r="WW185" s="1332"/>
      <c r="WX185" s="1332"/>
      <c r="WY185" s="1332"/>
      <c r="WZ185" s="1332"/>
      <c r="XA185" s="1332"/>
      <c r="XB185" s="1332"/>
      <c r="XC185" s="1332"/>
      <c r="XD185" s="1332"/>
      <c r="XE185" s="1332"/>
      <c r="XF185" s="1332"/>
      <c r="XG185" s="1332"/>
      <c r="XH185" s="1332"/>
      <c r="XI185" s="1332"/>
      <c r="XJ185" s="1332"/>
      <c r="XK185" s="1332"/>
      <c r="XL185" s="1332"/>
      <c r="XM185" s="1332"/>
      <c r="XN185" s="1332"/>
      <c r="XO185" s="1332"/>
      <c r="XP185" s="1332"/>
      <c r="XQ185" s="1332"/>
      <c r="XR185" s="1332"/>
      <c r="XS185" s="1332"/>
      <c r="XT185" s="1332"/>
      <c r="XU185" s="1332"/>
      <c r="XV185" s="1332"/>
      <c r="XW185" s="1332"/>
      <c r="XX185" s="1332"/>
      <c r="XY185" s="1332"/>
      <c r="XZ185" s="1332"/>
      <c r="YA185" s="1332"/>
      <c r="YB185" s="1332"/>
      <c r="YC185" s="1332"/>
      <c r="YD185" s="1332"/>
      <c r="YE185" s="1332"/>
      <c r="YF185" s="1332"/>
      <c r="YG185" s="1332"/>
      <c r="YH185" s="1332"/>
      <c r="YI185" s="1332"/>
      <c r="YJ185" s="1332"/>
      <c r="YK185" s="1332"/>
      <c r="YL185" s="1332"/>
      <c r="YM185" s="1332"/>
      <c r="YN185" s="1332"/>
      <c r="YO185" s="1332"/>
      <c r="YP185" s="1332"/>
      <c r="YQ185" s="1332"/>
      <c r="YR185" s="1332"/>
      <c r="YS185" s="1332"/>
      <c r="YT185" s="1332"/>
      <c r="YU185" s="1332"/>
      <c r="YV185" s="1332"/>
      <c r="YW185" s="1332"/>
      <c r="YX185" s="1332"/>
      <c r="YY185" s="1332"/>
      <c r="YZ185" s="1332"/>
      <c r="ZA185" s="1332"/>
      <c r="ZB185" s="1332"/>
      <c r="ZC185" s="1332"/>
      <c r="ZD185" s="1332"/>
      <c r="ZE185" s="1332"/>
      <c r="ZF185" s="1332"/>
      <c r="ZG185" s="1332"/>
      <c r="ZH185" s="1332"/>
      <c r="ZI185" s="1332"/>
      <c r="ZJ185" s="1332"/>
      <c r="ZK185" s="1332"/>
      <c r="ZL185" s="1332"/>
      <c r="ZM185" s="1332"/>
      <c r="ZN185" s="1332"/>
      <c r="ZO185" s="1332"/>
      <c r="ZP185" s="1332"/>
      <c r="ZQ185" s="1332"/>
      <c r="ZR185" s="1332"/>
      <c r="ZS185" s="1332"/>
      <c r="ZT185" s="1332"/>
      <c r="ZU185" s="1332"/>
      <c r="ZV185" s="1332"/>
      <c r="ZW185" s="1332"/>
      <c r="ZX185" s="1332"/>
      <c r="ZY185" s="1332"/>
      <c r="ZZ185" s="1332"/>
      <c r="AAA185" s="1332"/>
      <c r="AAB185" s="1332"/>
      <c r="AAC185" s="1332"/>
      <c r="AAD185" s="1332"/>
      <c r="AAE185" s="1332"/>
      <c r="AAF185" s="1332"/>
      <c r="AAG185" s="1332"/>
      <c r="AAH185" s="1332"/>
      <c r="AAI185" s="1332"/>
      <c r="AAJ185" s="1332"/>
      <c r="AAK185" s="1332"/>
      <c r="AAL185" s="1332"/>
      <c r="AAM185" s="1332"/>
      <c r="AAN185" s="1332"/>
      <c r="AAO185" s="1332"/>
      <c r="AAP185" s="1332"/>
      <c r="AAQ185" s="1332"/>
      <c r="AAR185" s="1332"/>
      <c r="AAS185" s="1332"/>
      <c r="AAT185" s="1332"/>
      <c r="AAU185" s="1332"/>
      <c r="AAV185" s="1332"/>
      <c r="AAW185" s="1332"/>
      <c r="AAX185" s="1332"/>
      <c r="AAY185" s="1332"/>
      <c r="AAZ185" s="1332"/>
      <c r="ABA185" s="1332"/>
      <c r="ABB185" s="1332"/>
      <c r="ABC185" s="1332"/>
      <c r="ABD185" s="1332"/>
      <c r="ABE185" s="1332"/>
      <c r="ABF185" s="1332"/>
      <c r="ABG185" s="1332"/>
      <c r="ABH185" s="1332"/>
      <c r="ABI185" s="1332"/>
      <c r="ABJ185" s="1332"/>
      <c r="ABK185" s="1332"/>
      <c r="ABL185" s="1332"/>
      <c r="ABM185" s="1332"/>
      <c r="ABN185" s="1332"/>
      <c r="ABO185" s="1332"/>
      <c r="ABP185" s="1332"/>
      <c r="ABQ185" s="1332"/>
      <c r="ABR185" s="1332"/>
      <c r="ABS185" s="1332"/>
      <c r="ABT185" s="1332"/>
      <c r="ABU185" s="1332"/>
      <c r="ABV185" s="1332"/>
      <c r="ABW185" s="1332"/>
      <c r="ABX185" s="1332"/>
      <c r="ABY185" s="1332"/>
      <c r="ABZ185" s="1332"/>
      <c r="ACA185" s="1332"/>
      <c r="ACB185" s="1332"/>
      <c r="ACC185" s="1332"/>
      <c r="ACD185" s="1332"/>
      <c r="ACE185" s="1332"/>
      <c r="ACF185" s="1332"/>
      <c r="ACG185" s="1332"/>
      <c r="ACH185" s="1332"/>
      <c r="ACI185" s="1332"/>
      <c r="ACJ185" s="1332"/>
      <c r="ACK185" s="1332"/>
      <c r="ACL185" s="1332"/>
      <c r="ACM185" s="1332"/>
      <c r="ACN185" s="1332"/>
      <c r="ACO185" s="1332"/>
      <c r="ACP185" s="1332"/>
      <c r="ACQ185" s="1332"/>
      <c r="ACR185" s="1332"/>
      <c r="ACS185" s="1332"/>
      <c r="ACT185" s="1332"/>
      <c r="ACU185" s="1332"/>
      <c r="ACV185" s="1332"/>
      <c r="ACW185" s="1332"/>
      <c r="ACX185" s="1332"/>
      <c r="ACY185" s="1332"/>
      <c r="ACZ185" s="1332"/>
      <c r="ADA185" s="1332"/>
      <c r="ADB185" s="1332"/>
      <c r="ADC185" s="1332"/>
      <c r="ADD185" s="1332"/>
      <c r="ADE185" s="1332"/>
      <c r="ADF185" s="1332"/>
      <c r="ADG185" s="1332"/>
      <c r="ADH185" s="1332"/>
      <c r="ADI185" s="1332"/>
      <c r="ADJ185" s="1332"/>
      <c r="ADK185" s="1332"/>
      <c r="ADL185" s="1332"/>
      <c r="ADM185" s="1332"/>
      <c r="ADN185" s="1332"/>
      <c r="ADO185" s="1332"/>
      <c r="ADP185" s="1332"/>
      <c r="ADQ185" s="1332"/>
      <c r="ADR185" s="1332"/>
      <c r="ADS185" s="1332"/>
      <c r="ADT185" s="1332"/>
      <c r="ADU185" s="1332"/>
      <c r="ADV185" s="1332"/>
      <c r="ADW185" s="1332"/>
      <c r="ADX185" s="1332"/>
      <c r="ADY185" s="1332"/>
      <c r="ADZ185" s="1332"/>
      <c r="AEA185" s="1332"/>
      <c r="AEB185" s="1332"/>
      <c r="AEC185" s="1332"/>
      <c r="AED185" s="1332"/>
      <c r="AEE185" s="1332"/>
      <c r="AEF185" s="1332"/>
      <c r="AEG185" s="1332"/>
      <c r="AEH185" s="1332"/>
      <c r="AEI185" s="1332"/>
      <c r="AEJ185" s="1332"/>
      <c r="AEK185" s="1332"/>
      <c r="AEL185" s="1332"/>
      <c r="AEM185" s="1332"/>
      <c r="AEN185" s="1332"/>
      <c r="AEO185" s="1332"/>
      <c r="AEP185" s="1332"/>
      <c r="AEQ185" s="1332"/>
      <c r="AER185" s="1332"/>
      <c r="AES185" s="1332"/>
      <c r="AET185" s="1332"/>
      <c r="AEU185" s="1332"/>
      <c r="AEV185" s="1332"/>
      <c r="AEW185" s="1332"/>
      <c r="AEX185" s="1332"/>
      <c r="AEY185" s="1332"/>
      <c r="AEZ185" s="1332"/>
      <c r="AFA185" s="1332"/>
      <c r="AFB185" s="1332"/>
      <c r="AFC185" s="1332"/>
      <c r="AFD185" s="1332"/>
      <c r="AFE185" s="1332"/>
      <c r="AFF185" s="1332"/>
      <c r="AFG185" s="1332"/>
      <c r="AFH185" s="1332"/>
      <c r="AFI185" s="1332"/>
      <c r="AFJ185" s="1332"/>
      <c r="AFK185" s="1332"/>
      <c r="AFL185" s="1332"/>
      <c r="AFM185" s="1332"/>
      <c r="AFN185" s="1332"/>
      <c r="AFO185" s="1332"/>
      <c r="AFP185" s="1332"/>
      <c r="AFQ185" s="1332"/>
      <c r="AFR185" s="1332"/>
      <c r="AFS185" s="1332"/>
      <c r="AFT185" s="1332"/>
      <c r="AFU185" s="1332"/>
      <c r="AFV185" s="1332"/>
      <c r="AFW185" s="1332"/>
      <c r="AFX185" s="1332"/>
      <c r="AFY185" s="1332"/>
      <c r="AFZ185" s="1332"/>
      <c r="AGA185" s="1332"/>
      <c r="AGB185" s="1332"/>
      <c r="AGC185" s="1332"/>
      <c r="AGD185" s="1332"/>
      <c r="AGE185" s="1332"/>
      <c r="AGF185" s="1332"/>
      <c r="AGG185" s="1332"/>
      <c r="AGH185" s="1332"/>
      <c r="AGI185" s="1332"/>
      <c r="AGJ185" s="1332"/>
      <c r="AGK185" s="1332"/>
      <c r="AGL185" s="1332"/>
      <c r="AGM185" s="1332"/>
      <c r="AGN185" s="1332"/>
      <c r="AGO185" s="1332"/>
      <c r="AGP185" s="1332"/>
      <c r="AGQ185" s="1332"/>
      <c r="AGR185" s="1332"/>
      <c r="AGS185" s="1332"/>
      <c r="AGT185" s="1332"/>
      <c r="AGU185" s="1332"/>
      <c r="AGV185" s="1332"/>
      <c r="AGW185" s="1332"/>
      <c r="AGX185" s="1332"/>
      <c r="AGY185" s="1332"/>
      <c r="AGZ185" s="1332"/>
      <c r="AHA185" s="1332"/>
      <c r="AHB185" s="1332"/>
      <c r="AHC185" s="1332"/>
      <c r="AHD185" s="1332"/>
      <c r="AHE185" s="1332"/>
      <c r="AHF185" s="1332"/>
      <c r="AHG185" s="1332"/>
      <c r="AHH185" s="1332"/>
      <c r="AHI185" s="1332"/>
      <c r="AHJ185" s="1332"/>
      <c r="AHK185" s="1332"/>
      <c r="AHL185" s="1332"/>
      <c r="AHM185" s="1332"/>
      <c r="AHN185" s="1332"/>
      <c r="AHO185" s="1332"/>
      <c r="AHP185" s="1332"/>
      <c r="AHQ185" s="1332"/>
      <c r="AHR185" s="1332"/>
      <c r="AHS185" s="1332"/>
      <c r="AHT185" s="1332"/>
      <c r="AHU185" s="1332"/>
      <c r="AHV185" s="1332"/>
      <c r="AHW185" s="1332"/>
      <c r="AHX185" s="1332"/>
      <c r="AHY185" s="1332"/>
      <c r="AHZ185" s="1332"/>
      <c r="AIA185" s="1332"/>
      <c r="AIB185" s="1332"/>
      <c r="AIC185" s="1332"/>
      <c r="AID185" s="1332"/>
      <c r="AIE185" s="1332"/>
      <c r="AIF185" s="1332"/>
      <c r="AIG185" s="1332"/>
      <c r="AIH185" s="1332"/>
      <c r="AII185" s="1332"/>
      <c r="AIJ185" s="1332"/>
      <c r="AIK185" s="1332"/>
      <c r="AIL185" s="1332"/>
      <c r="AIM185" s="1332"/>
      <c r="AIN185" s="1332"/>
      <c r="AIO185" s="1332"/>
      <c r="AIP185" s="1332"/>
      <c r="AIQ185" s="1332"/>
      <c r="AIR185" s="1332"/>
      <c r="AIS185" s="1332"/>
      <c r="AIT185" s="1332"/>
      <c r="AIU185" s="1332"/>
      <c r="AIV185" s="1332"/>
      <c r="AIW185" s="1332"/>
      <c r="AIX185" s="1332"/>
      <c r="AIY185" s="1332"/>
      <c r="AIZ185" s="1332"/>
      <c r="AJA185" s="1332"/>
      <c r="AJB185" s="1332"/>
      <c r="AJC185" s="1332"/>
      <c r="AJD185" s="1332"/>
      <c r="AJE185" s="1332"/>
      <c r="AJF185" s="1332"/>
      <c r="AJG185" s="1332"/>
      <c r="AJH185" s="1332"/>
      <c r="AJI185" s="1332"/>
      <c r="AJJ185" s="1332"/>
      <c r="AJK185" s="1332"/>
      <c r="AJL185" s="1332"/>
      <c r="AJM185" s="1332"/>
      <c r="AJN185" s="1332"/>
      <c r="AJO185" s="1332"/>
      <c r="AJP185" s="1332"/>
      <c r="AJQ185" s="1332"/>
      <c r="AJR185" s="1332"/>
      <c r="AJS185" s="1332"/>
      <c r="AJT185" s="1332"/>
      <c r="AJU185" s="1332"/>
      <c r="AJV185" s="1332"/>
      <c r="AJW185" s="1332"/>
      <c r="AJX185" s="1332"/>
      <c r="AJY185" s="1332"/>
      <c r="AJZ185" s="1332"/>
      <c r="AKA185" s="1332"/>
      <c r="AKB185" s="1332"/>
      <c r="AKC185" s="1332"/>
      <c r="AKD185" s="1332"/>
      <c r="AKE185" s="1332"/>
      <c r="AKF185" s="1332"/>
      <c r="AKG185" s="1332"/>
      <c r="AKH185" s="1332"/>
      <c r="AKI185" s="1332"/>
      <c r="AKJ185" s="1332"/>
      <c r="AKK185" s="1332"/>
      <c r="AKL185" s="1332"/>
      <c r="AKM185" s="1332"/>
      <c r="AKN185" s="1332"/>
      <c r="AKO185" s="1332"/>
      <c r="AKP185" s="1332"/>
      <c r="AKQ185" s="1332"/>
      <c r="AKR185" s="1332"/>
      <c r="AKS185" s="1332"/>
      <c r="AKT185" s="1332"/>
      <c r="AKU185" s="1332"/>
      <c r="AKV185" s="1332"/>
      <c r="AKW185" s="1332"/>
      <c r="AKX185" s="1332"/>
      <c r="AKY185" s="1332"/>
      <c r="AKZ185" s="1332"/>
      <c r="ALA185" s="1332"/>
      <c r="ALB185" s="1332"/>
      <c r="ALC185" s="1332"/>
      <c r="ALD185" s="1332"/>
      <c r="ALE185" s="1332"/>
      <c r="ALF185" s="1332"/>
      <c r="ALG185" s="1332"/>
      <c r="ALH185" s="1332"/>
      <c r="ALI185" s="1332"/>
      <c r="ALJ185" s="1332"/>
      <c r="ALK185" s="1332"/>
      <c r="ALL185" s="1332"/>
      <c r="ALM185" s="1332"/>
      <c r="ALN185" s="1332"/>
      <c r="ALO185" s="1332"/>
      <c r="ALP185" s="1332"/>
      <c r="ALQ185" s="1332"/>
      <c r="ALR185" s="1332"/>
      <c r="ALS185" s="1332"/>
      <c r="ALT185" s="1332"/>
      <c r="ALU185" s="1332"/>
      <c r="ALV185" s="1332"/>
      <c r="ALW185" s="1332"/>
      <c r="ALX185" s="1332"/>
      <c r="ALY185" s="1332"/>
      <c r="ALZ185" s="1332"/>
      <c r="AMA185" s="1332"/>
      <c r="AMB185" s="1332"/>
      <c r="AMC185" s="1332"/>
      <c r="AMD185" s="1332"/>
      <c r="AME185" s="1332"/>
      <c r="AMF185" s="1332"/>
      <c r="AMG185" s="1332"/>
      <c r="AMH185" s="1332"/>
      <c r="AMI185" s="1332"/>
      <c r="AMJ185" s="1332"/>
      <c r="AMK185" s="1332"/>
      <c r="AML185" s="1332"/>
      <c r="AMM185" s="1332"/>
      <c r="AMN185" s="1332"/>
      <c r="AMO185" s="1332"/>
      <c r="AMP185" s="1332"/>
      <c r="AMQ185" s="1332"/>
      <c r="AMR185" s="1332"/>
      <c r="AMS185" s="1332"/>
      <c r="AMT185" s="1332"/>
      <c r="AMU185" s="1332"/>
      <c r="AMV185" s="1332"/>
      <c r="AMW185" s="1332"/>
      <c r="AMX185" s="1332"/>
      <c r="AMY185" s="1332"/>
      <c r="AMZ185" s="1332"/>
      <c r="ANA185" s="1332"/>
      <c r="ANB185" s="1332"/>
      <c r="ANC185" s="1332"/>
      <c r="AND185" s="1332"/>
      <c r="ANE185" s="1332"/>
      <c r="ANF185" s="1332"/>
      <c r="ANG185" s="1332"/>
      <c r="ANH185" s="1332"/>
      <c r="ANI185" s="1332"/>
      <c r="ANJ185" s="1332"/>
      <c r="ANK185" s="1332"/>
      <c r="ANL185" s="1332"/>
      <c r="ANM185" s="1332"/>
      <c r="ANN185" s="1332"/>
      <c r="ANO185" s="1332"/>
      <c r="ANP185" s="1332"/>
      <c r="ANQ185" s="1332"/>
      <c r="ANR185" s="1332"/>
      <c r="ANS185" s="1332"/>
      <c r="ANT185" s="1332"/>
      <c r="ANU185" s="1332"/>
      <c r="ANV185" s="1332"/>
      <c r="ANW185" s="1332"/>
      <c r="ANX185" s="1332"/>
      <c r="ANY185" s="1332"/>
      <c r="ANZ185" s="1332"/>
      <c r="AOA185" s="1332"/>
      <c r="AOB185" s="1332"/>
      <c r="AOC185" s="1332"/>
      <c r="AOD185" s="1332"/>
      <c r="AOE185" s="1332"/>
      <c r="AOF185" s="1332"/>
      <c r="AOG185" s="1332"/>
      <c r="AOH185" s="1332"/>
      <c r="AOI185" s="1332"/>
      <c r="AOJ185" s="1332"/>
      <c r="AOK185" s="1332"/>
      <c r="AOL185" s="1332"/>
      <c r="AOM185" s="1332"/>
      <c r="AON185" s="1332"/>
      <c r="AOO185" s="1332"/>
      <c r="AOP185" s="1332"/>
      <c r="AOQ185" s="1332"/>
      <c r="AOR185" s="1332"/>
      <c r="AOS185" s="1332"/>
      <c r="AOT185" s="1332"/>
      <c r="AOU185" s="1332"/>
      <c r="AOV185" s="1332"/>
      <c r="AOW185" s="1332"/>
      <c r="AOX185" s="1332"/>
      <c r="AOY185" s="1332"/>
      <c r="AOZ185" s="1332"/>
      <c r="APA185" s="1332"/>
      <c r="APB185" s="1332"/>
      <c r="APC185" s="1332"/>
      <c r="APD185" s="1332"/>
      <c r="APE185" s="1332"/>
      <c r="APF185" s="1332"/>
      <c r="APG185" s="1332"/>
      <c r="APH185" s="1332"/>
      <c r="API185" s="1332"/>
      <c r="APJ185" s="1332"/>
      <c r="APK185" s="1332"/>
      <c r="APL185" s="1332"/>
      <c r="APM185" s="1332"/>
      <c r="APN185" s="1332"/>
      <c r="APO185" s="1332"/>
      <c r="APP185" s="1332"/>
      <c r="APQ185" s="1332"/>
      <c r="APR185" s="1332"/>
      <c r="APS185" s="1332"/>
      <c r="APT185" s="1332"/>
      <c r="APU185" s="1332"/>
      <c r="APV185" s="1332"/>
      <c r="APW185" s="1332"/>
      <c r="APX185" s="1332"/>
      <c r="APY185" s="1332"/>
      <c r="APZ185" s="1332"/>
      <c r="AQA185" s="1332"/>
      <c r="AQB185" s="1332"/>
      <c r="AQC185" s="1332"/>
      <c r="AQD185" s="1332"/>
      <c r="AQE185" s="1332"/>
      <c r="AQF185" s="1332"/>
      <c r="AQG185" s="1332"/>
      <c r="AQH185" s="1332"/>
      <c r="AQI185" s="1332"/>
      <c r="AQJ185" s="1332"/>
      <c r="AQK185" s="1332"/>
      <c r="AQL185" s="1332"/>
      <c r="AQM185" s="1332"/>
      <c r="AQN185" s="1332"/>
      <c r="AQO185" s="1332"/>
      <c r="AQP185" s="1332"/>
      <c r="AQQ185" s="1332"/>
      <c r="AQR185" s="1332"/>
      <c r="AQS185" s="1332"/>
      <c r="AQT185" s="1332"/>
      <c r="AQU185" s="1332"/>
      <c r="AQV185" s="1332"/>
      <c r="AQW185" s="1332"/>
      <c r="AQX185" s="1332"/>
      <c r="AQY185" s="1332"/>
      <c r="AQZ185" s="1332"/>
      <c r="ARA185" s="1332"/>
      <c r="ARB185" s="1332"/>
      <c r="ARC185" s="1332"/>
      <c r="ARD185" s="1332"/>
      <c r="ARE185" s="1332"/>
      <c r="ARF185" s="1332"/>
      <c r="ARG185" s="1332"/>
      <c r="ARH185" s="1332"/>
      <c r="ARI185" s="1332"/>
      <c r="ARJ185" s="1332"/>
      <c r="ARK185" s="1332"/>
      <c r="ARL185" s="1332"/>
      <c r="ARM185" s="1332"/>
      <c r="ARN185" s="1332"/>
      <c r="ARO185" s="1332"/>
      <c r="ARP185" s="1332"/>
      <c r="ARQ185" s="1332"/>
      <c r="ARR185" s="1332"/>
      <c r="ARS185" s="1332"/>
      <c r="ART185" s="1332"/>
      <c r="ARU185" s="1332"/>
      <c r="ARV185" s="1332"/>
      <c r="ARW185" s="1332"/>
      <c r="ARX185" s="1332"/>
      <c r="ARY185" s="1332"/>
      <c r="ARZ185" s="1332"/>
      <c r="ASA185" s="1332"/>
      <c r="ASB185" s="1332"/>
      <c r="ASC185" s="1332"/>
      <c r="ASD185" s="1332"/>
      <c r="ASE185" s="1332"/>
      <c r="ASF185" s="1332"/>
      <c r="ASG185" s="1332"/>
      <c r="ASH185" s="1332"/>
      <c r="ASI185" s="1332"/>
      <c r="ASJ185" s="1332"/>
      <c r="ASK185" s="1332"/>
      <c r="ASL185" s="1332"/>
      <c r="ASM185" s="1332"/>
      <c r="ASN185" s="1332"/>
      <c r="ASO185" s="1332"/>
      <c r="ASP185" s="1332"/>
      <c r="ASQ185" s="1332"/>
      <c r="ASR185" s="1332"/>
      <c r="ASS185" s="1332"/>
      <c r="AST185" s="1332"/>
      <c r="ASU185" s="1332"/>
      <c r="ASV185" s="1332"/>
      <c r="ASW185" s="1332"/>
      <c r="ASX185" s="1332"/>
      <c r="ASY185" s="1332"/>
      <c r="ASZ185" s="1332"/>
      <c r="ATA185" s="1332"/>
      <c r="ATB185" s="1332"/>
      <c r="ATC185" s="1332"/>
      <c r="ATD185" s="1332"/>
      <c r="ATE185" s="1332"/>
      <c r="ATF185" s="1332"/>
      <c r="ATG185" s="1332"/>
      <c r="ATH185" s="1332"/>
      <c r="ATI185" s="1332"/>
      <c r="ATJ185" s="1332"/>
      <c r="ATK185" s="1332"/>
      <c r="ATL185" s="1332"/>
      <c r="ATM185" s="1332"/>
      <c r="ATN185" s="1332"/>
      <c r="ATO185" s="1332"/>
      <c r="ATP185" s="1332"/>
      <c r="ATQ185" s="1332"/>
      <c r="ATR185" s="1332"/>
      <c r="ATS185" s="1332"/>
      <c r="ATT185" s="1332"/>
      <c r="ATU185" s="1332"/>
      <c r="ATV185" s="1332"/>
      <c r="ATW185" s="1332"/>
      <c r="ATX185" s="1332"/>
      <c r="ATY185" s="1332"/>
      <c r="ATZ185" s="1332"/>
      <c r="AUA185" s="1332"/>
      <c r="AUB185" s="1332"/>
      <c r="AUC185" s="1332"/>
      <c r="AUD185" s="1332"/>
      <c r="AUE185" s="1332"/>
      <c r="AUF185" s="1332"/>
      <c r="AUG185" s="1332"/>
      <c r="AUH185" s="1332"/>
      <c r="AUI185" s="1332"/>
      <c r="AUJ185" s="1332"/>
      <c r="AUK185" s="1332"/>
      <c r="AUL185" s="1332"/>
      <c r="AUM185" s="1332"/>
      <c r="AUN185" s="1332"/>
      <c r="AUO185" s="1332"/>
      <c r="AUP185" s="1332"/>
      <c r="AUQ185" s="1332"/>
      <c r="AUR185" s="1332"/>
      <c r="AUS185" s="1332"/>
      <c r="AUT185" s="1332"/>
      <c r="AUU185" s="1332"/>
      <c r="AUV185" s="1332"/>
      <c r="AUW185" s="1332"/>
      <c r="AUX185" s="1332"/>
      <c r="AUY185" s="1332"/>
      <c r="AUZ185" s="1332"/>
      <c r="AVA185" s="1332"/>
      <c r="AVB185" s="1332"/>
      <c r="AVC185" s="1332"/>
      <c r="AVD185" s="1332"/>
      <c r="AVE185" s="1332"/>
      <c r="AVF185" s="1332"/>
      <c r="AVG185" s="1332"/>
      <c r="AVH185" s="1332"/>
      <c r="AVI185" s="1332"/>
      <c r="AVJ185" s="1332"/>
      <c r="AVK185" s="1332"/>
      <c r="AVL185" s="1332"/>
      <c r="AVM185" s="1332"/>
      <c r="AVN185" s="1332"/>
      <c r="AVO185" s="1332"/>
      <c r="AVP185" s="1332"/>
      <c r="AVQ185" s="1332"/>
      <c r="AVR185" s="1332"/>
      <c r="AVS185" s="1332"/>
      <c r="AVT185" s="1332"/>
      <c r="AVU185" s="1332"/>
      <c r="AVV185" s="1332"/>
      <c r="AVW185" s="1332"/>
      <c r="AVX185" s="1332"/>
      <c r="AVY185" s="1332"/>
      <c r="AVZ185" s="1332"/>
      <c r="AWA185" s="1332"/>
      <c r="AWB185" s="1332"/>
      <c r="AWC185" s="1332"/>
      <c r="AWD185" s="1332"/>
      <c r="AWE185" s="1332"/>
      <c r="AWF185" s="1332"/>
      <c r="AWG185" s="1332"/>
      <c r="AWH185" s="1332"/>
      <c r="AWI185" s="1332"/>
      <c r="AWJ185" s="1332"/>
      <c r="AWK185" s="1332"/>
      <c r="AWL185" s="1332"/>
      <c r="AWM185" s="1332"/>
      <c r="AWN185" s="1332"/>
      <c r="AWO185" s="1332"/>
      <c r="AWP185" s="1332"/>
      <c r="AWQ185" s="1332"/>
      <c r="AWR185" s="1332"/>
      <c r="AWS185" s="1332"/>
      <c r="AWT185" s="1332"/>
      <c r="AWU185" s="1332"/>
      <c r="AWV185" s="1332"/>
      <c r="AWW185" s="1332"/>
      <c r="AWX185" s="1332"/>
      <c r="AWY185" s="1332"/>
      <c r="AWZ185" s="1332"/>
      <c r="AXA185" s="1332"/>
      <c r="AXB185" s="1332"/>
      <c r="AXC185" s="1332"/>
      <c r="AXD185" s="1332"/>
      <c r="AXE185" s="1332"/>
      <c r="AXF185" s="1332"/>
      <c r="AXG185" s="1332"/>
      <c r="AXH185" s="1332"/>
      <c r="AXI185" s="1332"/>
      <c r="AXJ185" s="1332"/>
      <c r="AXK185" s="1332"/>
      <c r="AXL185" s="1332"/>
      <c r="AXM185" s="1332"/>
      <c r="AXN185" s="1332"/>
      <c r="AXO185" s="1332"/>
      <c r="AXP185" s="1332"/>
      <c r="AXQ185" s="1332"/>
      <c r="AXR185" s="1332"/>
      <c r="AXS185" s="1332"/>
      <c r="AXT185" s="1332"/>
      <c r="AXU185" s="1332"/>
      <c r="AXV185" s="1332"/>
      <c r="AXW185" s="1332"/>
      <c r="AXX185" s="1332"/>
      <c r="AXY185" s="1332"/>
      <c r="AXZ185" s="1332"/>
      <c r="AYA185" s="1332"/>
      <c r="AYB185" s="1332"/>
      <c r="AYC185" s="1332"/>
      <c r="AYD185" s="1332"/>
      <c r="AYE185" s="1332"/>
      <c r="AYF185" s="1332"/>
      <c r="AYG185" s="1332"/>
      <c r="AYH185" s="1332"/>
      <c r="AYI185" s="1332"/>
      <c r="AYJ185" s="1332"/>
      <c r="AYK185" s="1332"/>
      <c r="AYL185" s="1332"/>
      <c r="AYM185" s="1332"/>
      <c r="AYN185" s="1332"/>
      <c r="AYO185" s="1332"/>
      <c r="AYP185" s="1332"/>
      <c r="AYQ185" s="1332"/>
      <c r="AYR185" s="1332"/>
      <c r="AYS185" s="1332"/>
      <c r="AYT185" s="1332"/>
      <c r="AYU185" s="1332"/>
      <c r="AYV185" s="1332"/>
      <c r="AYW185" s="1332"/>
      <c r="AYX185" s="1332"/>
      <c r="AYY185" s="1332"/>
      <c r="AYZ185" s="1332"/>
      <c r="AZA185" s="1332"/>
      <c r="AZB185" s="1332"/>
      <c r="AZC185" s="1332"/>
      <c r="AZD185" s="1332"/>
      <c r="AZE185" s="1332"/>
      <c r="AZF185" s="1332"/>
      <c r="AZG185" s="1332"/>
      <c r="AZH185" s="1332"/>
      <c r="AZI185" s="1332"/>
      <c r="AZJ185" s="1332"/>
      <c r="AZK185" s="1332"/>
      <c r="AZL185" s="1332"/>
      <c r="AZM185" s="1332"/>
      <c r="AZN185" s="1332"/>
      <c r="AZO185" s="1332"/>
      <c r="AZP185" s="1332"/>
      <c r="AZQ185" s="1332"/>
      <c r="AZR185" s="1332"/>
      <c r="AZS185" s="1332"/>
      <c r="AZT185" s="1332"/>
      <c r="AZU185" s="1332"/>
      <c r="AZV185" s="1332"/>
      <c r="AZW185" s="1332"/>
      <c r="AZX185" s="1332"/>
      <c r="AZY185" s="1332"/>
      <c r="AZZ185" s="1332"/>
      <c r="BAA185" s="1332"/>
      <c r="BAB185" s="1332"/>
      <c r="BAC185" s="1332"/>
      <c r="BAD185" s="1332"/>
      <c r="BAE185" s="1332"/>
      <c r="BAF185" s="1332"/>
      <c r="BAG185" s="1332"/>
      <c r="BAH185" s="1332"/>
      <c r="BAI185" s="1332"/>
      <c r="BAJ185" s="1332"/>
      <c r="BAK185" s="1332"/>
      <c r="BAL185" s="1332"/>
      <c r="BAM185" s="1332"/>
      <c r="BAN185" s="1332"/>
      <c r="BAO185" s="1332"/>
      <c r="BAP185" s="1332"/>
      <c r="BAQ185" s="1332"/>
      <c r="BAR185" s="1332"/>
      <c r="BAS185" s="1332"/>
      <c r="BAT185" s="1332"/>
      <c r="BAU185" s="1332"/>
      <c r="BAV185" s="1332"/>
      <c r="BAW185" s="1332"/>
      <c r="BAX185" s="1332"/>
      <c r="BAY185" s="1332"/>
      <c r="BAZ185" s="1332"/>
      <c r="BBA185" s="1332"/>
      <c r="BBB185" s="1332"/>
      <c r="BBC185" s="1332"/>
      <c r="BBD185" s="1332"/>
      <c r="BBE185" s="1332"/>
      <c r="BBF185" s="1332"/>
      <c r="BBG185" s="1332"/>
      <c r="BBH185" s="1332"/>
      <c r="BBI185" s="1332"/>
      <c r="BBJ185" s="1332"/>
      <c r="BBK185" s="1332"/>
      <c r="BBL185" s="1332"/>
      <c r="BBM185" s="1332"/>
      <c r="BBN185" s="1332"/>
      <c r="BBO185" s="1332"/>
      <c r="BBP185" s="1332"/>
      <c r="BBQ185" s="1332"/>
      <c r="BBR185" s="1332"/>
      <c r="BBS185" s="1332"/>
      <c r="BBT185" s="1332"/>
      <c r="BBU185" s="1332"/>
      <c r="BBV185" s="1332"/>
      <c r="BBW185" s="1332"/>
      <c r="BBX185" s="1332"/>
      <c r="BBY185" s="1332"/>
      <c r="BBZ185" s="1332"/>
      <c r="BCA185" s="1332"/>
      <c r="BCB185" s="1332"/>
      <c r="BCC185" s="1332"/>
      <c r="BCD185" s="1332"/>
      <c r="BCE185" s="1332"/>
      <c r="BCF185" s="1332"/>
      <c r="BCG185" s="1332"/>
      <c r="BCH185" s="1332"/>
      <c r="BCI185" s="1332"/>
      <c r="BCJ185" s="1332"/>
      <c r="BCK185" s="1332"/>
      <c r="BCL185" s="1332"/>
      <c r="BCM185" s="1332"/>
      <c r="BCN185" s="1332"/>
      <c r="BCO185" s="1332"/>
      <c r="BCP185" s="1332"/>
      <c r="BCQ185" s="1332"/>
      <c r="BCR185" s="1332"/>
      <c r="BCS185" s="1332"/>
      <c r="BCT185" s="1332"/>
      <c r="BCU185" s="1332"/>
      <c r="BCV185" s="1332"/>
      <c r="BCW185" s="1332"/>
      <c r="BCX185" s="1332"/>
      <c r="BCY185" s="1332"/>
      <c r="BCZ185" s="1332"/>
      <c r="BDA185" s="1332"/>
      <c r="BDB185" s="1332"/>
      <c r="BDC185" s="1332"/>
      <c r="BDD185" s="1332"/>
      <c r="BDE185" s="1332"/>
      <c r="BDF185" s="1332"/>
      <c r="BDG185" s="1332"/>
      <c r="BDH185" s="1332"/>
      <c r="BDI185" s="1332"/>
      <c r="BDJ185" s="1332"/>
      <c r="BDK185" s="1332"/>
      <c r="BDL185" s="1332"/>
      <c r="BDM185" s="1332"/>
      <c r="BDN185" s="1332"/>
      <c r="BDO185" s="1332"/>
      <c r="BDP185" s="1332"/>
      <c r="BDQ185" s="1332"/>
      <c r="BDR185" s="1332"/>
      <c r="BDS185" s="1332"/>
      <c r="BDT185" s="1332"/>
      <c r="BDU185" s="1332"/>
      <c r="BDV185" s="1332"/>
      <c r="BDW185" s="1332"/>
      <c r="BDX185" s="1332"/>
      <c r="BDY185" s="1332"/>
      <c r="BDZ185" s="1332"/>
      <c r="BEA185" s="1332"/>
      <c r="BEB185" s="1332"/>
      <c r="BEC185" s="1332"/>
      <c r="BED185" s="1332"/>
      <c r="BEE185" s="1332"/>
      <c r="BEF185" s="1332"/>
      <c r="BEG185" s="1332"/>
      <c r="BEH185" s="1332"/>
      <c r="BEI185" s="1332"/>
      <c r="BEJ185" s="1332"/>
      <c r="BEK185" s="1332"/>
      <c r="BEL185" s="1332"/>
      <c r="BEM185" s="1332"/>
      <c r="BEN185" s="1332"/>
      <c r="BEO185" s="1332"/>
      <c r="BEP185" s="1332"/>
      <c r="BEQ185" s="1332"/>
      <c r="BER185" s="1332"/>
      <c r="BES185" s="1332"/>
      <c r="BET185" s="1332"/>
      <c r="BEU185" s="1332"/>
      <c r="BEV185" s="1332"/>
      <c r="BEW185" s="1332"/>
      <c r="BEX185" s="1332"/>
      <c r="BEY185" s="1332"/>
      <c r="BEZ185" s="1332"/>
      <c r="BFA185" s="1332"/>
      <c r="BFB185" s="1332"/>
      <c r="BFC185" s="1332"/>
      <c r="BFD185" s="1332"/>
      <c r="BFE185" s="1332"/>
      <c r="BFF185" s="1332"/>
      <c r="BFG185" s="1332"/>
      <c r="BFH185" s="1332"/>
      <c r="BFI185" s="1332"/>
      <c r="BFJ185" s="1332"/>
      <c r="BFK185" s="1332"/>
      <c r="BFL185" s="1332"/>
      <c r="BFM185" s="1332"/>
      <c r="BFN185" s="1332"/>
      <c r="BFO185" s="1332"/>
      <c r="BFP185" s="1332"/>
      <c r="BFQ185" s="1332"/>
      <c r="BFR185" s="1332"/>
      <c r="BFS185" s="1332"/>
      <c r="BFT185" s="1332"/>
      <c r="BFU185" s="1332"/>
      <c r="BFV185" s="1332"/>
      <c r="BFW185" s="1332"/>
      <c r="BFX185" s="1332"/>
      <c r="BFY185" s="1332"/>
      <c r="BFZ185" s="1332"/>
      <c r="BGA185" s="1332"/>
      <c r="BGB185" s="1332"/>
      <c r="BGC185" s="1332"/>
      <c r="BGD185" s="1332"/>
      <c r="BGE185" s="1332"/>
      <c r="BGF185" s="1332"/>
      <c r="BGG185" s="1332"/>
      <c r="BGH185" s="1332"/>
      <c r="BGI185" s="1332"/>
      <c r="BGJ185" s="1332"/>
      <c r="BGK185" s="1332"/>
      <c r="BGL185" s="1332"/>
      <c r="BGM185" s="1332"/>
      <c r="BGN185" s="1332"/>
      <c r="BGO185" s="1332"/>
      <c r="BGP185" s="1332"/>
      <c r="BGQ185" s="1332"/>
      <c r="BGR185" s="1332"/>
      <c r="BGS185" s="1332"/>
      <c r="BGT185" s="1332"/>
      <c r="BGU185" s="1332"/>
      <c r="BGV185" s="1332"/>
      <c r="BGW185" s="1332"/>
      <c r="BGX185" s="1332"/>
      <c r="BGY185" s="1332"/>
      <c r="BGZ185" s="1332"/>
      <c r="BHA185" s="1332"/>
      <c r="BHB185" s="1332"/>
      <c r="BHC185" s="1332"/>
      <c r="BHD185" s="1332"/>
      <c r="BHE185" s="1332"/>
      <c r="BHF185" s="1332"/>
      <c r="BHG185" s="1332"/>
      <c r="BHH185" s="1332"/>
      <c r="BHI185" s="1332"/>
      <c r="BHJ185" s="1332"/>
      <c r="BHK185" s="1332"/>
      <c r="BHL185" s="1332"/>
      <c r="BHM185" s="1332"/>
      <c r="BHN185" s="1332"/>
      <c r="BHO185" s="1332"/>
      <c r="BHP185" s="1332"/>
      <c r="BHQ185" s="1332"/>
      <c r="BHR185" s="1332"/>
      <c r="BHS185" s="1332"/>
      <c r="BHT185" s="1332"/>
      <c r="BHU185" s="1332"/>
      <c r="BHV185" s="1332"/>
      <c r="BHW185" s="1332"/>
      <c r="BHX185" s="1332"/>
      <c r="BHY185" s="1332"/>
      <c r="BHZ185" s="1332"/>
      <c r="BIA185" s="1332"/>
      <c r="BIB185" s="1332"/>
      <c r="BIC185" s="1332"/>
      <c r="BID185" s="1332"/>
      <c r="BIE185" s="1332"/>
      <c r="BIF185" s="1332"/>
      <c r="BIG185" s="1332"/>
      <c r="BIH185" s="1332"/>
      <c r="BII185" s="1332"/>
      <c r="BIJ185" s="1332"/>
      <c r="BIK185" s="1332"/>
      <c r="BIL185" s="1332"/>
      <c r="BIM185" s="1332"/>
      <c r="BIN185" s="1332"/>
      <c r="BIO185" s="1332"/>
      <c r="BIP185" s="1332"/>
      <c r="BIQ185" s="1332"/>
      <c r="BIR185" s="1332"/>
      <c r="BIS185" s="1332"/>
      <c r="BIT185" s="1332"/>
      <c r="BIU185" s="1332"/>
      <c r="BIV185" s="1332"/>
      <c r="BIW185" s="1332"/>
      <c r="BIX185" s="1332"/>
      <c r="BIY185" s="1332"/>
      <c r="BIZ185" s="1332"/>
      <c r="BJA185" s="1332"/>
      <c r="BJB185" s="1332"/>
      <c r="BJC185" s="1332"/>
      <c r="BJD185" s="1332"/>
      <c r="BJE185" s="1332"/>
      <c r="BJF185" s="1332"/>
      <c r="BJG185" s="1332"/>
      <c r="BJH185" s="1332"/>
      <c r="BJI185" s="1332"/>
      <c r="BJJ185" s="1332"/>
      <c r="BJK185" s="1332"/>
      <c r="BJL185" s="1332"/>
      <c r="BJM185" s="1332"/>
      <c r="BJN185" s="1332"/>
      <c r="BJO185" s="1332"/>
      <c r="BJP185" s="1332"/>
      <c r="BJQ185" s="1332"/>
      <c r="BJR185" s="1332"/>
      <c r="BJS185" s="1332"/>
      <c r="BJT185" s="1332"/>
      <c r="BJU185" s="1332"/>
      <c r="BJV185" s="1332"/>
      <c r="BJW185" s="1332"/>
      <c r="BJX185" s="1332"/>
      <c r="BJY185" s="1332"/>
      <c r="BJZ185" s="1332"/>
      <c r="BKA185" s="1332"/>
      <c r="BKB185" s="1332"/>
      <c r="BKC185" s="1332"/>
      <c r="BKD185" s="1332"/>
      <c r="BKE185" s="1332"/>
      <c r="BKF185" s="1332"/>
      <c r="BKG185" s="1332"/>
      <c r="BKH185" s="1332"/>
      <c r="BKI185" s="1332"/>
      <c r="BKJ185" s="1332"/>
      <c r="BKK185" s="1332"/>
      <c r="BKL185" s="1332"/>
      <c r="BKM185" s="1332"/>
      <c r="BKN185" s="1332"/>
      <c r="BKO185" s="1332"/>
      <c r="BKP185" s="1332"/>
      <c r="BKQ185" s="1332"/>
      <c r="BKR185" s="1332"/>
      <c r="BKS185" s="1332"/>
      <c r="BKT185" s="1332"/>
      <c r="BKU185" s="1332"/>
      <c r="BKV185" s="1332"/>
      <c r="BKW185" s="1332"/>
      <c r="BKX185" s="1332"/>
      <c r="BKY185" s="1332"/>
      <c r="BKZ185" s="1332"/>
      <c r="BLA185" s="1332"/>
      <c r="BLB185" s="1332"/>
      <c r="BLC185" s="1332"/>
      <c r="BLD185" s="1332"/>
      <c r="BLE185" s="1332"/>
      <c r="BLF185" s="1332"/>
      <c r="BLG185" s="1332"/>
      <c r="BLH185" s="1332"/>
      <c r="BLI185" s="1332"/>
      <c r="BLJ185" s="1332"/>
      <c r="BLK185" s="1332"/>
      <c r="BLL185" s="1332"/>
      <c r="BLM185" s="1332"/>
      <c r="BLN185" s="1332"/>
      <c r="BLO185" s="1332"/>
      <c r="BLP185" s="1332"/>
      <c r="BLQ185" s="1332"/>
      <c r="BLR185" s="1332"/>
      <c r="BLS185" s="1332"/>
      <c r="BLT185" s="1332"/>
      <c r="BLU185" s="1332"/>
      <c r="BLV185" s="1332"/>
      <c r="BLW185" s="1332"/>
      <c r="BLX185" s="1332"/>
      <c r="BLY185" s="1332"/>
      <c r="BLZ185" s="1332"/>
      <c r="BMA185" s="1332"/>
      <c r="BMB185" s="1332"/>
      <c r="BMC185" s="1332"/>
      <c r="BMD185" s="1332"/>
      <c r="BME185" s="1332"/>
      <c r="BMF185" s="1332"/>
      <c r="BMG185" s="1332"/>
      <c r="BMH185" s="1332"/>
      <c r="BMI185" s="1332"/>
      <c r="BMJ185" s="1332"/>
      <c r="BMK185" s="1332"/>
      <c r="BML185" s="1332"/>
      <c r="BMM185" s="1332"/>
      <c r="BMN185" s="1332"/>
      <c r="BMO185" s="1332"/>
      <c r="BMP185" s="1332"/>
      <c r="BMQ185" s="1332"/>
      <c r="BMR185" s="1332"/>
      <c r="BMS185" s="1332"/>
      <c r="BMT185" s="1332"/>
      <c r="BMU185" s="1332"/>
      <c r="BMV185" s="1332"/>
      <c r="BMW185" s="1332"/>
      <c r="BMX185" s="1332"/>
      <c r="BMY185" s="1332"/>
      <c r="BMZ185" s="1332"/>
      <c r="BNA185" s="1332"/>
      <c r="BNB185" s="1332"/>
      <c r="BNC185" s="1332"/>
      <c r="BND185" s="1332"/>
      <c r="BNE185" s="1332"/>
      <c r="BNF185" s="1332"/>
      <c r="BNG185" s="1332"/>
      <c r="BNH185" s="1332"/>
      <c r="BNI185" s="1332"/>
      <c r="BNJ185" s="1332"/>
      <c r="BNK185" s="1332"/>
      <c r="BNL185" s="1332"/>
      <c r="BNM185" s="1332"/>
      <c r="BNN185" s="1332"/>
      <c r="BNO185" s="1332"/>
      <c r="BNP185" s="1332"/>
      <c r="BNQ185" s="1332"/>
      <c r="BNR185" s="1332"/>
      <c r="BNS185" s="1332"/>
      <c r="BNT185" s="1332"/>
      <c r="BNU185" s="1332"/>
      <c r="BNV185" s="1332"/>
      <c r="BNW185" s="1332"/>
      <c r="BNX185" s="1332"/>
      <c r="BNY185" s="1332"/>
      <c r="BNZ185" s="1332"/>
      <c r="BOA185" s="1332"/>
      <c r="BOB185" s="1332"/>
      <c r="BOC185" s="1332"/>
      <c r="BOD185" s="1332"/>
      <c r="BOE185" s="1332"/>
      <c r="BOF185" s="1332"/>
      <c r="BOG185" s="1332"/>
      <c r="BOH185" s="1332"/>
      <c r="BOI185" s="1332"/>
      <c r="BOJ185" s="1332"/>
      <c r="BOK185" s="1332"/>
      <c r="BOL185" s="1332"/>
      <c r="BOM185" s="1332"/>
      <c r="BON185" s="1332"/>
      <c r="BOO185" s="1332"/>
      <c r="BOP185" s="1332"/>
      <c r="BOQ185" s="1332"/>
      <c r="BOR185" s="1332"/>
      <c r="BOS185" s="1332"/>
      <c r="BOT185" s="1332"/>
      <c r="BOU185" s="1332"/>
      <c r="BOV185" s="1332"/>
      <c r="BOW185" s="1332"/>
      <c r="BOX185" s="1332"/>
      <c r="BOY185" s="1332"/>
      <c r="BOZ185" s="1332"/>
      <c r="BPA185" s="1332"/>
      <c r="BPB185" s="1332"/>
      <c r="BPC185" s="1332"/>
      <c r="BPD185" s="1332"/>
      <c r="BPE185" s="1332"/>
      <c r="BPF185" s="1332"/>
      <c r="BPG185" s="1332"/>
      <c r="BPH185" s="1332"/>
      <c r="BPI185" s="1332"/>
      <c r="BPJ185" s="1332"/>
      <c r="BPK185" s="1332"/>
      <c r="BPL185" s="1332"/>
      <c r="BPM185" s="1332"/>
      <c r="BPN185" s="1332"/>
      <c r="BPO185" s="1332"/>
      <c r="BPP185" s="1332"/>
      <c r="BPQ185" s="1332"/>
      <c r="BPR185" s="1332"/>
      <c r="BPS185" s="1332"/>
      <c r="BPT185" s="1332"/>
      <c r="BPU185" s="1332"/>
      <c r="BPV185" s="1332"/>
      <c r="BPW185" s="1332"/>
      <c r="BPX185" s="1332"/>
      <c r="BPY185" s="1332"/>
      <c r="BPZ185" s="1332"/>
      <c r="BQA185" s="1332"/>
      <c r="BQB185" s="1332"/>
      <c r="BQC185" s="1332"/>
      <c r="BQD185" s="1332"/>
      <c r="BQE185" s="1332"/>
      <c r="BQF185" s="1332"/>
      <c r="BQG185" s="1332"/>
      <c r="BQH185" s="1332"/>
      <c r="BQI185" s="1332"/>
      <c r="BQJ185" s="1332"/>
      <c r="BQK185" s="1332"/>
      <c r="BQL185" s="1332"/>
      <c r="BQM185" s="1332"/>
      <c r="BQN185" s="1332"/>
      <c r="BQO185" s="1332"/>
      <c r="BQP185" s="1332"/>
      <c r="BQQ185" s="1332"/>
      <c r="BQR185" s="1332"/>
      <c r="BQS185" s="1332"/>
      <c r="BQT185" s="1332"/>
      <c r="BQU185" s="1332"/>
      <c r="BQV185" s="1332"/>
      <c r="BQW185" s="1332"/>
      <c r="BQX185" s="1332"/>
      <c r="BQY185" s="1332"/>
      <c r="BQZ185" s="1332"/>
      <c r="BRA185" s="1332"/>
      <c r="BRB185" s="1332"/>
      <c r="BRC185" s="1332"/>
      <c r="BRD185" s="1332"/>
      <c r="BRE185" s="1332"/>
      <c r="BRF185" s="1332"/>
      <c r="BRG185" s="1332"/>
      <c r="BRH185" s="1332"/>
      <c r="BRI185" s="1332"/>
      <c r="BRJ185" s="1332"/>
      <c r="BRK185" s="1332"/>
      <c r="BRL185" s="1332"/>
      <c r="BRM185" s="1332"/>
      <c r="BRN185" s="1332"/>
      <c r="BRO185" s="1332"/>
      <c r="BRP185" s="1332"/>
      <c r="BRQ185" s="1332"/>
      <c r="BRR185" s="1332"/>
      <c r="BRS185" s="1332"/>
      <c r="BRT185" s="1332"/>
      <c r="BRU185" s="1332"/>
      <c r="BRV185" s="1332"/>
      <c r="BRW185" s="1332"/>
      <c r="BRX185" s="1332"/>
      <c r="BRY185" s="1332"/>
      <c r="BRZ185" s="1332"/>
      <c r="BSA185" s="1332"/>
      <c r="BSB185" s="1332"/>
      <c r="BSC185" s="1332"/>
      <c r="BSD185" s="1332"/>
      <c r="BSE185" s="1332"/>
      <c r="BSF185" s="1332"/>
      <c r="BSG185" s="1332"/>
      <c r="BSH185" s="1332"/>
      <c r="BSI185" s="1332"/>
      <c r="BSJ185" s="1332"/>
      <c r="BSK185" s="1332"/>
      <c r="BSL185" s="1332"/>
      <c r="BSM185" s="1332"/>
      <c r="BSN185" s="1332"/>
      <c r="BSO185" s="1332"/>
      <c r="BSP185" s="1332"/>
      <c r="BSQ185" s="1332"/>
      <c r="BSR185" s="1332"/>
      <c r="BSS185" s="1332"/>
      <c r="BST185" s="1332"/>
      <c r="BSU185" s="1332"/>
      <c r="BSV185" s="1332"/>
      <c r="BSW185" s="1332"/>
      <c r="BSX185" s="1332"/>
      <c r="BSY185" s="1332"/>
      <c r="BSZ185" s="1332"/>
      <c r="BTA185" s="1332"/>
      <c r="BTB185" s="1332"/>
      <c r="BTC185" s="1332"/>
      <c r="BTD185" s="1332"/>
      <c r="BTE185" s="1332"/>
      <c r="BTF185" s="1332"/>
      <c r="BTG185" s="1332"/>
      <c r="BTH185" s="1332"/>
      <c r="BTI185" s="1332"/>
      <c r="BTJ185" s="1332"/>
      <c r="BTK185" s="1332"/>
      <c r="BTL185" s="1332"/>
      <c r="BTM185" s="1332"/>
      <c r="BTN185" s="1332"/>
      <c r="BTO185" s="1332"/>
      <c r="BTP185" s="1332"/>
      <c r="BTQ185" s="1332"/>
      <c r="BTR185" s="1332"/>
      <c r="BTS185" s="1332"/>
      <c r="BTT185" s="1332"/>
      <c r="BTU185" s="1332"/>
      <c r="BTV185" s="1332"/>
      <c r="BTW185" s="1332"/>
      <c r="BTX185" s="1332"/>
      <c r="BTY185" s="1332"/>
      <c r="BTZ185" s="1332"/>
      <c r="BUA185" s="1332"/>
      <c r="BUB185" s="1332"/>
      <c r="BUC185" s="1332"/>
      <c r="BUD185" s="1332"/>
      <c r="BUE185" s="1332"/>
      <c r="BUF185" s="1332"/>
      <c r="BUG185" s="1332"/>
      <c r="BUH185" s="1332"/>
      <c r="BUI185" s="1332"/>
      <c r="BUJ185" s="1332"/>
      <c r="BUK185" s="1332"/>
      <c r="BUL185" s="1332"/>
      <c r="BUM185" s="1332"/>
      <c r="BUN185" s="1332"/>
      <c r="BUO185" s="1332"/>
      <c r="BUP185" s="1332"/>
      <c r="BUQ185" s="1332"/>
      <c r="BUR185" s="1332"/>
      <c r="BUS185" s="1332"/>
      <c r="BUT185" s="1332"/>
      <c r="BUU185" s="1332"/>
      <c r="BUV185" s="1332"/>
      <c r="BUW185" s="1332"/>
      <c r="BUX185" s="1332"/>
      <c r="BUY185" s="1332"/>
      <c r="BUZ185" s="1332"/>
      <c r="BVA185" s="1332"/>
      <c r="BVB185" s="1332"/>
      <c r="BVC185" s="1332"/>
      <c r="BVD185" s="1332"/>
      <c r="BVE185" s="1332"/>
      <c r="BVF185" s="1332"/>
      <c r="BVG185" s="1332"/>
      <c r="BVH185" s="1332"/>
      <c r="BVI185" s="1332"/>
      <c r="BVJ185" s="1332"/>
      <c r="BVK185" s="1332"/>
      <c r="BVL185" s="1332"/>
      <c r="BVM185" s="1332"/>
      <c r="BVN185" s="1332"/>
      <c r="BVO185" s="1332"/>
      <c r="BVP185" s="1332"/>
      <c r="BVQ185" s="1332"/>
      <c r="BVR185" s="1332"/>
      <c r="BVS185" s="1332"/>
      <c r="BVT185" s="1332"/>
      <c r="BVU185" s="1332"/>
      <c r="BVV185" s="1332"/>
      <c r="BVW185" s="1332"/>
      <c r="BVX185" s="1332"/>
      <c r="BVY185" s="1332"/>
      <c r="BVZ185" s="1332"/>
      <c r="BWA185" s="1332"/>
      <c r="BWB185" s="1332"/>
      <c r="BWC185" s="1332"/>
      <c r="BWD185" s="1332"/>
      <c r="BWE185" s="1332"/>
      <c r="BWF185" s="1332"/>
      <c r="BWG185" s="1332"/>
      <c r="BWH185" s="1332"/>
      <c r="BWI185" s="1332"/>
      <c r="BWJ185" s="1332"/>
      <c r="BWK185" s="1332"/>
      <c r="BWL185" s="1332"/>
      <c r="BWM185" s="1332"/>
      <c r="BWN185" s="1332"/>
      <c r="BWO185" s="1332"/>
      <c r="BWP185" s="1332"/>
      <c r="BWQ185" s="1332"/>
      <c r="BWR185" s="1332"/>
      <c r="BWS185" s="1332"/>
      <c r="BWT185" s="1332"/>
      <c r="BWU185" s="1332"/>
      <c r="BWV185" s="1332"/>
      <c r="BWW185" s="1332"/>
      <c r="BWX185" s="1332"/>
      <c r="BWY185" s="1332"/>
      <c r="BWZ185" s="1332"/>
      <c r="BXA185" s="1332"/>
      <c r="BXB185" s="1332"/>
      <c r="BXC185" s="1332"/>
      <c r="BXD185" s="1332"/>
      <c r="BXE185" s="1332"/>
      <c r="BXF185" s="1332"/>
      <c r="BXG185" s="1332"/>
      <c r="BXH185" s="1332"/>
      <c r="BXI185" s="1332"/>
      <c r="BXJ185" s="1332"/>
      <c r="BXK185" s="1332"/>
      <c r="BXL185" s="1332"/>
      <c r="BXM185" s="1332"/>
      <c r="BXN185" s="1332"/>
      <c r="BXO185" s="1332"/>
      <c r="BXP185" s="1332"/>
      <c r="BXQ185" s="1332"/>
      <c r="BXR185" s="1332"/>
      <c r="BXS185" s="1332"/>
      <c r="BXT185" s="1332"/>
      <c r="BXU185" s="1332"/>
      <c r="BXV185" s="1332"/>
      <c r="BXW185" s="1332"/>
      <c r="BXX185" s="1332"/>
      <c r="BXY185" s="1332"/>
      <c r="BXZ185" s="1332"/>
      <c r="BYA185" s="1332"/>
      <c r="BYB185" s="1332"/>
      <c r="BYC185" s="1332"/>
      <c r="BYD185" s="1332"/>
      <c r="BYE185" s="1332"/>
      <c r="BYF185" s="1332"/>
      <c r="BYG185" s="1332"/>
      <c r="BYH185" s="1332"/>
      <c r="BYI185" s="1332"/>
      <c r="BYJ185" s="1332"/>
      <c r="BYK185" s="1332"/>
      <c r="BYL185" s="1332"/>
      <c r="BYM185" s="1332"/>
      <c r="BYN185" s="1332"/>
      <c r="BYO185" s="1332"/>
      <c r="BYP185" s="1332"/>
      <c r="BYQ185" s="1332"/>
      <c r="BYR185" s="1332"/>
      <c r="BYS185" s="1332"/>
      <c r="BYT185" s="1332"/>
      <c r="BYU185" s="1332"/>
      <c r="BYV185" s="1332"/>
      <c r="BYW185" s="1332"/>
      <c r="BYX185" s="1332"/>
      <c r="BYY185" s="1332"/>
      <c r="BYZ185" s="1332"/>
      <c r="BZA185" s="1332"/>
      <c r="BZB185" s="1332"/>
      <c r="BZC185" s="1332"/>
      <c r="BZD185" s="1332"/>
      <c r="BZE185" s="1332"/>
      <c r="BZF185" s="1332"/>
      <c r="BZG185" s="1332"/>
      <c r="BZH185" s="1332"/>
      <c r="BZI185" s="1332"/>
      <c r="BZJ185" s="1332"/>
      <c r="BZK185" s="1332"/>
      <c r="BZL185" s="1332"/>
      <c r="BZM185" s="1332"/>
      <c r="BZN185" s="1332"/>
      <c r="BZO185" s="1332"/>
      <c r="BZP185" s="1332"/>
      <c r="BZQ185" s="1332"/>
      <c r="BZR185" s="1332"/>
      <c r="BZS185" s="1332"/>
      <c r="BZT185" s="1332"/>
      <c r="BZU185" s="1332"/>
      <c r="BZV185" s="1332"/>
      <c r="BZW185" s="1332"/>
      <c r="BZX185" s="1332"/>
      <c r="BZY185" s="1332"/>
      <c r="BZZ185" s="1332"/>
      <c r="CAA185" s="1332"/>
      <c r="CAB185" s="1332"/>
      <c r="CAC185" s="1332"/>
      <c r="CAD185" s="1332"/>
      <c r="CAE185" s="1332"/>
      <c r="CAF185" s="1332"/>
      <c r="CAG185" s="1332"/>
      <c r="CAH185" s="1332"/>
      <c r="CAI185" s="1332"/>
      <c r="CAJ185" s="1332"/>
      <c r="CAK185" s="1332"/>
      <c r="CAL185" s="1332"/>
      <c r="CAM185" s="1332"/>
      <c r="CAN185" s="1332"/>
      <c r="CAO185" s="1332"/>
      <c r="CAP185" s="1332"/>
      <c r="CAQ185" s="1332"/>
      <c r="CAR185" s="1332"/>
      <c r="CAS185" s="1332"/>
      <c r="CAT185" s="1332"/>
      <c r="CAU185" s="1332"/>
      <c r="CAV185" s="1332"/>
      <c r="CAW185" s="1332"/>
      <c r="CAX185" s="1332"/>
      <c r="CAY185" s="1332"/>
      <c r="CAZ185" s="1332"/>
      <c r="CBA185" s="1332"/>
      <c r="CBB185" s="1332"/>
      <c r="CBC185" s="1332"/>
      <c r="CBD185" s="1332"/>
      <c r="CBE185" s="1332"/>
      <c r="CBF185" s="1332"/>
      <c r="CBG185" s="1332"/>
      <c r="CBH185" s="1332"/>
      <c r="CBI185" s="1332"/>
      <c r="CBJ185" s="1332"/>
      <c r="CBK185" s="1332"/>
      <c r="CBL185" s="1332"/>
      <c r="CBM185" s="1332"/>
      <c r="CBN185" s="1332"/>
      <c r="CBO185" s="1332"/>
      <c r="CBP185" s="1332"/>
      <c r="CBQ185" s="1332"/>
      <c r="CBR185" s="1332"/>
      <c r="CBS185" s="1332"/>
      <c r="CBT185" s="1332"/>
      <c r="CBU185" s="1332"/>
      <c r="CBV185" s="1332"/>
      <c r="CBW185" s="1332"/>
      <c r="CBX185" s="1332"/>
      <c r="CBY185" s="1332"/>
      <c r="CBZ185" s="1332"/>
      <c r="CCA185" s="1332"/>
      <c r="CCB185" s="1332"/>
      <c r="CCC185" s="1332"/>
      <c r="CCD185" s="1332"/>
      <c r="CCE185" s="1332"/>
      <c r="CCF185" s="1332"/>
      <c r="CCG185" s="1332"/>
      <c r="CCH185" s="1332"/>
      <c r="CCI185" s="1332"/>
      <c r="CCJ185" s="1332"/>
      <c r="CCK185" s="1332"/>
      <c r="CCL185" s="1332"/>
      <c r="CCM185" s="1332"/>
      <c r="CCN185" s="1332"/>
      <c r="CCO185" s="1332"/>
      <c r="CCP185" s="1332"/>
      <c r="CCQ185" s="1332"/>
      <c r="CCR185" s="1332"/>
      <c r="CCS185" s="1332"/>
      <c r="CCT185" s="1332"/>
      <c r="CCU185" s="1332"/>
      <c r="CCV185" s="1332"/>
      <c r="CCW185" s="1332"/>
      <c r="CCX185" s="1332"/>
      <c r="CCY185" s="1332"/>
      <c r="CCZ185" s="1332"/>
      <c r="CDA185" s="1332"/>
      <c r="CDB185" s="1332"/>
      <c r="CDC185" s="1332"/>
      <c r="CDD185" s="1332"/>
      <c r="CDE185" s="1332"/>
      <c r="CDF185" s="1332"/>
      <c r="CDG185" s="1332"/>
      <c r="CDH185" s="1332"/>
      <c r="CDI185" s="1332"/>
      <c r="CDJ185" s="1332"/>
      <c r="CDK185" s="1332"/>
      <c r="CDL185" s="1332"/>
      <c r="CDM185" s="1332"/>
      <c r="CDN185" s="1332"/>
      <c r="CDO185" s="1332"/>
      <c r="CDP185" s="1332"/>
      <c r="CDQ185" s="1332"/>
      <c r="CDR185" s="1332"/>
      <c r="CDS185" s="1332"/>
      <c r="CDT185" s="1332"/>
      <c r="CDU185" s="1332"/>
      <c r="CDV185" s="1332"/>
      <c r="CDW185" s="1332"/>
      <c r="CDX185" s="1332"/>
      <c r="CDY185" s="1332"/>
      <c r="CDZ185" s="1332"/>
      <c r="CEA185" s="1332"/>
      <c r="CEB185" s="1332"/>
      <c r="CEC185" s="1332"/>
      <c r="CED185" s="1332"/>
      <c r="CEE185" s="1332"/>
      <c r="CEF185" s="1332"/>
      <c r="CEG185" s="1332"/>
      <c r="CEH185" s="1332"/>
      <c r="CEI185" s="1332"/>
      <c r="CEJ185" s="1332"/>
      <c r="CEK185" s="1332"/>
      <c r="CEL185" s="1332"/>
      <c r="CEM185" s="1332"/>
      <c r="CEN185" s="1332"/>
      <c r="CEO185" s="1332"/>
      <c r="CEP185" s="1332"/>
      <c r="CEQ185" s="1332"/>
      <c r="CER185" s="1332"/>
      <c r="CES185" s="1332"/>
      <c r="CET185" s="1332"/>
      <c r="CEU185" s="1332"/>
      <c r="CEV185" s="1332"/>
      <c r="CEW185" s="1332"/>
      <c r="CEX185" s="1332"/>
      <c r="CEY185" s="1332"/>
      <c r="CEZ185" s="1332"/>
      <c r="CFA185" s="1332"/>
      <c r="CFB185" s="1332"/>
      <c r="CFC185" s="1332"/>
      <c r="CFD185" s="1332"/>
      <c r="CFE185" s="1332"/>
      <c r="CFF185" s="1332"/>
      <c r="CFG185" s="1332"/>
      <c r="CFH185" s="1332"/>
      <c r="CFI185" s="1332"/>
      <c r="CFJ185" s="1332"/>
      <c r="CFK185" s="1332"/>
      <c r="CFL185" s="1332"/>
      <c r="CFM185" s="1332"/>
      <c r="CFN185" s="1332"/>
      <c r="CFO185" s="1332"/>
      <c r="CFP185" s="1332"/>
      <c r="CFQ185" s="1332"/>
      <c r="CFR185" s="1332"/>
      <c r="CFS185" s="1332"/>
      <c r="CFT185" s="1332"/>
      <c r="CFU185" s="1332"/>
      <c r="CFV185" s="1332"/>
      <c r="CFW185" s="1332"/>
      <c r="CFX185" s="1332"/>
      <c r="CFY185" s="1332"/>
      <c r="CFZ185" s="1332"/>
      <c r="CGA185" s="1332"/>
      <c r="CGB185" s="1332"/>
      <c r="CGC185" s="1332"/>
      <c r="CGD185" s="1332"/>
      <c r="CGE185" s="1332"/>
      <c r="CGF185" s="1332"/>
      <c r="CGG185" s="1332"/>
      <c r="CGH185" s="1332"/>
      <c r="CGI185" s="1332"/>
      <c r="CGJ185" s="1332"/>
      <c r="CGK185" s="1332"/>
      <c r="CGL185" s="1332"/>
      <c r="CGM185" s="1332"/>
      <c r="CGN185" s="1332"/>
      <c r="CGO185" s="1332"/>
      <c r="CGP185" s="1332"/>
      <c r="CGQ185" s="1332"/>
      <c r="CGR185" s="1332"/>
      <c r="CGS185" s="1332"/>
      <c r="CGT185" s="1332"/>
      <c r="CGU185" s="1332"/>
      <c r="CGV185" s="1332"/>
      <c r="CGW185" s="1332"/>
      <c r="CGX185" s="1332"/>
      <c r="CGY185" s="1332"/>
      <c r="CGZ185" s="1332"/>
      <c r="CHA185" s="1332"/>
      <c r="CHB185" s="1332"/>
      <c r="CHC185" s="1332"/>
      <c r="CHD185" s="1332"/>
      <c r="CHE185" s="1332"/>
      <c r="CHF185" s="1332"/>
      <c r="CHG185" s="1332"/>
      <c r="CHH185" s="1332"/>
      <c r="CHI185" s="1332"/>
      <c r="CHJ185" s="1332"/>
      <c r="CHK185" s="1332"/>
      <c r="CHL185" s="1332"/>
      <c r="CHM185" s="1332"/>
      <c r="CHN185" s="1332"/>
      <c r="CHO185" s="1332"/>
      <c r="CHP185" s="1332"/>
      <c r="CHQ185" s="1332"/>
      <c r="CHR185" s="1332"/>
      <c r="CHS185" s="1332"/>
      <c r="CHT185" s="1332"/>
      <c r="CHU185" s="1332"/>
      <c r="CHV185" s="1332"/>
      <c r="CHW185" s="1332"/>
      <c r="CHX185" s="1332"/>
      <c r="CHY185" s="1332"/>
      <c r="CHZ185" s="1332"/>
      <c r="CIA185" s="1332"/>
      <c r="CIB185" s="1332"/>
      <c r="CIC185" s="1332"/>
      <c r="CID185" s="1332"/>
      <c r="CIE185" s="1332"/>
      <c r="CIF185" s="1332"/>
      <c r="CIG185" s="1332"/>
      <c r="CIH185" s="1332"/>
      <c r="CII185" s="1332"/>
      <c r="CIJ185" s="1332"/>
      <c r="CIK185" s="1332"/>
      <c r="CIL185" s="1332"/>
      <c r="CIM185" s="1332"/>
      <c r="CIN185" s="1332"/>
      <c r="CIO185" s="1332"/>
      <c r="CIP185" s="1332"/>
      <c r="CIQ185" s="1332"/>
      <c r="CIR185" s="1332"/>
      <c r="CIS185" s="1332"/>
      <c r="CIT185" s="1332"/>
      <c r="CIU185" s="1332"/>
      <c r="CIV185" s="1332"/>
      <c r="CIW185" s="1332"/>
      <c r="CIX185" s="1332"/>
      <c r="CIY185" s="1332"/>
      <c r="CIZ185" s="1332"/>
      <c r="CJA185" s="1332"/>
      <c r="CJB185" s="1332"/>
      <c r="CJC185" s="1332"/>
      <c r="CJD185" s="1332"/>
      <c r="CJE185" s="1332"/>
      <c r="CJF185" s="1332"/>
      <c r="CJG185" s="1332"/>
      <c r="CJH185" s="1332"/>
      <c r="CJI185" s="1332"/>
      <c r="CJJ185" s="1332"/>
      <c r="CJK185" s="1332"/>
      <c r="CJL185" s="1332"/>
      <c r="CJM185" s="1332"/>
      <c r="CJN185" s="1332"/>
      <c r="CJO185" s="1332"/>
      <c r="CJP185" s="1332"/>
      <c r="CJQ185" s="1332"/>
      <c r="CJR185" s="1332"/>
      <c r="CJS185" s="1332"/>
      <c r="CJT185" s="1332"/>
      <c r="CJU185" s="1332"/>
      <c r="CJV185" s="1332"/>
      <c r="CJW185" s="1332"/>
      <c r="CJX185" s="1332"/>
      <c r="CJY185" s="1332"/>
      <c r="CJZ185" s="1332"/>
      <c r="CKA185" s="1332"/>
      <c r="CKB185" s="1332"/>
      <c r="CKC185" s="1332"/>
      <c r="CKD185" s="1332"/>
      <c r="CKE185" s="1332"/>
      <c r="CKF185" s="1332"/>
      <c r="CKG185" s="1332"/>
      <c r="CKH185" s="1332"/>
      <c r="CKI185" s="1332"/>
      <c r="CKJ185" s="1332"/>
      <c r="CKK185" s="1332"/>
      <c r="CKL185" s="1332"/>
      <c r="CKM185" s="1332"/>
      <c r="CKN185" s="1332"/>
      <c r="CKO185" s="1332"/>
      <c r="CKP185" s="1332"/>
      <c r="CKQ185" s="1332"/>
      <c r="CKR185" s="1332"/>
      <c r="CKS185" s="1332"/>
      <c r="CKT185" s="1332"/>
      <c r="CKU185" s="1332"/>
      <c r="CKV185" s="1332"/>
      <c r="CKW185" s="1332"/>
      <c r="CKX185" s="1332"/>
      <c r="CKY185" s="1332"/>
      <c r="CKZ185" s="1332"/>
      <c r="CLA185" s="1332"/>
      <c r="CLB185" s="1332"/>
      <c r="CLC185" s="1332"/>
      <c r="CLD185" s="1332"/>
      <c r="CLE185" s="1332"/>
      <c r="CLF185" s="1332"/>
      <c r="CLG185" s="1332"/>
      <c r="CLH185" s="1332"/>
      <c r="CLI185" s="1332"/>
      <c r="CLJ185" s="1332"/>
      <c r="CLK185" s="1332"/>
      <c r="CLL185" s="1332"/>
      <c r="CLM185" s="1332"/>
      <c r="CLN185" s="1332"/>
      <c r="CLO185" s="1332"/>
      <c r="CLP185" s="1332"/>
      <c r="CLQ185" s="1332"/>
      <c r="CLR185" s="1332"/>
      <c r="CLS185" s="1332"/>
      <c r="CLT185" s="1332"/>
      <c r="CLU185" s="1332"/>
      <c r="CLV185" s="1332"/>
      <c r="CLW185" s="1332"/>
      <c r="CLX185" s="1332"/>
      <c r="CLY185" s="1332"/>
      <c r="CLZ185" s="1332"/>
      <c r="CMA185" s="1332"/>
      <c r="CMB185" s="1332"/>
      <c r="CMC185" s="1332"/>
      <c r="CMD185" s="1332"/>
      <c r="CME185" s="1332"/>
      <c r="CMF185" s="1332"/>
      <c r="CMG185" s="1332"/>
      <c r="CMH185" s="1332"/>
      <c r="CMI185" s="1332"/>
      <c r="CMJ185" s="1332"/>
      <c r="CMK185" s="1332"/>
      <c r="CML185" s="1332"/>
      <c r="CMM185" s="1332"/>
      <c r="CMN185" s="1332"/>
      <c r="CMO185" s="1332"/>
      <c r="CMP185" s="1332"/>
      <c r="CMQ185" s="1332"/>
      <c r="CMR185" s="1332"/>
      <c r="CMS185" s="1332"/>
      <c r="CMT185" s="1332"/>
      <c r="CMU185" s="1332"/>
      <c r="CMV185" s="1332"/>
      <c r="CMW185" s="1332"/>
      <c r="CMX185" s="1332"/>
      <c r="CMY185" s="1332"/>
      <c r="CMZ185" s="1332"/>
      <c r="CNA185" s="1332"/>
      <c r="CNB185" s="1332"/>
      <c r="CNC185" s="1332"/>
      <c r="CND185" s="1332"/>
      <c r="CNE185" s="1332"/>
      <c r="CNF185" s="1332"/>
      <c r="CNG185" s="1332"/>
      <c r="CNH185" s="1332"/>
      <c r="CNI185" s="1332"/>
      <c r="CNJ185" s="1332"/>
      <c r="CNK185" s="1332"/>
      <c r="CNL185" s="1332"/>
      <c r="CNM185" s="1332"/>
      <c r="CNN185" s="1332"/>
      <c r="CNO185" s="1332"/>
      <c r="CNP185" s="1332"/>
      <c r="CNQ185" s="1332"/>
      <c r="CNR185" s="1332"/>
      <c r="CNS185" s="1332"/>
      <c r="CNT185" s="1332"/>
      <c r="CNU185" s="1332"/>
      <c r="CNV185" s="1332"/>
      <c r="CNW185" s="1332"/>
      <c r="CNX185" s="1332"/>
      <c r="CNY185" s="1332"/>
      <c r="CNZ185" s="1332"/>
      <c r="COA185" s="1332"/>
      <c r="COB185" s="1332"/>
      <c r="COC185" s="1332"/>
      <c r="COD185" s="1332"/>
      <c r="COE185" s="1332"/>
      <c r="COF185" s="1332"/>
      <c r="COG185" s="1332"/>
      <c r="COH185" s="1332"/>
      <c r="COI185" s="1332"/>
      <c r="COJ185" s="1332"/>
      <c r="COK185" s="1332"/>
      <c r="COL185" s="1332"/>
      <c r="COM185" s="1332"/>
      <c r="CON185" s="1332"/>
      <c r="COO185" s="1332"/>
      <c r="COP185" s="1332"/>
      <c r="COQ185" s="1332"/>
      <c r="COR185" s="1332"/>
      <c r="COS185" s="1332"/>
      <c r="COT185" s="1332"/>
      <c r="COU185" s="1332"/>
      <c r="COV185" s="1332"/>
      <c r="COW185" s="1332"/>
      <c r="COX185" s="1332"/>
      <c r="COY185" s="1332"/>
      <c r="COZ185" s="1332"/>
      <c r="CPA185" s="1332"/>
      <c r="CPB185" s="1332"/>
      <c r="CPC185" s="1332"/>
      <c r="CPD185" s="1332"/>
      <c r="CPE185" s="1332"/>
      <c r="CPF185" s="1332"/>
      <c r="CPG185" s="1332"/>
      <c r="CPH185" s="1332"/>
      <c r="CPI185" s="1332"/>
      <c r="CPJ185" s="1332"/>
      <c r="CPK185" s="1332"/>
      <c r="CPL185" s="1332"/>
      <c r="CPM185" s="1332"/>
      <c r="CPN185" s="1332"/>
      <c r="CPO185" s="1332"/>
      <c r="CPP185" s="1332"/>
      <c r="CPQ185" s="1332"/>
      <c r="CPR185" s="1332"/>
      <c r="CPS185" s="1332"/>
      <c r="CPT185" s="1332"/>
      <c r="CPU185" s="1332"/>
      <c r="CPV185" s="1332"/>
      <c r="CPW185" s="1332"/>
      <c r="CPX185" s="1332"/>
      <c r="CPY185" s="1332"/>
      <c r="CPZ185" s="1332"/>
      <c r="CQA185" s="1332"/>
      <c r="CQB185" s="1332"/>
      <c r="CQC185" s="1332"/>
      <c r="CQD185" s="1332"/>
      <c r="CQE185" s="1332"/>
      <c r="CQF185" s="1332"/>
      <c r="CQG185" s="1332"/>
      <c r="CQH185" s="1332"/>
      <c r="CQI185" s="1332"/>
      <c r="CQJ185" s="1332"/>
      <c r="CQK185" s="1332"/>
      <c r="CQL185" s="1332"/>
      <c r="CQM185" s="1332"/>
      <c r="CQN185" s="1332"/>
      <c r="CQO185" s="1332"/>
      <c r="CQP185" s="1332"/>
      <c r="CQQ185" s="1332"/>
      <c r="CQR185" s="1332"/>
      <c r="CQS185" s="1332"/>
      <c r="CQT185" s="1332"/>
      <c r="CQU185" s="1332"/>
      <c r="CQV185" s="1332"/>
      <c r="CQW185" s="1332"/>
      <c r="CQX185" s="1332"/>
      <c r="CQY185" s="1332"/>
      <c r="CQZ185" s="1332"/>
      <c r="CRA185" s="1332"/>
      <c r="CRB185" s="1332"/>
      <c r="CRC185" s="1332"/>
      <c r="CRD185" s="1332"/>
      <c r="CRE185" s="1332"/>
      <c r="CRF185" s="1332"/>
      <c r="CRG185" s="1332"/>
      <c r="CRH185" s="1332"/>
      <c r="CRI185" s="1332"/>
      <c r="CRJ185" s="1332"/>
      <c r="CRK185" s="1332"/>
      <c r="CRL185" s="1332"/>
      <c r="CRM185" s="1332"/>
      <c r="CRN185" s="1332"/>
      <c r="CRO185" s="1332"/>
      <c r="CRP185" s="1332"/>
      <c r="CRQ185" s="1332"/>
      <c r="CRR185" s="1332"/>
      <c r="CRS185" s="1332"/>
      <c r="CRT185" s="1332"/>
      <c r="CRU185" s="1332"/>
      <c r="CRV185" s="1332"/>
      <c r="CRW185" s="1332"/>
      <c r="CRX185" s="1332"/>
      <c r="CRY185" s="1332"/>
      <c r="CRZ185" s="1332"/>
      <c r="CSA185" s="1332"/>
      <c r="CSB185" s="1332"/>
      <c r="CSC185" s="1332"/>
      <c r="CSD185" s="1332"/>
      <c r="CSE185" s="1332"/>
      <c r="CSF185" s="1332"/>
      <c r="CSG185" s="1332"/>
      <c r="CSH185" s="1332"/>
      <c r="CSI185" s="1332"/>
      <c r="CSJ185" s="1332"/>
      <c r="CSK185" s="1332"/>
      <c r="CSL185" s="1332"/>
      <c r="CSM185" s="1332"/>
      <c r="CSN185" s="1332"/>
      <c r="CSO185" s="1332"/>
      <c r="CSP185" s="1332"/>
      <c r="CSQ185" s="1332"/>
      <c r="CSR185" s="1332"/>
      <c r="CSS185" s="1332"/>
      <c r="CST185" s="1332"/>
      <c r="CSU185" s="1332"/>
      <c r="CSV185" s="1332"/>
      <c r="CSW185" s="1332"/>
      <c r="CSX185" s="1332"/>
      <c r="CSY185" s="1332"/>
      <c r="CSZ185" s="1332"/>
      <c r="CTA185" s="1332"/>
      <c r="CTB185" s="1332"/>
      <c r="CTC185" s="1332"/>
      <c r="CTD185" s="1332"/>
      <c r="CTE185" s="1332"/>
      <c r="CTF185" s="1332"/>
      <c r="CTG185" s="1332"/>
      <c r="CTH185" s="1332"/>
      <c r="CTI185" s="1332"/>
      <c r="CTJ185" s="1332"/>
      <c r="CTK185" s="1332"/>
      <c r="CTL185" s="1332"/>
      <c r="CTM185" s="1332"/>
      <c r="CTN185" s="1332"/>
      <c r="CTO185" s="1332"/>
      <c r="CTP185" s="1332"/>
      <c r="CTQ185" s="1332"/>
      <c r="CTR185" s="1332"/>
      <c r="CTS185" s="1332"/>
      <c r="CTT185" s="1332"/>
      <c r="CTU185" s="1332"/>
      <c r="CTV185" s="1332"/>
      <c r="CTW185" s="1332"/>
      <c r="CTX185" s="1332"/>
      <c r="CTY185" s="1332"/>
      <c r="CTZ185" s="1332"/>
      <c r="CUA185" s="1332"/>
      <c r="CUB185" s="1332"/>
      <c r="CUC185" s="1332"/>
      <c r="CUD185" s="1332"/>
      <c r="CUE185" s="1332"/>
      <c r="CUF185" s="1332"/>
      <c r="CUG185" s="1332"/>
      <c r="CUH185" s="1332"/>
      <c r="CUI185" s="1332"/>
      <c r="CUJ185" s="1332"/>
      <c r="CUK185" s="1332"/>
      <c r="CUL185" s="1332"/>
      <c r="CUM185" s="1332"/>
      <c r="CUN185" s="1332"/>
      <c r="CUO185" s="1332"/>
      <c r="CUP185" s="1332"/>
      <c r="CUQ185" s="1332"/>
      <c r="CUR185" s="1332"/>
      <c r="CUS185" s="1332"/>
      <c r="CUT185" s="1332"/>
      <c r="CUU185" s="1332"/>
      <c r="CUV185" s="1332"/>
      <c r="CUW185" s="1332"/>
      <c r="CUX185" s="1332"/>
      <c r="CUY185" s="1332"/>
      <c r="CUZ185" s="1332"/>
      <c r="CVA185" s="1332"/>
      <c r="CVB185" s="1332"/>
      <c r="CVC185" s="1332"/>
      <c r="CVD185" s="1332"/>
      <c r="CVE185" s="1332"/>
      <c r="CVF185" s="1332"/>
      <c r="CVG185" s="1332"/>
      <c r="CVH185" s="1332"/>
      <c r="CVI185" s="1332"/>
      <c r="CVJ185" s="1332"/>
      <c r="CVK185" s="1332"/>
      <c r="CVL185" s="1332"/>
      <c r="CVM185" s="1332"/>
      <c r="CVN185" s="1332"/>
      <c r="CVO185" s="1332"/>
      <c r="CVP185" s="1332"/>
      <c r="CVQ185" s="1332"/>
      <c r="CVR185" s="1332"/>
      <c r="CVS185" s="1332"/>
      <c r="CVT185" s="1332"/>
      <c r="CVU185" s="1332"/>
      <c r="CVV185" s="1332"/>
      <c r="CVW185" s="1332"/>
      <c r="CVX185" s="1332"/>
      <c r="CVY185" s="1332"/>
      <c r="CVZ185" s="1332"/>
      <c r="CWA185" s="1332"/>
      <c r="CWB185" s="1332"/>
      <c r="CWC185" s="1332"/>
      <c r="CWD185" s="1332"/>
      <c r="CWE185" s="1332"/>
      <c r="CWF185" s="1332"/>
      <c r="CWG185" s="1332"/>
      <c r="CWH185" s="1332"/>
      <c r="CWI185" s="1332"/>
      <c r="CWJ185" s="1332"/>
      <c r="CWK185" s="1332"/>
      <c r="CWL185" s="1332"/>
      <c r="CWM185" s="1332"/>
      <c r="CWN185" s="1332"/>
      <c r="CWO185" s="1332"/>
      <c r="CWP185" s="1332"/>
      <c r="CWQ185" s="1332"/>
      <c r="CWR185" s="1332"/>
      <c r="CWS185" s="1332"/>
      <c r="CWT185" s="1332"/>
      <c r="CWU185" s="1332"/>
      <c r="CWV185" s="1332"/>
      <c r="CWW185" s="1332"/>
      <c r="CWX185" s="1332"/>
      <c r="CWY185" s="1332"/>
      <c r="CWZ185" s="1332"/>
      <c r="CXA185" s="1332"/>
      <c r="CXB185" s="1332"/>
      <c r="CXC185" s="1332"/>
      <c r="CXD185" s="1332"/>
      <c r="CXE185" s="1332"/>
      <c r="CXF185" s="1332"/>
      <c r="CXG185" s="1332"/>
      <c r="CXH185" s="1332"/>
      <c r="CXI185" s="1332"/>
      <c r="CXJ185" s="1332"/>
      <c r="CXK185" s="1332"/>
      <c r="CXL185" s="1332"/>
      <c r="CXM185" s="1332"/>
      <c r="CXN185" s="1332"/>
      <c r="CXO185" s="1332"/>
      <c r="CXP185" s="1332"/>
      <c r="CXQ185" s="1332"/>
      <c r="CXR185" s="1332"/>
      <c r="CXS185" s="1332"/>
      <c r="CXT185" s="1332"/>
      <c r="CXU185" s="1332"/>
      <c r="CXV185" s="1332"/>
      <c r="CXW185" s="1332"/>
      <c r="CXX185" s="1332"/>
      <c r="CXY185" s="1332"/>
      <c r="CXZ185" s="1332"/>
      <c r="CYA185" s="1332"/>
      <c r="CYB185" s="1332"/>
      <c r="CYC185" s="1332"/>
      <c r="CYD185" s="1332"/>
      <c r="CYE185" s="1332"/>
      <c r="CYF185" s="1332"/>
      <c r="CYG185" s="1332"/>
      <c r="CYH185" s="1332"/>
      <c r="CYI185" s="1332"/>
      <c r="CYJ185" s="1332"/>
      <c r="CYK185" s="1332"/>
      <c r="CYL185" s="1332"/>
      <c r="CYM185" s="1332"/>
      <c r="CYN185" s="1332"/>
      <c r="CYO185" s="1332"/>
      <c r="CYP185" s="1332"/>
      <c r="CYQ185" s="1332"/>
      <c r="CYR185" s="1332"/>
      <c r="CYS185" s="1332"/>
      <c r="CYT185" s="1332"/>
      <c r="CYU185" s="1332"/>
      <c r="CYV185" s="1332"/>
      <c r="CYW185" s="1332"/>
      <c r="CYX185" s="1332"/>
      <c r="CYY185" s="1332"/>
      <c r="CYZ185" s="1332"/>
      <c r="CZA185" s="1332"/>
      <c r="CZB185" s="1332"/>
      <c r="CZC185" s="1332"/>
      <c r="CZD185" s="1332"/>
      <c r="CZE185" s="1332"/>
      <c r="CZF185" s="1332"/>
      <c r="CZG185" s="1332"/>
      <c r="CZH185" s="1332"/>
      <c r="CZI185" s="1332"/>
      <c r="CZJ185" s="1332"/>
      <c r="CZK185" s="1332"/>
      <c r="CZL185" s="1332"/>
      <c r="CZM185" s="1332"/>
      <c r="CZN185" s="1332"/>
      <c r="CZO185" s="1332"/>
      <c r="CZP185" s="1332"/>
      <c r="CZQ185" s="1332"/>
      <c r="CZR185" s="1332"/>
      <c r="CZS185" s="1332"/>
      <c r="CZT185" s="1332"/>
      <c r="CZU185" s="1332"/>
      <c r="CZV185" s="1332"/>
      <c r="CZW185" s="1332"/>
      <c r="CZX185" s="1332"/>
      <c r="CZY185" s="1332"/>
      <c r="CZZ185" s="1332"/>
      <c r="DAA185" s="1332"/>
      <c r="DAB185" s="1332"/>
      <c r="DAC185" s="1332"/>
      <c r="DAD185" s="1332"/>
      <c r="DAE185" s="1332"/>
      <c r="DAF185" s="1332"/>
      <c r="DAG185" s="1332"/>
      <c r="DAH185" s="1332"/>
      <c r="DAI185" s="1332"/>
      <c r="DAJ185" s="1332"/>
      <c r="DAK185" s="1332"/>
      <c r="DAL185" s="1332"/>
      <c r="DAM185" s="1332"/>
      <c r="DAN185" s="1332"/>
      <c r="DAO185" s="1332"/>
      <c r="DAP185" s="1332"/>
      <c r="DAQ185" s="1332"/>
      <c r="DAR185" s="1332"/>
      <c r="DAS185" s="1332"/>
      <c r="DAT185" s="1332"/>
      <c r="DAU185" s="1332"/>
      <c r="DAV185" s="1332"/>
      <c r="DAW185" s="1332"/>
      <c r="DAX185" s="1332"/>
      <c r="DAY185" s="1332"/>
      <c r="DAZ185" s="1332"/>
      <c r="DBA185" s="1332"/>
      <c r="DBB185" s="1332"/>
      <c r="DBC185" s="1332"/>
      <c r="DBD185" s="1332"/>
      <c r="DBE185" s="1332"/>
      <c r="DBF185" s="1332"/>
      <c r="DBG185" s="1332"/>
      <c r="DBH185" s="1332"/>
      <c r="DBI185" s="1332"/>
      <c r="DBJ185" s="1332"/>
      <c r="DBK185" s="1332"/>
      <c r="DBL185" s="1332"/>
      <c r="DBM185" s="1332"/>
      <c r="DBN185" s="1332"/>
      <c r="DBO185" s="1332"/>
      <c r="DBP185" s="1332"/>
      <c r="DBQ185" s="1332"/>
      <c r="DBR185" s="1332"/>
      <c r="DBS185" s="1332"/>
      <c r="DBT185" s="1332"/>
      <c r="DBU185" s="1332"/>
      <c r="DBV185" s="1332"/>
      <c r="DBW185" s="1332"/>
      <c r="DBX185" s="1332"/>
      <c r="DBY185" s="1332"/>
      <c r="DBZ185" s="1332"/>
      <c r="DCA185" s="1332"/>
      <c r="DCB185" s="1332"/>
      <c r="DCC185" s="1332"/>
      <c r="DCD185" s="1332"/>
      <c r="DCE185" s="1332"/>
      <c r="DCF185" s="1332"/>
      <c r="DCG185" s="1332"/>
      <c r="DCH185" s="1332"/>
      <c r="DCI185" s="1332"/>
      <c r="DCJ185" s="1332"/>
      <c r="DCK185" s="1332"/>
      <c r="DCL185" s="1332"/>
      <c r="DCM185" s="1332"/>
      <c r="DCN185" s="1332"/>
      <c r="DCO185" s="1332"/>
      <c r="DCP185" s="1332"/>
      <c r="DCQ185" s="1332"/>
      <c r="DCR185" s="1332"/>
      <c r="DCS185" s="1332"/>
      <c r="DCT185" s="1332"/>
      <c r="DCU185" s="1332"/>
      <c r="DCV185" s="1332"/>
      <c r="DCW185" s="1332"/>
      <c r="DCX185" s="1332"/>
      <c r="DCY185" s="1332"/>
      <c r="DCZ185" s="1332"/>
      <c r="DDA185" s="1332"/>
      <c r="DDB185" s="1332"/>
      <c r="DDC185" s="1332"/>
      <c r="DDD185" s="1332"/>
      <c r="DDE185" s="1332"/>
      <c r="DDF185" s="1332"/>
      <c r="DDG185" s="1332"/>
      <c r="DDH185" s="1332"/>
      <c r="DDI185" s="1332"/>
      <c r="DDJ185" s="1332"/>
      <c r="DDK185" s="1332"/>
      <c r="DDL185" s="1332"/>
      <c r="DDM185" s="1332"/>
      <c r="DDN185" s="1332"/>
      <c r="DDO185" s="1332"/>
      <c r="DDP185" s="1332"/>
      <c r="DDQ185" s="1332"/>
      <c r="DDR185" s="1332"/>
      <c r="DDS185" s="1332"/>
      <c r="DDT185" s="1332"/>
      <c r="DDU185" s="1332"/>
      <c r="DDV185" s="1332"/>
      <c r="DDW185" s="1332"/>
      <c r="DDX185" s="1332"/>
      <c r="DDY185" s="1332"/>
      <c r="DDZ185" s="1332"/>
      <c r="DEA185" s="1332"/>
      <c r="DEB185" s="1332"/>
      <c r="DEC185" s="1332"/>
      <c r="DED185" s="1332"/>
      <c r="DEE185" s="1332"/>
      <c r="DEF185" s="1332"/>
      <c r="DEG185" s="1332"/>
      <c r="DEH185" s="1332"/>
      <c r="DEI185" s="1332"/>
      <c r="DEJ185" s="1332"/>
      <c r="DEK185" s="1332"/>
      <c r="DEL185" s="1332"/>
      <c r="DEM185" s="1332"/>
      <c r="DEN185" s="1332"/>
      <c r="DEO185" s="1332"/>
      <c r="DEP185" s="1332"/>
      <c r="DEQ185" s="1332"/>
      <c r="DER185" s="1332"/>
      <c r="DES185" s="1332"/>
      <c r="DET185" s="1332"/>
      <c r="DEU185" s="1332"/>
      <c r="DEV185" s="1332"/>
      <c r="DEW185" s="1332"/>
      <c r="DEX185" s="1332"/>
      <c r="DEY185" s="1332"/>
      <c r="DEZ185" s="1332"/>
      <c r="DFA185" s="1332"/>
      <c r="DFB185" s="1332"/>
      <c r="DFC185" s="1332"/>
      <c r="DFD185" s="1332"/>
      <c r="DFE185" s="1332"/>
      <c r="DFF185" s="1332"/>
      <c r="DFG185" s="1332"/>
      <c r="DFH185" s="1332"/>
      <c r="DFI185" s="1332"/>
      <c r="DFJ185" s="1332"/>
      <c r="DFK185" s="1332"/>
      <c r="DFL185" s="1332"/>
      <c r="DFM185" s="1332"/>
      <c r="DFN185" s="1332"/>
      <c r="DFO185" s="1332"/>
      <c r="DFP185" s="1332"/>
      <c r="DFQ185" s="1332"/>
      <c r="DFR185" s="1332"/>
      <c r="DFS185" s="1332"/>
      <c r="DFT185" s="1332"/>
      <c r="DFU185" s="1332"/>
      <c r="DFV185" s="1332"/>
      <c r="DFW185" s="1332"/>
      <c r="DFX185" s="1332"/>
      <c r="DFY185" s="1332"/>
      <c r="DFZ185" s="1332"/>
      <c r="DGA185" s="1332"/>
      <c r="DGB185" s="1332"/>
      <c r="DGC185" s="1332"/>
      <c r="DGD185" s="1332"/>
      <c r="DGE185" s="1332"/>
      <c r="DGF185" s="1332"/>
      <c r="DGG185" s="1332"/>
      <c r="DGH185" s="1332"/>
      <c r="DGI185" s="1332"/>
      <c r="DGJ185" s="1332"/>
      <c r="DGK185" s="1332"/>
      <c r="DGL185" s="1332"/>
      <c r="DGM185" s="1332"/>
      <c r="DGN185" s="1332"/>
      <c r="DGO185" s="1332"/>
      <c r="DGP185" s="1332"/>
      <c r="DGQ185" s="1332"/>
      <c r="DGR185" s="1332"/>
      <c r="DGS185" s="1332"/>
      <c r="DGT185" s="1332"/>
      <c r="DGU185" s="1332"/>
      <c r="DGV185" s="1332"/>
      <c r="DGW185" s="1332"/>
      <c r="DGX185" s="1332"/>
      <c r="DGY185" s="1332"/>
      <c r="DGZ185" s="1332"/>
      <c r="DHA185" s="1332"/>
      <c r="DHB185" s="1332"/>
      <c r="DHC185" s="1332"/>
      <c r="DHD185" s="1332"/>
      <c r="DHE185" s="1332"/>
      <c r="DHF185" s="1332"/>
      <c r="DHG185" s="1332"/>
      <c r="DHH185" s="1332"/>
      <c r="DHI185" s="1332"/>
      <c r="DHJ185" s="1332"/>
      <c r="DHK185" s="1332"/>
      <c r="DHL185" s="1332"/>
      <c r="DHM185" s="1332"/>
      <c r="DHN185" s="1332"/>
      <c r="DHO185" s="1332"/>
      <c r="DHP185" s="1332"/>
      <c r="DHQ185" s="1332"/>
      <c r="DHR185" s="1332"/>
      <c r="DHS185" s="1332"/>
      <c r="DHT185" s="1332"/>
      <c r="DHU185" s="1332"/>
      <c r="DHV185" s="1332"/>
      <c r="DHW185" s="1332"/>
      <c r="DHX185" s="1332"/>
      <c r="DHY185" s="1332"/>
      <c r="DHZ185" s="1332"/>
      <c r="DIA185" s="1332"/>
      <c r="DIB185" s="1332"/>
      <c r="DIC185" s="1332"/>
      <c r="DID185" s="1332"/>
      <c r="DIE185" s="1332"/>
      <c r="DIF185" s="1332"/>
      <c r="DIG185" s="1332"/>
      <c r="DIH185" s="1332"/>
      <c r="DII185" s="1332"/>
      <c r="DIJ185" s="1332"/>
      <c r="DIK185" s="1332"/>
      <c r="DIL185" s="1332"/>
      <c r="DIM185" s="1332"/>
      <c r="DIN185" s="1332"/>
      <c r="DIO185" s="1332"/>
      <c r="DIP185" s="1332"/>
      <c r="DIQ185" s="1332"/>
      <c r="DIR185" s="1332"/>
      <c r="DIS185" s="1332"/>
      <c r="DIT185" s="1332"/>
      <c r="DIU185" s="1332"/>
      <c r="DIV185" s="1332"/>
      <c r="DIW185" s="1332"/>
      <c r="DIX185" s="1332"/>
      <c r="DIY185" s="1332"/>
      <c r="DIZ185" s="1332"/>
      <c r="DJA185" s="1332"/>
      <c r="DJB185" s="1332"/>
      <c r="DJC185" s="1332"/>
      <c r="DJD185" s="1332"/>
      <c r="DJE185" s="1332"/>
      <c r="DJF185" s="1332"/>
      <c r="DJG185" s="1332"/>
      <c r="DJH185" s="1332"/>
      <c r="DJI185" s="1332"/>
      <c r="DJJ185" s="1332"/>
      <c r="DJK185" s="1332"/>
      <c r="DJL185" s="1332"/>
      <c r="DJM185" s="1332"/>
      <c r="DJN185" s="1332"/>
      <c r="DJO185" s="1332"/>
      <c r="DJP185" s="1332"/>
      <c r="DJQ185" s="1332"/>
      <c r="DJR185" s="1332"/>
      <c r="DJS185" s="1332"/>
      <c r="DJT185" s="1332"/>
      <c r="DJU185" s="1332"/>
      <c r="DJV185" s="1332"/>
      <c r="DJW185" s="1332"/>
      <c r="DJX185" s="1332"/>
      <c r="DJY185" s="1332"/>
      <c r="DJZ185" s="1332"/>
      <c r="DKA185" s="1332"/>
      <c r="DKB185" s="1332"/>
      <c r="DKC185" s="1332"/>
      <c r="DKD185" s="1332"/>
      <c r="DKE185" s="1332"/>
      <c r="DKF185" s="1332"/>
      <c r="DKG185" s="1332"/>
      <c r="DKH185" s="1332"/>
      <c r="DKI185" s="1332"/>
      <c r="DKJ185" s="1332"/>
      <c r="DKK185" s="1332"/>
      <c r="DKL185" s="1332"/>
      <c r="DKM185" s="1332"/>
      <c r="DKN185" s="1332"/>
      <c r="DKO185" s="1332"/>
      <c r="DKP185" s="1332"/>
      <c r="DKQ185" s="1332"/>
      <c r="DKR185" s="1332"/>
      <c r="DKS185" s="1332"/>
      <c r="DKT185" s="1332"/>
      <c r="DKU185" s="1332"/>
      <c r="DKV185" s="1332"/>
      <c r="DKW185" s="1332"/>
      <c r="DKX185" s="1332"/>
      <c r="DKY185" s="1332"/>
      <c r="DKZ185" s="1332"/>
      <c r="DLA185" s="1332"/>
      <c r="DLB185" s="1332"/>
      <c r="DLC185" s="1332"/>
      <c r="DLD185" s="1332"/>
      <c r="DLE185" s="1332"/>
      <c r="DLF185" s="1332"/>
      <c r="DLG185" s="1332"/>
      <c r="DLH185" s="1332"/>
      <c r="DLI185" s="1332"/>
      <c r="DLJ185" s="1332"/>
      <c r="DLK185" s="1332"/>
      <c r="DLL185" s="1332"/>
      <c r="DLM185" s="1332"/>
      <c r="DLN185" s="1332"/>
      <c r="DLO185" s="1332"/>
      <c r="DLP185" s="1332"/>
      <c r="DLQ185" s="1332"/>
      <c r="DLR185" s="1332"/>
      <c r="DLS185" s="1332"/>
      <c r="DLT185" s="1332"/>
      <c r="DLU185" s="1332"/>
      <c r="DLV185" s="1332"/>
      <c r="DLW185" s="1332"/>
      <c r="DLX185" s="1332"/>
      <c r="DLY185" s="1332"/>
      <c r="DLZ185" s="1332"/>
      <c r="DMA185" s="1332"/>
      <c r="DMB185" s="1332"/>
      <c r="DMC185" s="1332"/>
      <c r="DMD185" s="1332"/>
      <c r="DME185" s="1332"/>
      <c r="DMF185" s="1332"/>
      <c r="DMG185" s="1332"/>
      <c r="DMH185" s="1332"/>
      <c r="DMI185" s="1332"/>
      <c r="DMJ185" s="1332"/>
      <c r="DMK185" s="1332"/>
      <c r="DML185" s="1332"/>
      <c r="DMM185" s="1332"/>
      <c r="DMN185" s="1332"/>
      <c r="DMO185" s="1332"/>
      <c r="DMP185" s="1332"/>
      <c r="DMQ185" s="1332"/>
      <c r="DMR185" s="1332"/>
      <c r="DMS185" s="1332"/>
      <c r="DMT185" s="1332"/>
      <c r="DMU185" s="1332"/>
      <c r="DMV185" s="1332"/>
      <c r="DMW185" s="1332"/>
      <c r="DMX185" s="1332"/>
      <c r="DMY185" s="1332"/>
      <c r="DMZ185" s="1332"/>
      <c r="DNA185" s="1332"/>
      <c r="DNB185" s="1332"/>
      <c r="DNC185" s="1332"/>
      <c r="DND185" s="1332"/>
      <c r="DNE185" s="1332"/>
      <c r="DNF185" s="1332"/>
      <c r="DNG185" s="1332"/>
      <c r="DNH185" s="1332"/>
      <c r="DNI185" s="1332"/>
      <c r="DNJ185" s="1332"/>
      <c r="DNK185" s="1332"/>
      <c r="DNL185" s="1332"/>
      <c r="DNM185" s="1332"/>
      <c r="DNN185" s="1332"/>
      <c r="DNO185" s="1332"/>
      <c r="DNP185" s="1332"/>
      <c r="DNQ185" s="1332"/>
      <c r="DNR185" s="1332"/>
      <c r="DNS185" s="1332"/>
      <c r="DNT185" s="1332"/>
      <c r="DNU185" s="1332"/>
      <c r="DNV185" s="1332"/>
      <c r="DNW185" s="1332"/>
      <c r="DNX185" s="1332"/>
      <c r="DNY185" s="1332"/>
      <c r="DNZ185" s="1332"/>
      <c r="DOA185" s="1332"/>
      <c r="DOB185" s="1332"/>
      <c r="DOC185" s="1332"/>
      <c r="DOD185" s="1332"/>
      <c r="DOE185" s="1332"/>
      <c r="DOF185" s="1332"/>
      <c r="DOG185" s="1332"/>
      <c r="DOH185" s="1332"/>
      <c r="DOI185" s="1332"/>
      <c r="DOJ185" s="1332"/>
      <c r="DOK185" s="1332"/>
      <c r="DOL185" s="1332"/>
      <c r="DOM185" s="1332"/>
      <c r="DON185" s="1332"/>
      <c r="DOO185" s="1332"/>
      <c r="DOP185" s="1332"/>
      <c r="DOQ185" s="1332"/>
      <c r="DOR185" s="1332"/>
      <c r="DOS185" s="1332"/>
      <c r="DOT185" s="1332"/>
      <c r="DOU185" s="1332"/>
      <c r="DOV185" s="1332"/>
      <c r="DOW185" s="1332"/>
      <c r="DOX185" s="1332"/>
      <c r="DOY185" s="1332"/>
      <c r="DOZ185" s="1332"/>
      <c r="DPA185" s="1332"/>
      <c r="DPB185" s="1332"/>
      <c r="DPC185" s="1332"/>
      <c r="DPD185" s="1332"/>
      <c r="DPE185" s="1332"/>
      <c r="DPF185" s="1332"/>
      <c r="DPG185" s="1332"/>
      <c r="DPH185" s="1332"/>
      <c r="DPI185" s="1332"/>
      <c r="DPJ185" s="1332"/>
      <c r="DPK185" s="1332"/>
      <c r="DPL185" s="1332"/>
      <c r="DPM185" s="1332"/>
      <c r="DPN185" s="1332"/>
      <c r="DPO185" s="1332"/>
      <c r="DPP185" s="1332"/>
      <c r="DPQ185" s="1332"/>
      <c r="DPR185" s="1332"/>
      <c r="DPS185" s="1332"/>
      <c r="DPT185" s="1332"/>
      <c r="DPU185" s="1332"/>
      <c r="DPV185" s="1332"/>
      <c r="DPW185" s="1332"/>
      <c r="DPX185" s="1332"/>
      <c r="DPY185" s="1332"/>
      <c r="DPZ185" s="1332"/>
      <c r="DQA185" s="1332"/>
      <c r="DQB185" s="1332"/>
      <c r="DQC185" s="1332"/>
      <c r="DQD185" s="1332"/>
      <c r="DQE185" s="1332"/>
      <c r="DQF185" s="1332"/>
      <c r="DQG185" s="1332"/>
      <c r="DQH185" s="1332"/>
      <c r="DQI185" s="1332"/>
      <c r="DQJ185" s="1332"/>
      <c r="DQK185" s="1332"/>
      <c r="DQL185" s="1332"/>
      <c r="DQM185" s="1332"/>
      <c r="DQN185" s="1332"/>
      <c r="DQO185" s="1332"/>
      <c r="DQP185" s="1332"/>
      <c r="DQQ185" s="1332"/>
      <c r="DQR185" s="1332"/>
      <c r="DQS185" s="1332"/>
      <c r="DQT185" s="1332"/>
      <c r="DQU185" s="1332"/>
      <c r="DQV185" s="1332"/>
      <c r="DQW185" s="1332"/>
      <c r="DQX185" s="1332"/>
      <c r="DQY185" s="1332"/>
      <c r="DQZ185" s="1332"/>
      <c r="DRA185" s="1332"/>
      <c r="DRB185" s="1332"/>
      <c r="DRC185" s="1332"/>
      <c r="DRD185" s="1332"/>
      <c r="DRE185" s="1332"/>
      <c r="DRF185" s="1332"/>
      <c r="DRG185" s="1332"/>
      <c r="DRH185" s="1332"/>
      <c r="DRI185" s="1332"/>
      <c r="DRJ185" s="1332"/>
      <c r="DRK185" s="1332"/>
      <c r="DRL185" s="1332"/>
      <c r="DRM185" s="1332"/>
      <c r="DRN185" s="1332"/>
      <c r="DRO185" s="1332"/>
      <c r="DRP185" s="1332"/>
      <c r="DRQ185" s="1332"/>
      <c r="DRR185" s="1332"/>
      <c r="DRS185" s="1332"/>
      <c r="DRT185" s="1332"/>
      <c r="DRU185" s="1332"/>
      <c r="DRV185" s="1332"/>
      <c r="DRW185" s="1332"/>
      <c r="DRX185" s="1332"/>
      <c r="DRY185" s="1332"/>
      <c r="DRZ185" s="1332"/>
      <c r="DSA185" s="1332"/>
      <c r="DSB185" s="1332"/>
      <c r="DSC185" s="1332"/>
      <c r="DSD185" s="1332"/>
      <c r="DSE185" s="1332"/>
      <c r="DSF185" s="1332"/>
      <c r="DSG185" s="1332"/>
      <c r="DSH185" s="1332"/>
      <c r="DSI185" s="1332"/>
      <c r="DSJ185" s="1332"/>
      <c r="DSK185" s="1332"/>
      <c r="DSL185" s="1332"/>
      <c r="DSM185" s="1332"/>
      <c r="DSN185" s="1332"/>
      <c r="DSO185" s="1332"/>
      <c r="DSP185" s="1332"/>
      <c r="DSQ185" s="1332"/>
      <c r="DSR185" s="1332"/>
      <c r="DSS185" s="1332"/>
      <c r="DST185" s="1332"/>
      <c r="DSU185" s="1332"/>
      <c r="DSV185" s="1332"/>
      <c r="DSW185" s="1332"/>
      <c r="DSX185" s="1332"/>
      <c r="DSY185" s="1332"/>
      <c r="DSZ185" s="1332"/>
      <c r="DTA185" s="1332"/>
      <c r="DTB185" s="1332"/>
      <c r="DTC185" s="1332"/>
      <c r="DTD185" s="1332"/>
      <c r="DTE185" s="1332"/>
      <c r="DTF185" s="1332"/>
      <c r="DTG185" s="1332"/>
      <c r="DTH185" s="1332"/>
      <c r="DTI185" s="1332"/>
      <c r="DTJ185" s="1332"/>
      <c r="DTK185" s="1332"/>
      <c r="DTL185" s="1332"/>
      <c r="DTM185" s="1332"/>
      <c r="DTN185" s="1332"/>
      <c r="DTO185" s="1332"/>
      <c r="DTP185" s="1332"/>
      <c r="DTQ185" s="1332"/>
      <c r="DTR185" s="1332"/>
      <c r="DTS185" s="1332"/>
      <c r="DTT185" s="1332"/>
      <c r="DTU185" s="1332"/>
      <c r="DTV185" s="1332"/>
      <c r="DTW185" s="1332"/>
      <c r="DTX185" s="1332"/>
      <c r="DTY185" s="1332"/>
      <c r="DTZ185" s="1332"/>
      <c r="DUA185" s="1332"/>
      <c r="DUB185" s="1332"/>
      <c r="DUC185" s="1332"/>
      <c r="DUD185" s="1332"/>
      <c r="DUE185" s="1332"/>
      <c r="DUF185" s="1332"/>
      <c r="DUG185" s="1332"/>
      <c r="DUH185" s="1332"/>
      <c r="DUI185" s="1332"/>
      <c r="DUJ185" s="1332"/>
      <c r="DUK185" s="1332"/>
      <c r="DUL185" s="1332"/>
      <c r="DUM185" s="1332"/>
      <c r="DUN185" s="1332"/>
      <c r="DUO185" s="1332"/>
      <c r="DUP185" s="1332"/>
      <c r="DUQ185" s="1332"/>
      <c r="DUR185" s="1332"/>
      <c r="DUS185" s="1332"/>
      <c r="DUT185" s="1332"/>
      <c r="DUU185" s="1332"/>
      <c r="DUV185" s="1332"/>
      <c r="DUW185" s="1332"/>
      <c r="DUX185" s="1332"/>
      <c r="DUY185" s="1332"/>
      <c r="DUZ185" s="1332"/>
      <c r="DVA185" s="1332"/>
      <c r="DVB185" s="1332"/>
      <c r="DVC185" s="1332"/>
      <c r="DVD185" s="1332"/>
      <c r="DVE185" s="1332"/>
      <c r="DVF185" s="1332"/>
      <c r="DVG185" s="1332"/>
      <c r="DVH185" s="1332"/>
      <c r="DVI185" s="1332"/>
      <c r="DVJ185" s="1332"/>
      <c r="DVK185" s="1332"/>
      <c r="DVL185" s="1332"/>
      <c r="DVM185" s="1332"/>
      <c r="DVN185" s="1332"/>
      <c r="DVO185" s="1332"/>
      <c r="DVP185" s="1332"/>
      <c r="DVQ185" s="1332"/>
      <c r="DVR185" s="1332"/>
      <c r="DVS185" s="1332"/>
      <c r="DVT185" s="1332"/>
      <c r="DVU185" s="1332"/>
      <c r="DVV185" s="1332"/>
      <c r="DVW185" s="1332"/>
      <c r="DVX185" s="1332"/>
      <c r="DVY185" s="1332"/>
      <c r="DVZ185" s="1332"/>
      <c r="DWA185" s="1332"/>
      <c r="DWB185" s="1332"/>
      <c r="DWC185" s="1332"/>
      <c r="DWD185" s="1332"/>
      <c r="DWE185" s="1332"/>
      <c r="DWF185" s="1332"/>
      <c r="DWG185" s="1332"/>
      <c r="DWH185" s="1332"/>
      <c r="DWI185" s="1332"/>
      <c r="DWJ185" s="1332"/>
      <c r="DWK185" s="1332"/>
      <c r="DWL185" s="1332"/>
      <c r="DWM185" s="1332"/>
      <c r="DWN185" s="1332"/>
      <c r="DWO185" s="1332"/>
      <c r="DWP185" s="1332"/>
      <c r="DWQ185" s="1332"/>
      <c r="DWR185" s="1332"/>
      <c r="DWS185" s="1332"/>
      <c r="DWT185" s="1332"/>
      <c r="DWU185" s="1332"/>
      <c r="DWV185" s="1332"/>
      <c r="DWW185" s="1332"/>
      <c r="DWX185" s="1332"/>
      <c r="DWY185" s="1332"/>
      <c r="DWZ185" s="1332"/>
      <c r="DXA185" s="1332"/>
      <c r="DXB185" s="1332"/>
      <c r="DXC185" s="1332"/>
      <c r="DXD185" s="1332"/>
      <c r="DXE185" s="1332"/>
      <c r="DXF185" s="1332"/>
      <c r="DXG185" s="1332"/>
      <c r="DXH185" s="1332"/>
      <c r="DXI185" s="1332"/>
      <c r="DXJ185" s="1332"/>
      <c r="DXK185" s="1332"/>
      <c r="DXL185" s="1332"/>
      <c r="DXM185" s="1332"/>
      <c r="DXN185" s="1332"/>
      <c r="DXO185" s="1332"/>
      <c r="DXP185" s="1332"/>
      <c r="DXQ185" s="1332"/>
      <c r="DXR185" s="1332"/>
      <c r="DXS185" s="1332"/>
      <c r="DXT185" s="1332"/>
      <c r="DXU185" s="1332"/>
      <c r="DXV185" s="1332"/>
      <c r="DXW185" s="1332"/>
      <c r="DXX185" s="1332"/>
      <c r="DXY185" s="1332"/>
      <c r="DXZ185" s="1332"/>
      <c r="DYA185" s="1332"/>
      <c r="DYB185" s="1332"/>
      <c r="DYC185" s="1332"/>
      <c r="DYD185" s="1332"/>
      <c r="DYE185" s="1332"/>
      <c r="DYF185" s="1332"/>
      <c r="DYG185" s="1332"/>
      <c r="DYH185" s="1332"/>
      <c r="DYI185" s="1332"/>
      <c r="DYJ185" s="1332"/>
      <c r="DYK185" s="1332"/>
      <c r="DYL185" s="1332"/>
      <c r="DYM185" s="1332"/>
      <c r="DYN185" s="1332"/>
      <c r="DYO185" s="1332"/>
      <c r="DYP185" s="1332"/>
      <c r="DYQ185" s="1332"/>
      <c r="DYR185" s="1332"/>
      <c r="DYS185" s="1332"/>
      <c r="DYT185" s="1332"/>
      <c r="DYU185" s="1332"/>
      <c r="DYV185" s="1332"/>
      <c r="DYW185" s="1332"/>
      <c r="DYX185" s="1332"/>
      <c r="DYY185" s="1332"/>
      <c r="DYZ185" s="1332"/>
      <c r="DZA185" s="1332"/>
      <c r="DZB185" s="1332"/>
      <c r="DZC185" s="1332"/>
      <c r="DZD185" s="1332"/>
      <c r="DZE185" s="1332"/>
      <c r="DZF185" s="1332"/>
      <c r="DZG185" s="1332"/>
      <c r="DZH185" s="1332"/>
      <c r="DZI185" s="1332"/>
      <c r="DZJ185" s="1332"/>
      <c r="DZK185" s="1332"/>
      <c r="DZL185" s="1332"/>
      <c r="DZM185" s="1332"/>
      <c r="DZN185" s="1332"/>
      <c r="DZO185" s="1332"/>
      <c r="DZP185" s="1332"/>
      <c r="DZQ185" s="1332"/>
      <c r="DZR185" s="1332"/>
      <c r="DZS185" s="1332"/>
      <c r="DZT185" s="1332"/>
      <c r="DZU185" s="1332"/>
      <c r="DZV185" s="1332"/>
      <c r="DZW185" s="1332"/>
      <c r="DZX185" s="1332"/>
      <c r="DZY185" s="1332"/>
      <c r="DZZ185" s="1332"/>
      <c r="EAA185" s="1332"/>
      <c r="EAB185" s="1332"/>
      <c r="EAC185" s="1332"/>
      <c r="EAD185" s="1332"/>
      <c r="EAE185" s="1332"/>
      <c r="EAF185" s="1332"/>
      <c r="EAG185" s="1332"/>
      <c r="EAH185" s="1332"/>
      <c r="EAI185" s="1332"/>
      <c r="EAJ185" s="1332"/>
      <c r="EAK185" s="1332"/>
      <c r="EAL185" s="1332"/>
      <c r="EAM185" s="1332"/>
      <c r="EAN185" s="1332"/>
      <c r="EAO185" s="1332"/>
      <c r="EAP185" s="1332"/>
      <c r="EAQ185" s="1332"/>
      <c r="EAR185" s="1332"/>
      <c r="EAS185" s="1332"/>
      <c r="EAT185" s="1332"/>
      <c r="EAU185" s="1332"/>
      <c r="EAV185" s="1332"/>
      <c r="EAW185" s="1332"/>
      <c r="EAX185" s="1332"/>
      <c r="EAY185" s="1332"/>
      <c r="EAZ185" s="1332"/>
      <c r="EBA185" s="1332"/>
      <c r="EBB185" s="1332"/>
      <c r="EBC185" s="1332"/>
      <c r="EBD185" s="1332"/>
      <c r="EBE185" s="1332"/>
      <c r="EBF185" s="1332"/>
      <c r="EBG185" s="1332"/>
      <c r="EBH185" s="1332"/>
      <c r="EBI185" s="1332"/>
      <c r="EBJ185" s="1332"/>
      <c r="EBK185" s="1332"/>
      <c r="EBL185" s="1332"/>
      <c r="EBM185" s="1332"/>
      <c r="EBN185" s="1332"/>
      <c r="EBO185" s="1332"/>
      <c r="EBP185" s="1332"/>
      <c r="EBQ185" s="1332"/>
      <c r="EBR185" s="1332"/>
      <c r="EBS185" s="1332"/>
      <c r="EBT185" s="1332"/>
      <c r="EBU185" s="1332"/>
      <c r="EBV185" s="1332"/>
      <c r="EBW185" s="1332"/>
      <c r="EBX185" s="1332"/>
      <c r="EBY185" s="1332"/>
      <c r="EBZ185" s="1332"/>
      <c r="ECA185" s="1332"/>
      <c r="ECB185" s="1332"/>
      <c r="ECC185" s="1332"/>
      <c r="ECD185" s="1332"/>
      <c r="ECE185" s="1332"/>
      <c r="ECF185" s="1332"/>
      <c r="ECG185" s="1332"/>
      <c r="ECH185" s="1332"/>
      <c r="ECI185" s="1332"/>
      <c r="ECJ185" s="1332"/>
      <c r="ECK185" s="1332"/>
      <c r="ECL185" s="1332"/>
      <c r="ECM185" s="1332"/>
      <c r="ECN185" s="1332"/>
      <c r="ECO185" s="1332"/>
      <c r="ECP185" s="1332"/>
      <c r="ECQ185" s="1332"/>
      <c r="ECR185" s="1332"/>
      <c r="ECS185" s="1332"/>
      <c r="ECT185" s="1332"/>
      <c r="ECU185" s="1332"/>
      <c r="ECV185" s="1332"/>
      <c r="ECW185" s="1332"/>
      <c r="ECX185" s="1332"/>
      <c r="ECY185" s="1332"/>
      <c r="ECZ185" s="1332"/>
      <c r="EDA185" s="1332"/>
      <c r="EDB185" s="1332"/>
      <c r="EDC185" s="1332"/>
      <c r="EDD185" s="1332"/>
      <c r="EDE185" s="1332"/>
      <c r="EDF185" s="1332"/>
      <c r="EDG185" s="1332"/>
      <c r="EDH185" s="1332"/>
      <c r="EDI185" s="1332"/>
      <c r="EDJ185" s="1332"/>
      <c r="EDK185" s="1332"/>
      <c r="EDL185" s="1332"/>
      <c r="EDM185" s="1332"/>
      <c r="EDN185" s="1332"/>
      <c r="EDO185" s="1332"/>
      <c r="EDP185" s="1332"/>
      <c r="EDQ185" s="1332"/>
      <c r="EDR185" s="1332"/>
      <c r="EDS185" s="1332"/>
      <c r="EDT185" s="1332"/>
      <c r="EDU185" s="1332"/>
      <c r="EDV185" s="1332"/>
      <c r="EDW185" s="1332"/>
      <c r="EDX185" s="1332"/>
      <c r="EDY185" s="1332"/>
      <c r="EDZ185" s="1332"/>
      <c r="EEA185" s="1332"/>
      <c r="EEB185" s="1332"/>
      <c r="EEC185" s="1332"/>
      <c r="EED185" s="1332"/>
      <c r="EEE185" s="1332"/>
      <c r="EEF185" s="1332"/>
      <c r="EEG185" s="1332"/>
      <c r="EEH185" s="1332"/>
      <c r="EEI185" s="1332"/>
      <c r="EEJ185" s="1332"/>
      <c r="EEK185" s="1332"/>
      <c r="EEL185" s="1332"/>
      <c r="EEM185" s="1332"/>
      <c r="EEN185" s="1332"/>
      <c r="EEO185" s="1332"/>
      <c r="EEP185" s="1332"/>
      <c r="EEQ185" s="1332"/>
      <c r="EER185" s="1332"/>
      <c r="EES185" s="1332"/>
      <c r="EET185" s="1332"/>
      <c r="EEU185" s="1332"/>
      <c r="EEV185" s="1332"/>
      <c r="EEW185" s="1332"/>
      <c r="EEX185" s="1332"/>
      <c r="EEY185" s="1332"/>
      <c r="EEZ185" s="1332"/>
      <c r="EFA185" s="1332"/>
      <c r="EFB185" s="1332"/>
      <c r="EFC185" s="1332"/>
      <c r="EFD185" s="1332"/>
      <c r="EFE185" s="1332"/>
      <c r="EFF185" s="1332"/>
      <c r="EFG185" s="1332"/>
      <c r="EFH185" s="1332"/>
      <c r="EFI185" s="1332"/>
      <c r="EFJ185" s="1332"/>
      <c r="EFK185" s="1332"/>
      <c r="EFL185" s="1332"/>
      <c r="EFM185" s="1332"/>
      <c r="EFN185" s="1332"/>
      <c r="EFO185" s="1332"/>
      <c r="EFP185" s="1332"/>
      <c r="EFQ185" s="1332"/>
      <c r="EFR185" s="1332"/>
      <c r="EFS185" s="1332"/>
      <c r="EFT185" s="1332"/>
      <c r="EFU185" s="1332"/>
      <c r="EFV185" s="1332"/>
      <c r="EFW185" s="1332"/>
      <c r="EFX185" s="1332"/>
      <c r="EFY185" s="1332"/>
      <c r="EFZ185" s="1332"/>
      <c r="EGA185" s="1332"/>
      <c r="EGB185" s="1332"/>
      <c r="EGC185" s="1332"/>
      <c r="EGD185" s="1332"/>
      <c r="EGE185" s="1332"/>
      <c r="EGF185" s="1332"/>
      <c r="EGG185" s="1332"/>
      <c r="EGH185" s="1332"/>
      <c r="EGI185" s="1332"/>
      <c r="EGJ185" s="1332"/>
      <c r="EGK185" s="1332"/>
      <c r="EGL185" s="1332"/>
      <c r="EGM185" s="1332"/>
      <c r="EGN185" s="1332"/>
      <c r="EGO185" s="1332"/>
      <c r="EGP185" s="1332"/>
      <c r="EGQ185" s="1332"/>
      <c r="EGR185" s="1332"/>
      <c r="EGS185" s="1332"/>
      <c r="EGT185" s="1332"/>
      <c r="EGU185" s="1332"/>
      <c r="EGV185" s="1332"/>
      <c r="EGW185" s="1332"/>
      <c r="EGX185" s="1332"/>
      <c r="EGY185" s="1332"/>
      <c r="EGZ185" s="1332"/>
      <c r="EHA185" s="1332"/>
      <c r="EHB185" s="1332"/>
      <c r="EHC185" s="1332"/>
      <c r="EHD185" s="1332"/>
      <c r="EHE185" s="1332"/>
      <c r="EHF185" s="1332"/>
      <c r="EHG185" s="1332"/>
      <c r="EHH185" s="1332"/>
      <c r="EHI185" s="1332"/>
      <c r="EHJ185" s="1332"/>
      <c r="EHK185" s="1332"/>
      <c r="EHL185" s="1332"/>
      <c r="EHM185" s="1332"/>
      <c r="EHN185" s="1332"/>
      <c r="EHO185" s="1332"/>
      <c r="EHP185" s="1332"/>
      <c r="EHQ185" s="1332"/>
      <c r="EHR185" s="1332"/>
      <c r="EHS185" s="1332"/>
      <c r="EHT185" s="1332"/>
      <c r="EHU185" s="1332"/>
      <c r="EHV185" s="1332"/>
      <c r="EHW185" s="1332"/>
      <c r="EHX185" s="1332"/>
      <c r="EHY185" s="1332"/>
      <c r="EHZ185" s="1332"/>
      <c r="EIA185" s="1332"/>
      <c r="EIB185" s="1332"/>
      <c r="EIC185" s="1332"/>
      <c r="EID185" s="1332"/>
      <c r="EIE185" s="1332"/>
      <c r="EIF185" s="1332"/>
      <c r="EIG185" s="1332"/>
      <c r="EIH185" s="1332"/>
      <c r="EII185" s="1332"/>
      <c r="EIJ185" s="1332"/>
      <c r="EIK185" s="1332"/>
      <c r="EIL185" s="1332"/>
      <c r="EIM185" s="1332"/>
      <c r="EIN185" s="1332"/>
      <c r="EIO185" s="1332"/>
      <c r="EIP185" s="1332"/>
      <c r="EIQ185" s="1332"/>
      <c r="EIR185" s="1332"/>
      <c r="EIS185" s="1332"/>
      <c r="EIT185" s="1332"/>
      <c r="EIU185" s="1332"/>
      <c r="EIV185" s="1332"/>
      <c r="EIW185" s="1332"/>
      <c r="EIX185" s="1332"/>
      <c r="EIY185" s="1332"/>
      <c r="EIZ185" s="1332"/>
      <c r="EJA185" s="1332"/>
      <c r="EJB185" s="1332"/>
      <c r="EJC185" s="1332"/>
      <c r="EJD185" s="1332"/>
      <c r="EJE185" s="1332"/>
      <c r="EJF185" s="1332"/>
      <c r="EJG185" s="1332"/>
      <c r="EJH185" s="1332"/>
      <c r="EJI185" s="1332"/>
      <c r="EJJ185" s="1332"/>
      <c r="EJK185" s="1332"/>
      <c r="EJL185" s="1332"/>
      <c r="EJM185" s="1332"/>
      <c r="EJN185" s="1332"/>
      <c r="EJO185" s="1332"/>
      <c r="EJP185" s="1332"/>
      <c r="EJQ185" s="1332"/>
      <c r="EJR185" s="1332"/>
      <c r="EJS185" s="1332"/>
      <c r="EJT185" s="1332"/>
      <c r="EJU185" s="1332"/>
      <c r="EJV185" s="1332"/>
      <c r="EJW185" s="1332"/>
      <c r="EJX185" s="1332"/>
      <c r="EJY185" s="1332"/>
      <c r="EJZ185" s="1332"/>
      <c r="EKA185" s="1332"/>
      <c r="EKB185" s="1332"/>
      <c r="EKC185" s="1332"/>
      <c r="EKD185" s="1332"/>
      <c r="EKE185" s="1332"/>
      <c r="EKF185" s="1332"/>
      <c r="EKG185" s="1332"/>
      <c r="EKH185" s="1332"/>
      <c r="EKI185" s="1332"/>
      <c r="EKJ185" s="1332"/>
      <c r="EKK185" s="1332"/>
      <c r="EKL185" s="1332"/>
      <c r="EKM185" s="1332"/>
      <c r="EKN185" s="1332"/>
      <c r="EKO185" s="1332"/>
      <c r="EKP185" s="1332"/>
      <c r="EKQ185" s="1332"/>
      <c r="EKR185" s="1332"/>
      <c r="EKS185" s="1332"/>
      <c r="EKT185" s="1332"/>
      <c r="EKU185" s="1332"/>
      <c r="EKV185" s="1332"/>
      <c r="EKW185" s="1332"/>
      <c r="EKX185" s="1332"/>
      <c r="EKY185" s="1332"/>
      <c r="EKZ185" s="1332"/>
      <c r="ELA185" s="1332"/>
      <c r="ELB185" s="1332"/>
      <c r="ELC185" s="1332"/>
      <c r="ELD185" s="1332"/>
      <c r="ELE185" s="1332"/>
      <c r="ELF185" s="1332"/>
      <c r="ELG185" s="1332"/>
      <c r="ELH185" s="1332"/>
      <c r="ELI185" s="1332"/>
      <c r="ELJ185" s="1332"/>
      <c r="ELK185" s="1332"/>
      <c r="ELL185" s="1332"/>
      <c r="ELM185" s="1332"/>
      <c r="ELN185" s="1332"/>
      <c r="ELO185" s="1332"/>
      <c r="ELP185" s="1332"/>
      <c r="ELQ185" s="1332"/>
      <c r="ELR185" s="1332"/>
      <c r="ELS185" s="1332"/>
      <c r="ELT185" s="1332"/>
      <c r="ELU185" s="1332"/>
      <c r="ELV185" s="1332"/>
      <c r="ELW185" s="1332"/>
      <c r="ELX185" s="1332"/>
      <c r="ELY185" s="1332"/>
      <c r="ELZ185" s="1332"/>
      <c r="EMA185" s="1332"/>
      <c r="EMB185" s="1332"/>
      <c r="EMC185" s="1332"/>
      <c r="EMD185" s="1332"/>
      <c r="EME185" s="1332"/>
      <c r="EMF185" s="1332"/>
      <c r="EMG185" s="1332"/>
      <c r="EMH185" s="1332"/>
      <c r="EMI185" s="1332"/>
      <c r="EMJ185" s="1332"/>
      <c r="EMK185" s="1332"/>
      <c r="EML185" s="1332"/>
      <c r="EMM185" s="1332"/>
      <c r="EMN185" s="1332"/>
      <c r="EMO185" s="1332"/>
      <c r="EMP185" s="1332"/>
      <c r="EMQ185" s="1332"/>
      <c r="EMR185" s="1332"/>
      <c r="EMS185" s="1332"/>
      <c r="EMT185" s="1332"/>
      <c r="EMU185" s="1332"/>
      <c r="EMV185" s="1332"/>
      <c r="EMW185" s="1332"/>
      <c r="EMX185" s="1332"/>
      <c r="EMY185" s="1332"/>
      <c r="EMZ185" s="1332"/>
      <c r="ENA185" s="1332"/>
      <c r="ENB185" s="1332"/>
      <c r="ENC185" s="1332"/>
      <c r="END185" s="1332"/>
      <c r="ENE185" s="1332"/>
      <c r="ENF185" s="1332"/>
      <c r="ENG185" s="1332"/>
      <c r="ENH185" s="1332"/>
      <c r="ENI185" s="1332"/>
      <c r="ENJ185" s="1332"/>
      <c r="ENK185" s="1332"/>
      <c r="ENL185" s="1332"/>
      <c r="ENM185" s="1332"/>
      <c r="ENN185" s="1332"/>
      <c r="ENO185" s="1332"/>
      <c r="ENP185" s="1332"/>
      <c r="ENQ185" s="1332"/>
      <c r="ENR185" s="1332"/>
      <c r="ENS185" s="1332"/>
      <c r="ENT185" s="1332"/>
      <c r="ENU185" s="1332"/>
      <c r="ENV185" s="1332"/>
      <c r="ENW185" s="1332"/>
      <c r="ENX185" s="1332"/>
      <c r="ENY185" s="1332"/>
      <c r="ENZ185" s="1332"/>
      <c r="EOA185" s="1332"/>
      <c r="EOB185" s="1332"/>
      <c r="EOC185" s="1332"/>
      <c r="EOD185" s="1332"/>
      <c r="EOE185" s="1332"/>
      <c r="EOF185" s="1332"/>
      <c r="EOG185" s="1332"/>
      <c r="EOH185" s="1332"/>
      <c r="EOI185" s="1332"/>
      <c r="EOJ185" s="1332"/>
      <c r="EOK185" s="1332"/>
      <c r="EOL185" s="1332"/>
      <c r="EOM185" s="1332"/>
      <c r="EON185" s="1332"/>
      <c r="EOO185" s="1332"/>
      <c r="EOP185" s="1332"/>
      <c r="EOQ185" s="1332"/>
      <c r="EOR185" s="1332"/>
      <c r="EOS185" s="1332"/>
      <c r="EOT185" s="1332"/>
      <c r="EOU185" s="1332"/>
      <c r="EOV185" s="1332"/>
      <c r="EOW185" s="1332"/>
      <c r="EOX185" s="1332"/>
      <c r="EOY185" s="1332"/>
      <c r="EOZ185" s="1332"/>
      <c r="EPA185" s="1332"/>
      <c r="EPB185" s="1332"/>
      <c r="EPC185" s="1332"/>
      <c r="EPD185" s="1332"/>
      <c r="EPE185" s="1332"/>
      <c r="EPF185" s="1332"/>
      <c r="EPG185" s="1332"/>
      <c r="EPH185" s="1332"/>
      <c r="EPI185" s="1332"/>
      <c r="EPJ185" s="1332"/>
      <c r="EPK185" s="1332"/>
      <c r="EPL185" s="1332"/>
      <c r="EPM185" s="1332"/>
      <c r="EPN185" s="1332"/>
      <c r="EPO185" s="1332"/>
      <c r="EPP185" s="1332"/>
      <c r="EPQ185" s="1332"/>
      <c r="EPR185" s="1332"/>
      <c r="EPS185" s="1332"/>
      <c r="EPT185" s="1332"/>
      <c r="EPU185" s="1332"/>
      <c r="EPV185" s="1332"/>
      <c r="EPW185" s="1332"/>
      <c r="EPX185" s="1332"/>
      <c r="EPY185" s="1332"/>
      <c r="EPZ185" s="1332"/>
      <c r="EQA185" s="1332"/>
      <c r="EQB185" s="1332"/>
      <c r="EQC185" s="1332"/>
      <c r="EQD185" s="1332"/>
      <c r="EQE185" s="1332"/>
      <c r="EQF185" s="1332"/>
      <c r="EQG185" s="1332"/>
      <c r="EQH185" s="1332"/>
      <c r="EQI185" s="1332"/>
      <c r="EQJ185" s="1332"/>
      <c r="EQK185" s="1332"/>
      <c r="EQL185" s="1332"/>
      <c r="EQM185" s="1332"/>
      <c r="EQN185" s="1332"/>
      <c r="EQO185" s="1332"/>
      <c r="EQP185" s="1332"/>
      <c r="EQQ185" s="1332"/>
      <c r="EQR185" s="1332"/>
      <c r="EQS185" s="1332"/>
      <c r="EQT185" s="1332"/>
      <c r="EQU185" s="1332"/>
      <c r="EQV185" s="1332"/>
      <c r="EQW185" s="1332"/>
      <c r="EQX185" s="1332"/>
      <c r="EQY185" s="1332"/>
      <c r="EQZ185" s="1332"/>
      <c r="ERA185" s="1332"/>
      <c r="ERB185" s="1332"/>
      <c r="ERC185" s="1332"/>
      <c r="ERD185" s="1332"/>
      <c r="ERE185" s="1332"/>
      <c r="ERF185" s="1332"/>
      <c r="ERG185" s="1332"/>
      <c r="ERH185" s="1332"/>
      <c r="ERI185" s="1332"/>
      <c r="ERJ185" s="1332"/>
      <c r="ERK185" s="1332"/>
      <c r="ERL185" s="1332"/>
      <c r="ERM185" s="1332"/>
      <c r="ERN185" s="1332"/>
      <c r="ERO185" s="1332"/>
      <c r="ERP185" s="1332"/>
      <c r="ERQ185" s="1332"/>
      <c r="ERR185" s="1332"/>
      <c r="ERS185" s="1332"/>
      <c r="ERT185" s="1332"/>
      <c r="ERU185" s="1332"/>
      <c r="ERV185" s="1332"/>
      <c r="ERW185" s="1332"/>
      <c r="ERX185" s="1332"/>
      <c r="ERY185" s="1332"/>
      <c r="ERZ185" s="1332"/>
      <c r="ESA185" s="1332"/>
      <c r="ESB185" s="1332"/>
      <c r="ESC185" s="1332"/>
      <c r="ESD185" s="1332"/>
      <c r="ESE185" s="1332"/>
      <c r="ESF185" s="1332"/>
      <c r="ESG185" s="1332"/>
      <c r="ESH185" s="1332"/>
      <c r="ESI185" s="1332"/>
      <c r="ESJ185" s="1332"/>
      <c r="ESK185" s="1332"/>
      <c r="ESL185" s="1332"/>
      <c r="ESM185" s="1332"/>
      <c r="ESN185" s="1332"/>
      <c r="ESO185" s="1332"/>
      <c r="ESP185" s="1332"/>
      <c r="ESQ185" s="1332"/>
      <c r="ESR185" s="1332"/>
      <c r="ESS185" s="1332"/>
      <c r="EST185" s="1332"/>
      <c r="ESU185" s="1332"/>
      <c r="ESV185" s="1332"/>
      <c r="ESW185" s="1332"/>
      <c r="ESX185" s="1332"/>
      <c r="ESY185" s="1332"/>
      <c r="ESZ185" s="1332"/>
      <c r="ETA185" s="1332"/>
      <c r="ETB185" s="1332"/>
      <c r="ETC185" s="1332"/>
      <c r="ETD185" s="1332"/>
      <c r="ETE185" s="1332"/>
      <c r="ETF185" s="1332"/>
      <c r="ETG185" s="1332"/>
      <c r="ETH185" s="1332"/>
      <c r="ETI185" s="1332"/>
      <c r="ETJ185" s="1332"/>
      <c r="ETK185" s="1332"/>
      <c r="ETL185" s="1332"/>
      <c r="ETM185" s="1332"/>
      <c r="ETN185" s="1332"/>
      <c r="ETO185" s="1332"/>
      <c r="ETP185" s="1332"/>
      <c r="ETQ185" s="1332"/>
      <c r="ETR185" s="1332"/>
      <c r="ETS185" s="1332"/>
      <c r="ETT185" s="1332"/>
      <c r="ETU185" s="1332"/>
      <c r="ETV185" s="1332"/>
      <c r="ETW185" s="1332"/>
      <c r="ETX185" s="1332"/>
      <c r="ETY185" s="1332"/>
      <c r="ETZ185" s="1332"/>
      <c r="EUA185" s="1332"/>
      <c r="EUB185" s="1332"/>
      <c r="EUC185" s="1332"/>
      <c r="EUD185" s="1332"/>
      <c r="EUE185" s="1332"/>
      <c r="EUF185" s="1332"/>
      <c r="EUG185" s="1332"/>
      <c r="EUH185" s="1332"/>
      <c r="EUI185" s="1332"/>
      <c r="EUJ185" s="1332"/>
      <c r="EUK185" s="1332"/>
      <c r="EUL185" s="1332"/>
      <c r="EUM185" s="1332"/>
      <c r="EUN185" s="1332"/>
      <c r="EUO185" s="1332"/>
      <c r="EUP185" s="1332"/>
      <c r="EUQ185" s="1332"/>
      <c r="EUR185" s="1332"/>
      <c r="EUS185" s="1332"/>
      <c r="EUT185" s="1332"/>
      <c r="EUU185" s="1332"/>
      <c r="EUV185" s="1332"/>
      <c r="EUW185" s="1332"/>
      <c r="EUX185" s="1332"/>
      <c r="EUY185" s="1332"/>
      <c r="EUZ185" s="1332"/>
      <c r="EVA185" s="1332"/>
      <c r="EVB185" s="1332"/>
      <c r="EVC185" s="1332"/>
      <c r="EVD185" s="1332"/>
      <c r="EVE185" s="1332"/>
      <c r="EVF185" s="1332"/>
      <c r="EVG185" s="1332"/>
      <c r="EVH185" s="1332"/>
      <c r="EVI185" s="1332"/>
      <c r="EVJ185" s="1332"/>
      <c r="EVK185" s="1332"/>
      <c r="EVL185" s="1332"/>
      <c r="EVM185" s="1332"/>
      <c r="EVN185" s="1332"/>
      <c r="EVO185" s="1332"/>
      <c r="EVP185" s="1332"/>
      <c r="EVQ185" s="1332"/>
      <c r="EVR185" s="1332"/>
      <c r="EVS185" s="1332"/>
      <c r="EVT185" s="1332"/>
      <c r="EVU185" s="1332"/>
      <c r="EVV185" s="1332"/>
      <c r="EVW185" s="1332"/>
      <c r="EVX185" s="1332"/>
      <c r="EVY185" s="1332"/>
      <c r="EVZ185" s="1332"/>
      <c r="EWA185" s="1332"/>
      <c r="EWB185" s="1332"/>
      <c r="EWC185" s="1332"/>
      <c r="EWD185" s="1332"/>
      <c r="EWE185" s="1332"/>
      <c r="EWF185" s="1332"/>
      <c r="EWG185" s="1332"/>
      <c r="EWH185" s="1332"/>
      <c r="EWI185" s="1332"/>
      <c r="EWJ185" s="1332"/>
      <c r="EWK185" s="1332"/>
      <c r="EWL185" s="1332"/>
      <c r="EWM185" s="1332"/>
      <c r="EWN185" s="1332"/>
      <c r="EWO185" s="1332"/>
      <c r="EWP185" s="1332"/>
      <c r="EWQ185" s="1332"/>
      <c r="EWR185" s="1332"/>
      <c r="EWS185" s="1332"/>
      <c r="EWT185" s="1332"/>
      <c r="EWU185" s="1332"/>
      <c r="EWV185" s="1332"/>
      <c r="EWW185" s="1332"/>
      <c r="EWX185" s="1332"/>
      <c r="EWY185" s="1332"/>
      <c r="EWZ185" s="1332"/>
      <c r="EXA185" s="1332"/>
      <c r="EXB185" s="1332"/>
      <c r="EXC185" s="1332"/>
      <c r="EXD185" s="1332"/>
      <c r="EXE185" s="1332"/>
      <c r="EXF185" s="1332"/>
      <c r="EXG185" s="1332"/>
      <c r="EXH185" s="1332"/>
      <c r="EXI185" s="1332"/>
      <c r="EXJ185" s="1332"/>
      <c r="EXK185" s="1332"/>
      <c r="EXL185" s="1332"/>
      <c r="EXM185" s="1332"/>
      <c r="EXN185" s="1332"/>
      <c r="EXO185" s="1332"/>
      <c r="EXP185" s="1332"/>
      <c r="EXQ185" s="1332"/>
      <c r="EXR185" s="1332"/>
      <c r="EXS185" s="1332"/>
      <c r="EXT185" s="1332"/>
      <c r="EXU185" s="1332"/>
      <c r="EXV185" s="1332"/>
      <c r="EXW185" s="1332"/>
      <c r="EXX185" s="1332"/>
      <c r="EXY185" s="1332"/>
      <c r="EXZ185" s="1332"/>
      <c r="EYA185" s="1332"/>
      <c r="EYB185" s="1332"/>
      <c r="EYC185" s="1332"/>
      <c r="EYD185" s="1332"/>
      <c r="EYE185" s="1332"/>
      <c r="EYF185" s="1332"/>
      <c r="EYG185" s="1332"/>
      <c r="EYH185" s="1332"/>
      <c r="EYI185" s="1332"/>
      <c r="EYJ185" s="1332"/>
      <c r="EYK185" s="1332"/>
      <c r="EYL185" s="1332"/>
      <c r="EYM185" s="1332"/>
      <c r="EYN185" s="1332"/>
      <c r="EYO185" s="1332"/>
      <c r="EYP185" s="1332"/>
      <c r="EYQ185" s="1332"/>
      <c r="EYR185" s="1332"/>
      <c r="EYS185" s="1332"/>
      <c r="EYT185" s="1332"/>
      <c r="EYU185" s="1332"/>
      <c r="EYV185" s="1332"/>
      <c r="EYW185" s="1332"/>
      <c r="EYX185" s="1332"/>
      <c r="EYY185" s="1332"/>
      <c r="EYZ185" s="1332"/>
      <c r="EZA185" s="1332"/>
      <c r="EZB185" s="1332"/>
      <c r="EZC185" s="1332"/>
      <c r="EZD185" s="1332"/>
      <c r="EZE185" s="1332"/>
      <c r="EZF185" s="1332"/>
      <c r="EZG185" s="1332"/>
      <c r="EZH185" s="1332"/>
      <c r="EZI185" s="1332"/>
      <c r="EZJ185" s="1332"/>
      <c r="EZK185" s="1332"/>
      <c r="EZL185" s="1332"/>
      <c r="EZM185" s="1332"/>
      <c r="EZN185" s="1332"/>
      <c r="EZO185" s="1332"/>
      <c r="EZP185" s="1332"/>
      <c r="EZQ185" s="1332"/>
      <c r="EZR185" s="1332"/>
      <c r="EZS185" s="1332"/>
      <c r="EZT185" s="1332"/>
      <c r="EZU185" s="1332"/>
      <c r="EZV185" s="1332"/>
      <c r="EZW185" s="1332"/>
      <c r="EZX185" s="1332"/>
      <c r="EZY185" s="1332"/>
      <c r="EZZ185" s="1332"/>
      <c r="FAA185" s="1332"/>
      <c r="FAB185" s="1332"/>
      <c r="FAC185" s="1332"/>
      <c r="FAD185" s="1332"/>
      <c r="FAE185" s="1332"/>
      <c r="FAF185" s="1332"/>
      <c r="FAG185" s="1332"/>
      <c r="FAH185" s="1332"/>
      <c r="FAI185" s="1332"/>
      <c r="FAJ185" s="1332"/>
      <c r="FAK185" s="1332"/>
      <c r="FAL185" s="1332"/>
      <c r="FAM185" s="1332"/>
      <c r="FAN185" s="1332"/>
      <c r="FAO185" s="1332"/>
      <c r="FAP185" s="1332"/>
      <c r="FAQ185" s="1332"/>
      <c r="FAR185" s="1332"/>
      <c r="FAS185" s="1332"/>
      <c r="FAT185" s="1332"/>
      <c r="FAU185" s="1332"/>
      <c r="FAV185" s="1332"/>
      <c r="FAW185" s="1332"/>
      <c r="FAX185" s="1332"/>
      <c r="FAY185" s="1332"/>
      <c r="FAZ185" s="1332"/>
      <c r="FBA185" s="1332"/>
      <c r="FBB185" s="1332"/>
      <c r="FBC185" s="1332"/>
      <c r="FBD185" s="1332"/>
      <c r="FBE185" s="1332"/>
      <c r="FBF185" s="1332"/>
      <c r="FBG185" s="1332"/>
      <c r="FBH185" s="1332"/>
      <c r="FBI185" s="1332"/>
      <c r="FBJ185" s="1332"/>
      <c r="FBK185" s="1332"/>
      <c r="FBL185" s="1332"/>
      <c r="FBM185" s="1332"/>
      <c r="FBN185" s="1332"/>
      <c r="FBO185" s="1332"/>
      <c r="FBP185" s="1332"/>
      <c r="FBQ185" s="1332"/>
      <c r="FBR185" s="1332"/>
      <c r="FBS185" s="1332"/>
      <c r="FBT185" s="1332"/>
      <c r="FBU185" s="1332"/>
      <c r="FBV185" s="1332"/>
      <c r="FBW185" s="1332"/>
      <c r="FBX185" s="1332"/>
      <c r="FBY185" s="1332"/>
      <c r="FBZ185" s="1332"/>
      <c r="FCA185" s="1332"/>
      <c r="FCB185" s="1332"/>
      <c r="FCC185" s="1332"/>
      <c r="FCD185" s="1332"/>
      <c r="FCE185" s="1332"/>
      <c r="FCF185" s="1332"/>
      <c r="FCG185" s="1332"/>
      <c r="FCH185" s="1332"/>
      <c r="FCI185" s="1332"/>
      <c r="FCJ185" s="1332"/>
      <c r="FCK185" s="1332"/>
      <c r="FCL185" s="1332"/>
      <c r="FCM185" s="1332"/>
      <c r="FCN185" s="1332"/>
      <c r="FCO185" s="1332"/>
      <c r="FCP185" s="1332"/>
      <c r="FCQ185" s="1332"/>
      <c r="FCR185" s="1332"/>
      <c r="FCS185" s="1332"/>
      <c r="FCT185" s="1332"/>
      <c r="FCU185" s="1332"/>
      <c r="FCV185" s="1332"/>
      <c r="FCW185" s="1332"/>
      <c r="FCX185" s="1332"/>
      <c r="FCY185" s="1332"/>
      <c r="FCZ185" s="1332"/>
      <c r="FDA185" s="1332"/>
      <c r="FDB185" s="1332"/>
      <c r="FDC185" s="1332"/>
      <c r="FDD185" s="1332"/>
      <c r="FDE185" s="1332"/>
      <c r="FDF185" s="1332"/>
      <c r="FDG185" s="1332"/>
      <c r="FDH185" s="1332"/>
      <c r="FDI185" s="1332"/>
      <c r="FDJ185" s="1332"/>
      <c r="FDK185" s="1332"/>
      <c r="FDL185" s="1332"/>
      <c r="FDM185" s="1332"/>
      <c r="FDN185" s="1332"/>
      <c r="FDO185" s="1332"/>
      <c r="FDP185" s="1332"/>
      <c r="FDQ185" s="1332"/>
      <c r="FDR185" s="1332"/>
      <c r="FDS185" s="1332"/>
      <c r="FDT185" s="1332"/>
      <c r="FDU185" s="1332"/>
      <c r="FDV185" s="1332"/>
      <c r="FDW185" s="1332"/>
      <c r="FDX185" s="1332"/>
      <c r="FDY185" s="1332"/>
      <c r="FDZ185" s="1332"/>
      <c r="FEA185" s="1332"/>
      <c r="FEB185" s="1332"/>
      <c r="FEC185" s="1332"/>
      <c r="FED185" s="1332"/>
      <c r="FEE185" s="1332"/>
      <c r="FEF185" s="1332"/>
      <c r="FEG185" s="1332"/>
      <c r="FEH185" s="1332"/>
      <c r="FEI185" s="1332"/>
      <c r="FEJ185" s="1332"/>
      <c r="FEK185" s="1332"/>
      <c r="FEL185" s="1332"/>
      <c r="FEM185" s="1332"/>
      <c r="FEN185" s="1332"/>
      <c r="FEO185" s="1332"/>
      <c r="FEP185" s="1332"/>
      <c r="FEQ185" s="1332"/>
      <c r="FER185" s="1332"/>
      <c r="FES185" s="1332"/>
      <c r="FET185" s="1332"/>
      <c r="FEU185" s="1332"/>
      <c r="FEV185" s="1332"/>
      <c r="FEW185" s="1332"/>
      <c r="FEX185" s="1332"/>
      <c r="FEY185" s="1332"/>
      <c r="FEZ185" s="1332"/>
      <c r="FFA185" s="1332"/>
      <c r="FFB185" s="1332"/>
      <c r="FFC185" s="1332"/>
      <c r="FFD185" s="1332"/>
      <c r="FFE185" s="1332"/>
      <c r="FFF185" s="1332"/>
      <c r="FFG185" s="1332"/>
      <c r="FFH185" s="1332"/>
      <c r="FFI185" s="1332"/>
      <c r="FFJ185" s="1332"/>
      <c r="FFK185" s="1332"/>
      <c r="FFL185" s="1332"/>
      <c r="FFM185" s="1332"/>
      <c r="FFN185" s="1332"/>
      <c r="FFO185" s="1332"/>
      <c r="FFP185" s="1332"/>
      <c r="FFQ185" s="1332"/>
      <c r="FFR185" s="1332"/>
      <c r="FFS185" s="1332"/>
      <c r="FFT185" s="1332"/>
      <c r="FFU185" s="1332"/>
      <c r="FFV185" s="1332"/>
      <c r="FFW185" s="1332"/>
      <c r="FFX185" s="1332"/>
      <c r="FFY185" s="1332"/>
      <c r="FFZ185" s="1332"/>
      <c r="FGA185" s="1332"/>
      <c r="FGB185" s="1332"/>
      <c r="FGC185" s="1332"/>
      <c r="FGD185" s="1332"/>
      <c r="FGE185" s="1332"/>
      <c r="FGF185" s="1332"/>
      <c r="FGG185" s="1332"/>
      <c r="FGH185" s="1332"/>
      <c r="FGI185" s="1332"/>
      <c r="FGJ185" s="1332"/>
      <c r="FGK185" s="1332"/>
      <c r="FGL185" s="1332"/>
      <c r="FGM185" s="1332"/>
      <c r="FGN185" s="1332"/>
      <c r="FGO185" s="1332"/>
      <c r="FGP185" s="1332"/>
      <c r="FGQ185" s="1332"/>
      <c r="FGR185" s="1332"/>
      <c r="FGS185" s="1332"/>
      <c r="FGT185" s="1332"/>
      <c r="FGU185" s="1332"/>
      <c r="FGV185" s="1332"/>
      <c r="FGW185" s="1332"/>
      <c r="FGX185" s="1332"/>
      <c r="FGY185" s="1332"/>
      <c r="FGZ185" s="1332"/>
      <c r="FHA185" s="1332"/>
      <c r="FHB185" s="1332"/>
      <c r="FHC185" s="1332"/>
      <c r="FHD185" s="1332"/>
      <c r="FHE185" s="1332"/>
      <c r="FHF185" s="1332"/>
      <c r="FHG185" s="1332"/>
      <c r="FHH185" s="1332"/>
      <c r="FHI185" s="1332"/>
      <c r="FHJ185" s="1332"/>
      <c r="FHK185" s="1332"/>
      <c r="FHL185" s="1332"/>
      <c r="FHM185" s="1332"/>
      <c r="FHN185" s="1332"/>
      <c r="FHO185" s="1332"/>
      <c r="FHP185" s="1332"/>
      <c r="FHQ185" s="1332"/>
      <c r="FHR185" s="1332"/>
      <c r="FHS185" s="1332"/>
      <c r="FHT185" s="1332"/>
      <c r="FHU185" s="1332"/>
      <c r="FHV185" s="1332"/>
      <c r="FHW185" s="1332"/>
      <c r="FHX185" s="1332"/>
      <c r="FHY185" s="1332"/>
      <c r="FHZ185" s="1332"/>
      <c r="FIA185" s="1332"/>
      <c r="FIB185" s="1332"/>
      <c r="FIC185" s="1332"/>
      <c r="FID185" s="1332"/>
      <c r="FIE185" s="1332"/>
      <c r="FIF185" s="1332"/>
      <c r="FIG185" s="1332"/>
      <c r="FIH185" s="1332"/>
      <c r="FII185" s="1332"/>
      <c r="FIJ185" s="1332"/>
      <c r="FIK185" s="1332"/>
      <c r="FIL185" s="1332"/>
      <c r="FIM185" s="1332"/>
      <c r="FIN185" s="1332"/>
      <c r="FIO185" s="1332"/>
      <c r="FIP185" s="1332"/>
      <c r="FIQ185" s="1332"/>
      <c r="FIR185" s="1332"/>
      <c r="FIS185" s="1332"/>
      <c r="FIT185" s="1332"/>
      <c r="FIU185" s="1332"/>
      <c r="FIV185" s="1332"/>
      <c r="FIW185" s="1332"/>
      <c r="FIX185" s="1332"/>
      <c r="FIY185" s="1332"/>
      <c r="FIZ185" s="1332"/>
      <c r="FJA185" s="1332"/>
      <c r="FJB185" s="1332"/>
      <c r="FJC185" s="1332"/>
      <c r="FJD185" s="1332"/>
      <c r="FJE185" s="1332"/>
      <c r="FJF185" s="1332"/>
      <c r="FJG185" s="1332"/>
      <c r="FJH185" s="1332"/>
      <c r="FJI185" s="1332"/>
      <c r="FJJ185" s="1332"/>
      <c r="FJK185" s="1332"/>
      <c r="FJL185" s="1332"/>
      <c r="FJM185" s="1332"/>
      <c r="FJN185" s="1332"/>
      <c r="FJO185" s="1332"/>
      <c r="FJP185" s="1332"/>
      <c r="FJQ185" s="1332"/>
      <c r="FJR185" s="1332"/>
      <c r="FJS185" s="1332"/>
      <c r="FJT185" s="1332"/>
      <c r="FJU185" s="1332"/>
      <c r="FJV185" s="1332"/>
      <c r="FJW185" s="1332"/>
      <c r="FJX185" s="1332"/>
      <c r="FJY185" s="1332"/>
      <c r="FJZ185" s="1332"/>
      <c r="FKA185" s="1332"/>
      <c r="FKB185" s="1332"/>
      <c r="FKC185" s="1332"/>
      <c r="FKD185" s="1332"/>
      <c r="FKE185" s="1332"/>
      <c r="FKF185" s="1332"/>
      <c r="FKG185" s="1332"/>
      <c r="FKH185" s="1332"/>
      <c r="FKI185" s="1332"/>
      <c r="FKJ185" s="1332"/>
      <c r="FKK185" s="1332"/>
      <c r="FKL185" s="1332"/>
      <c r="FKM185" s="1332"/>
      <c r="FKN185" s="1332"/>
      <c r="FKO185" s="1332"/>
      <c r="FKP185" s="1332"/>
      <c r="FKQ185" s="1332"/>
      <c r="FKR185" s="1332"/>
      <c r="FKS185" s="1332"/>
      <c r="FKT185" s="1332"/>
      <c r="FKU185" s="1332"/>
      <c r="FKV185" s="1332"/>
      <c r="FKW185" s="1332"/>
      <c r="FKX185" s="1332"/>
      <c r="FKY185" s="1332"/>
      <c r="FKZ185" s="1332"/>
      <c r="FLA185" s="1332"/>
      <c r="FLB185" s="1332"/>
      <c r="FLC185" s="1332"/>
      <c r="FLD185" s="1332"/>
      <c r="FLE185" s="1332"/>
      <c r="FLF185" s="1332"/>
      <c r="FLG185" s="1332"/>
      <c r="FLH185" s="1332"/>
      <c r="FLI185" s="1332"/>
      <c r="FLJ185" s="1332"/>
      <c r="FLK185" s="1332"/>
      <c r="FLL185" s="1332"/>
      <c r="FLM185" s="1332"/>
      <c r="FLN185" s="1332"/>
      <c r="FLO185" s="1332"/>
      <c r="FLP185" s="1332"/>
      <c r="FLQ185" s="1332"/>
      <c r="FLR185" s="1332"/>
      <c r="FLS185" s="1332"/>
      <c r="FLT185" s="1332"/>
      <c r="FLU185" s="1332"/>
      <c r="FLV185" s="1332"/>
      <c r="FLW185" s="1332"/>
      <c r="FLX185" s="1332"/>
      <c r="FLY185" s="1332"/>
      <c r="FLZ185" s="1332"/>
      <c r="FMA185" s="1332"/>
      <c r="FMB185" s="1332"/>
      <c r="FMC185" s="1332"/>
      <c r="FMD185" s="1332"/>
      <c r="FME185" s="1332"/>
      <c r="FMF185" s="1332"/>
      <c r="FMG185" s="1332"/>
      <c r="FMH185" s="1332"/>
      <c r="FMI185" s="1332"/>
      <c r="FMJ185" s="1332"/>
      <c r="FMK185" s="1332"/>
      <c r="FML185" s="1332"/>
      <c r="FMM185" s="1332"/>
      <c r="FMN185" s="1332"/>
      <c r="FMO185" s="1332"/>
      <c r="FMP185" s="1332"/>
      <c r="FMQ185" s="1332"/>
      <c r="FMR185" s="1332"/>
      <c r="FMS185" s="1332"/>
      <c r="FMT185" s="1332"/>
      <c r="FMU185" s="1332"/>
      <c r="FMV185" s="1332"/>
      <c r="FMW185" s="1332"/>
      <c r="FMX185" s="1332"/>
      <c r="FMY185" s="1332"/>
      <c r="FMZ185" s="1332"/>
      <c r="FNA185" s="1332"/>
      <c r="FNB185" s="1332"/>
      <c r="FNC185" s="1332"/>
      <c r="FND185" s="1332"/>
      <c r="FNE185" s="1332"/>
      <c r="FNF185" s="1332"/>
      <c r="FNG185" s="1332"/>
      <c r="FNH185" s="1332"/>
      <c r="FNI185" s="1332"/>
      <c r="FNJ185" s="1332"/>
      <c r="FNK185" s="1332"/>
      <c r="FNL185" s="1332"/>
      <c r="FNM185" s="1332"/>
      <c r="FNN185" s="1332"/>
      <c r="FNO185" s="1332"/>
      <c r="FNP185" s="1332"/>
      <c r="FNQ185" s="1332"/>
      <c r="FNR185" s="1332"/>
      <c r="FNS185" s="1332"/>
      <c r="FNT185" s="1332"/>
      <c r="FNU185" s="1332"/>
      <c r="FNV185" s="1332"/>
      <c r="FNW185" s="1332"/>
      <c r="FNX185" s="1332"/>
      <c r="FNY185" s="1332"/>
      <c r="FNZ185" s="1332"/>
      <c r="FOA185" s="1332"/>
      <c r="FOB185" s="1332"/>
      <c r="FOC185" s="1332"/>
      <c r="FOD185" s="1332"/>
      <c r="FOE185" s="1332"/>
      <c r="FOF185" s="1332"/>
      <c r="FOG185" s="1332"/>
      <c r="FOH185" s="1332"/>
      <c r="FOI185" s="1332"/>
      <c r="FOJ185" s="1332"/>
      <c r="FOK185" s="1332"/>
      <c r="FOL185" s="1332"/>
      <c r="FOM185" s="1332"/>
      <c r="FON185" s="1332"/>
      <c r="FOO185" s="1332"/>
      <c r="FOP185" s="1332"/>
      <c r="FOQ185" s="1332"/>
      <c r="FOR185" s="1332"/>
      <c r="FOS185" s="1332"/>
      <c r="FOT185" s="1332"/>
      <c r="FOU185" s="1332"/>
      <c r="FOV185" s="1332"/>
      <c r="FOW185" s="1332"/>
      <c r="FOX185" s="1332"/>
      <c r="FOY185" s="1332"/>
      <c r="FOZ185" s="1332"/>
      <c r="FPA185" s="1332"/>
      <c r="FPB185" s="1332"/>
      <c r="FPC185" s="1332"/>
      <c r="FPD185" s="1332"/>
      <c r="FPE185" s="1332"/>
      <c r="FPF185" s="1332"/>
      <c r="FPG185" s="1332"/>
      <c r="FPH185" s="1332"/>
      <c r="FPI185" s="1332"/>
      <c r="FPJ185" s="1332"/>
      <c r="FPK185" s="1332"/>
      <c r="FPL185" s="1332"/>
      <c r="FPM185" s="1332"/>
      <c r="FPN185" s="1332"/>
      <c r="FPO185" s="1332"/>
      <c r="FPP185" s="1332"/>
      <c r="FPQ185" s="1332"/>
      <c r="FPR185" s="1332"/>
      <c r="FPS185" s="1332"/>
      <c r="FPT185" s="1332"/>
      <c r="FPU185" s="1332"/>
      <c r="FPV185" s="1332"/>
      <c r="FPW185" s="1332"/>
      <c r="FPX185" s="1332"/>
      <c r="FPY185" s="1332"/>
      <c r="FPZ185" s="1332"/>
      <c r="FQA185" s="1332"/>
      <c r="FQB185" s="1332"/>
      <c r="FQC185" s="1332"/>
      <c r="FQD185" s="1332"/>
      <c r="FQE185" s="1332"/>
      <c r="FQF185" s="1332"/>
      <c r="FQG185" s="1332"/>
      <c r="FQH185" s="1332"/>
      <c r="FQI185" s="1332"/>
      <c r="FQJ185" s="1332"/>
      <c r="FQK185" s="1332"/>
      <c r="FQL185" s="1332"/>
      <c r="FQM185" s="1332"/>
      <c r="FQN185" s="1332"/>
      <c r="FQO185" s="1332"/>
      <c r="FQP185" s="1332"/>
      <c r="FQQ185" s="1332"/>
      <c r="FQR185" s="1332"/>
      <c r="FQS185" s="1332"/>
      <c r="FQT185" s="1332"/>
      <c r="FQU185" s="1332"/>
      <c r="FQV185" s="1332"/>
      <c r="FQW185" s="1332"/>
      <c r="FQX185" s="1332"/>
      <c r="FQY185" s="1332"/>
      <c r="FQZ185" s="1332"/>
      <c r="FRA185" s="1332"/>
      <c r="FRB185" s="1332"/>
      <c r="FRC185" s="1332"/>
      <c r="FRD185" s="1332"/>
      <c r="FRE185" s="1332"/>
      <c r="FRF185" s="1332"/>
      <c r="FRG185" s="1332"/>
      <c r="FRH185" s="1332"/>
      <c r="FRI185" s="1332"/>
      <c r="FRJ185" s="1332"/>
      <c r="FRK185" s="1332"/>
      <c r="FRL185" s="1332"/>
      <c r="FRM185" s="1332"/>
      <c r="FRN185" s="1332"/>
      <c r="FRO185" s="1332"/>
      <c r="FRP185" s="1332"/>
      <c r="FRQ185" s="1332"/>
      <c r="FRR185" s="1332"/>
      <c r="FRS185" s="1332"/>
      <c r="FRT185" s="1332"/>
      <c r="FRU185" s="1332"/>
      <c r="FRV185" s="1332"/>
      <c r="FRW185" s="1332"/>
      <c r="FRX185" s="1332"/>
      <c r="FRY185" s="1332"/>
      <c r="FRZ185" s="1332"/>
      <c r="FSA185" s="1332"/>
      <c r="FSB185" s="1332"/>
      <c r="FSC185" s="1332"/>
      <c r="FSD185" s="1332"/>
      <c r="FSE185" s="1332"/>
      <c r="FSF185" s="1332"/>
      <c r="FSG185" s="1332"/>
      <c r="FSH185" s="1332"/>
      <c r="FSI185" s="1332"/>
      <c r="FSJ185" s="1332"/>
      <c r="FSK185" s="1332"/>
      <c r="FSL185" s="1332"/>
      <c r="FSM185" s="1332"/>
      <c r="FSN185" s="1332"/>
      <c r="FSO185" s="1332"/>
      <c r="FSP185" s="1332"/>
      <c r="FSQ185" s="1332"/>
      <c r="FSR185" s="1332"/>
      <c r="FSS185" s="1332"/>
      <c r="FST185" s="1332"/>
      <c r="FSU185" s="1332"/>
      <c r="FSV185" s="1332"/>
      <c r="FSW185" s="1332"/>
      <c r="FSX185" s="1332"/>
      <c r="FSY185" s="1332"/>
      <c r="FSZ185" s="1332"/>
      <c r="FTA185" s="1332"/>
      <c r="FTB185" s="1332"/>
      <c r="FTC185" s="1332"/>
      <c r="FTD185" s="1332"/>
      <c r="FTE185" s="1332"/>
      <c r="FTF185" s="1332"/>
      <c r="FTG185" s="1332"/>
      <c r="FTH185" s="1332"/>
      <c r="FTI185" s="1332"/>
      <c r="FTJ185" s="1332"/>
      <c r="FTK185" s="1332"/>
      <c r="FTL185" s="1332"/>
      <c r="FTM185" s="1332"/>
      <c r="FTN185" s="1332"/>
      <c r="FTO185" s="1332"/>
      <c r="FTP185" s="1332"/>
      <c r="FTQ185" s="1332"/>
      <c r="FTR185" s="1332"/>
      <c r="FTS185" s="1332"/>
      <c r="FTT185" s="1332"/>
      <c r="FTU185" s="1332"/>
      <c r="FTV185" s="1332"/>
      <c r="FTW185" s="1332"/>
      <c r="FTX185" s="1332"/>
      <c r="FTY185" s="1332"/>
      <c r="FTZ185" s="1332"/>
      <c r="FUA185" s="1332"/>
      <c r="FUB185" s="1332"/>
      <c r="FUC185" s="1332"/>
      <c r="FUD185" s="1332"/>
      <c r="FUE185" s="1332"/>
      <c r="FUF185" s="1332"/>
      <c r="FUG185" s="1332"/>
      <c r="FUH185" s="1332"/>
      <c r="FUI185" s="1332"/>
      <c r="FUJ185" s="1332"/>
      <c r="FUK185" s="1332"/>
      <c r="FUL185" s="1332"/>
      <c r="FUM185" s="1332"/>
      <c r="FUN185" s="1332"/>
      <c r="FUO185" s="1332"/>
      <c r="FUP185" s="1332"/>
      <c r="FUQ185" s="1332"/>
      <c r="FUR185" s="1332"/>
      <c r="FUS185" s="1332"/>
      <c r="FUT185" s="1332"/>
      <c r="FUU185" s="1332"/>
      <c r="FUV185" s="1332"/>
      <c r="FUW185" s="1332"/>
      <c r="FUX185" s="1332"/>
      <c r="FUY185" s="1332"/>
      <c r="FUZ185" s="1332"/>
      <c r="FVA185" s="1332"/>
      <c r="FVB185" s="1332"/>
      <c r="FVC185" s="1332"/>
      <c r="FVD185" s="1332"/>
      <c r="FVE185" s="1332"/>
      <c r="FVF185" s="1332"/>
      <c r="FVG185" s="1332"/>
      <c r="FVH185" s="1332"/>
      <c r="FVI185" s="1332"/>
      <c r="FVJ185" s="1332"/>
      <c r="FVK185" s="1332"/>
      <c r="FVL185" s="1332"/>
      <c r="FVM185" s="1332"/>
      <c r="FVN185" s="1332"/>
      <c r="FVO185" s="1332"/>
      <c r="FVP185" s="1332"/>
      <c r="FVQ185" s="1332"/>
      <c r="FVR185" s="1332"/>
      <c r="FVS185" s="1332"/>
      <c r="FVT185" s="1332"/>
      <c r="FVU185" s="1332"/>
      <c r="FVV185" s="1332"/>
      <c r="FVW185" s="1332"/>
      <c r="FVX185" s="1332"/>
      <c r="FVY185" s="1332"/>
      <c r="FVZ185" s="1332"/>
      <c r="FWA185" s="1332"/>
      <c r="FWB185" s="1332"/>
      <c r="FWC185" s="1332"/>
      <c r="FWD185" s="1332"/>
      <c r="FWE185" s="1332"/>
      <c r="FWF185" s="1332"/>
      <c r="FWG185" s="1332"/>
      <c r="FWH185" s="1332"/>
      <c r="FWI185" s="1332"/>
      <c r="FWJ185" s="1332"/>
      <c r="FWK185" s="1332"/>
      <c r="FWL185" s="1332"/>
      <c r="FWM185" s="1332"/>
      <c r="FWN185" s="1332"/>
      <c r="FWO185" s="1332"/>
      <c r="FWP185" s="1332"/>
      <c r="FWQ185" s="1332"/>
      <c r="FWR185" s="1332"/>
      <c r="FWS185" s="1332"/>
      <c r="FWT185" s="1332"/>
      <c r="FWU185" s="1332"/>
      <c r="FWV185" s="1332"/>
      <c r="FWW185" s="1332"/>
      <c r="FWX185" s="1332"/>
      <c r="FWY185" s="1332"/>
      <c r="FWZ185" s="1332"/>
      <c r="FXA185" s="1332"/>
      <c r="FXB185" s="1332"/>
      <c r="FXC185" s="1332"/>
      <c r="FXD185" s="1332"/>
      <c r="FXE185" s="1332"/>
      <c r="FXF185" s="1332"/>
      <c r="FXG185" s="1332"/>
      <c r="FXH185" s="1332"/>
      <c r="FXI185" s="1332"/>
      <c r="FXJ185" s="1332"/>
      <c r="FXK185" s="1332"/>
      <c r="FXL185" s="1332"/>
      <c r="FXM185" s="1332"/>
      <c r="FXN185" s="1332"/>
      <c r="FXO185" s="1332"/>
      <c r="FXP185" s="1332"/>
      <c r="FXQ185" s="1332"/>
      <c r="FXR185" s="1332"/>
      <c r="FXS185" s="1332"/>
      <c r="FXT185" s="1332"/>
      <c r="FXU185" s="1332"/>
      <c r="FXV185" s="1332"/>
      <c r="FXW185" s="1332"/>
      <c r="FXX185" s="1332"/>
      <c r="FXY185" s="1332"/>
      <c r="FXZ185" s="1332"/>
      <c r="FYA185" s="1332"/>
      <c r="FYB185" s="1332"/>
      <c r="FYC185" s="1332"/>
      <c r="FYD185" s="1332"/>
      <c r="FYE185" s="1332"/>
      <c r="FYF185" s="1332"/>
      <c r="FYG185" s="1332"/>
      <c r="FYH185" s="1332"/>
      <c r="FYI185" s="1332"/>
      <c r="FYJ185" s="1332"/>
      <c r="FYK185" s="1332"/>
      <c r="FYL185" s="1332"/>
      <c r="FYM185" s="1332"/>
      <c r="FYN185" s="1332"/>
      <c r="FYO185" s="1332"/>
      <c r="FYP185" s="1332"/>
      <c r="FYQ185" s="1332"/>
      <c r="FYR185" s="1332"/>
      <c r="FYS185" s="1332"/>
      <c r="FYT185" s="1332"/>
      <c r="FYU185" s="1332"/>
      <c r="FYV185" s="1332"/>
      <c r="FYW185" s="1332"/>
      <c r="FYX185" s="1332"/>
      <c r="FYY185" s="1332"/>
      <c r="FYZ185" s="1332"/>
      <c r="FZA185" s="1332"/>
      <c r="FZB185" s="1332"/>
      <c r="FZC185" s="1332"/>
      <c r="FZD185" s="1332"/>
      <c r="FZE185" s="1332"/>
      <c r="FZF185" s="1332"/>
      <c r="FZG185" s="1332"/>
      <c r="FZH185" s="1332"/>
      <c r="FZI185" s="1332"/>
      <c r="FZJ185" s="1332"/>
      <c r="FZK185" s="1332"/>
      <c r="FZL185" s="1332"/>
      <c r="FZM185" s="1332"/>
      <c r="FZN185" s="1332"/>
      <c r="FZO185" s="1332"/>
      <c r="FZP185" s="1332"/>
      <c r="FZQ185" s="1332"/>
      <c r="FZR185" s="1332"/>
      <c r="FZS185" s="1332"/>
      <c r="FZT185" s="1332"/>
      <c r="FZU185" s="1332"/>
      <c r="FZV185" s="1332"/>
      <c r="FZW185" s="1332"/>
      <c r="FZX185" s="1332"/>
      <c r="FZY185" s="1332"/>
      <c r="FZZ185" s="1332"/>
      <c r="GAA185" s="1332"/>
      <c r="GAB185" s="1332"/>
      <c r="GAC185" s="1332"/>
      <c r="GAD185" s="1332"/>
      <c r="GAE185" s="1332"/>
      <c r="GAF185" s="1332"/>
      <c r="GAG185" s="1332"/>
      <c r="GAH185" s="1332"/>
      <c r="GAI185" s="1332"/>
      <c r="GAJ185" s="1332"/>
      <c r="GAK185" s="1332"/>
      <c r="GAL185" s="1332"/>
      <c r="GAM185" s="1332"/>
      <c r="GAN185" s="1332"/>
      <c r="GAO185" s="1332"/>
      <c r="GAP185" s="1332"/>
      <c r="GAQ185" s="1332"/>
      <c r="GAR185" s="1332"/>
      <c r="GAS185" s="1332"/>
      <c r="GAT185" s="1332"/>
      <c r="GAU185" s="1332"/>
      <c r="GAV185" s="1332"/>
      <c r="GAW185" s="1332"/>
      <c r="GAX185" s="1332"/>
      <c r="GAY185" s="1332"/>
      <c r="GAZ185" s="1332"/>
      <c r="GBA185" s="1332"/>
      <c r="GBB185" s="1332"/>
      <c r="GBC185" s="1332"/>
      <c r="GBD185" s="1332"/>
      <c r="GBE185" s="1332"/>
      <c r="GBF185" s="1332"/>
      <c r="GBG185" s="1332"/>
      <c r="GBH185" s="1332"/>
      <c r="GBI185" s="1332"/>
      <c r="GBJ185" s="1332"/>
      <c r="GBK185" s="1332"/>
      <c r="GBL185" s="1332"/>
      <c r="GBM185" s="1332"/>
      <c r="GBN185" s="1332"/>
      <c r="GBO185" s="1332"/>
      <c r="GBP185" s="1332"/>
      <c r="GBQ185" s="1332"/>
      <c r="GBR185" s="1332"/>
      <c r="GBS185" s="1332"/>
      <c r="GBT185" s="1332"/>
      <c r="GBU185" s="1332"/>
      <c r="GBV185" s="1332"/>
      <c r="GBW185" s="1332"/>
      <c r="GBX185" s="1332"/>
      <c r="GBY185" s="1332"/>
      <c r="GBZ185" s="1332"/>
      <c r="GCA185" s="1332"/>
      <c r="GCB185" s="1332"/>
      <c r="GCC185" s="1332"/>
      <c r="GCD185" s="1332"/>
      <c r="GCE185" s="1332"/>
      <c r="GCF185" s="1332"/>
      <c r="GCG185" s="1332"/>
      <c r="GCH185" s="1332"/>
      <c r="GCI185" s="1332"/>
      <c r="GCJ185" s="1332"/>
      <c r="GCK185" s="1332"/>
      <c r="GCL185" s="1332"/>
      <c r="GCM185" s="1332"/>
      <c r="GCN185" s="1332"/>
      <c r="GCO185" s="1332"/>
      <c r="GCP185" s="1332"/>
      <c r="GCQ185" s="1332"/>
      <c r="GCR185" s="1332"/>
      <c r="GCS185" s="1332"/>
      <c r="GCT185" s="1332"/>
      <c r="GCU185" s="1332"/>
      <c r="GCV185" s="1332"/>
      <c r="GCW185" s="1332"/>
      <c r="GCX185" s="1332"/>
      <c r="GCY185" s="1332"/>
      <c r="GCZ185" s="1332"/>
      <c r="GDA185" s="1332"/>
      <c r="GDB185" s="1332"/>
      <c r="GDC185" s="1332"/>
      <c r="GDD185" s="1332"/>
      <c r="GDE185" s="1332"/>
      <c r="GDF185" s="1332"/>
      <c r="GDG185" s="1332"/>
      <c r="GDH185" s="1332"/>
      <c r="GDI185" s="1332"/>
      <c r="GDJ185" s="1332"/>
      <c r="GDK185" s="1332"/>
      <c r="GDL185" s="1332"/>
      <c r="GDM185" s="1332"/>
      <c r="GDN185" s="1332"/>
      <c r="GDO185" s="1332"/>
      <c r="GDP185" s="1332"/>
      <c r="GDQ185" s="1332"/>
      <c r="GDR185" s="1332"/>
      <c r="GDS185" s="1332"/>
      <c r="GDT185" s="1332"/>
      <c r="GDU185" s="1332"/>
      <c r="GDV185" s="1332"/>
      <c r="GDW185" s="1332"/>
      <c r="GDX185" s="1332"/>
      <c r="GDY185" s="1332"/>
      <c r="GDZ185" s="1332"/>
      <c r="GEA185" s="1332"/>
      <c r="GEB185" s="1332"/>
      <c r="GEC185" s="1332"/>
      <c r="GED185" s="1332"/>
      <c r="GEE185" s="1332"/>
      <c r="GEF185" s="1332"/>
      <c r="GEG185" s="1332"/>
      <c r="GEH185" s="1332"/>
      <c r="GEI185" s="1332"/>
      <c r="GEJ185" s="1332"/>
      <c r="GEK185" s="1332"/>
      <c r="GEL185" s="1332"/>
      <c r="GEM185" s="1332"/>
      <c r="GEN185" s="1332"/>
      <c r="GEO185" s="1332"/>
      <c r="GEP185" s="1332"/>
      <c r="GEQ185" s="1332"/>
      <c r="GER185" s="1332"/>
      <c r="GES185" s="1332"/>
      <c r="GET185" s="1332"/>
      <c r="GEU185" s="1332"/>
      <c r="GEV185" s="1332"/>
      <c r="GEW185" s="1332"/>
      <c r="GEX185" s="1332"/>
      <c r="GEY185" s="1332"/>
      <c r="GEZ185" s="1332"/>
      <c r="GFA185" s="1332"/>
      <c r="GFB185" s="1332"/>
      <c r="GFC185" s="1332"/>
      <c r="GFD185" s="1332"/>
      <c r="GFE185" s="1332"/>
      <c r="GFF185" s="1332"/>
      <c r="GFG185" s="1332"/>
      <c r="GFH185" s="1332"/>
      <c r="GFI185" s="1332"/>
      <c r="GFJ185" s="1332"/>
      <c r="GFK185" s="1332"/>
      <c r="GFL185" s="1332"/>
      <c r="GFM185" s="1332"/>
      <c r="GFN185" s="1332"/>
      <c r="GFO185" s="1332"/>
      <c r="GFP185" s="1332"/>
      <c r="GFQ185" s="1332"/>
      <c r="GFR185" s="1332"/>
      <c r="GFS185" s="1332"/>
      <c r="GFT185" s="1332"/>
      <c r="GFU185" s="1332"/>
      <c r="GFV185" s="1332"/>
      <c r="GFW185" s="1332"/>
      <c r="GFX185" s="1332"/>
      <c r="GFY185" s="1332"/>
      <c r="GFZ185" s="1332"/>
      <c r="GGA185" s="1332"/>
      <c r="GGB185" s="1332"/>
      <c r="GGC185" s="1332"/>
      <c r="GGD185" s="1332"/>
      <c r="GGE185" s="1332"/>
      <c r="GGF185" s="1332"/>
      <c r="GGG185" s="1332"/>
      <c r="GGH185" s="1332"/>
      <c r="GGI185" s="1332"/>
      <c r="GGJ185" s="1332"/>
      <c r="GGK185" s="1332"/>
      <c r="GGL185" s="1332"/>
      <c r="GGM185" s="1332"/>
      <c r="GGN185" s="1332"/>
      <c r="GGO185" s="1332"/>
      <c r="GGP185" s="1332"/>
      <c r="GGQ185" s="1332"/>
      <c r="GGR185" s="1332"/>
      <c r="GGS185" s="1332"/>
      <c r="GGT185" s="1332"/>
      <c r="GGU185" s="1332"/>
      <c r="GGV185" s="1332"/>
      <c r="GGW185" s="1332"/>
      <c r="GGX185" s="1332"/>
      <c r="GGY185" s="1332"/>
      <c r="GGZ185" s="1332"/>
      <c r="GHA185" s="1332"/>
      <c r="GHB185" s="1332"/>
      <c r="GHC185" s="1332"/>
      <c r="GHD185" s="1332"/>
      <c r="GHE185" s="1332"/>
      <c r="GHF185" s="1332"/>
      <c r="GHG185" s="1332"/>
      <c r="GHH185" s="1332"/>
      <c r="GHI185" s="1332"/>
      <c r="GHJ185" s="1332"/>
      <c r="GHK185" s="1332"/>
      <c r="GHL185" s="1332"/>
      <c r="GHM185" s="1332"/>
      <c r="GHN185" s="1332"/>
      <c r="GHO185" s="1332"/>
      <c r="GHP185" s="1332"/>
      <c r="GHQ185" s="1332"/>
      <c r="GHR185" s="1332"/>
      <c r="GHS185" s="1332"/>
      <c r="GHT185" s="1332"/>
      <c r="GHU185" s="1332"/>
      <c r="GHV185" s="1332"/>
      <c r="GHW185" s="1332"/>
      <c r="GHX185" s="1332"/>
      <c r="GHY185" s="1332"/>
      <c r="GHZ185" s="1332"/>
      <c r="GIA185" s="1332"/>
      <c r="GIB185" s="1332"/>
      <c r="GIC185" s="1332"/>
      <c r="GID185" s="1332"/>
      <c r="GIE185" s="1332"/>
      <c r="GIF185" s="1332"/>
      <c r="GIG185" s="1332"/>
      <c r="GIH185" s="1332"/>
      <c r="GII185" s="1332"/>
      <c r="GIJ185" s="1332"/>
      <c r="GIK185" s="1332"/>
      <c r="GIL185" s="1332"/>
      <c r="GIM185" s="1332"/>
      <c r="GIN185" s="1332"/>
      <c r="GIO185" s="1332"/>
      <c r="GIP185" s="1332"/>
      <c r="GIQ185" s="1332"/>
      <c r="GIR185" s="1332"/>
      <c r="GIS185" s="1332"/>
      <c r="GIT185" s="1332"/>
      <c r="GIU185" s="1332"/>
      <c r="GIV185" s="1332"/>
      <c r="GIW185" s="1332"/>
      <c r="GIX185" s="1332"/>
      <c r="GIY185" s="1332"/>
      <c r="GIZ185" s="1332"/>
      <c r="GJA185" s="1332"/>
      <c r="GJB185" s="1332"/>
      <c r="GJC185" s="1332"/>
      <c r="GJD185" s="1332"/>
      <c r="GJE185" s="1332"/>
      <c r="GJF185" s="1332"/>
      <c r="GJG185" s="1332"/>
      <c r="GJH185" s="1332"/>
      <c r="GJI185" s="1332"/>
      <c r="GJJ185" s="1332"/>
      <c r="GJK185" s="1332"/>
      <c r="GJL185" s="1332"/>
      <c r="GJM185" s="1332"/>
      <c r="GJN185" s="1332"/>
      <c r="GJO185" s="1332"/>
      <c r="GJP185" s="1332"/>
      <c r="GJQ185" s="1332"/>
      <c r="GJR185" s="1332"/>
      <c r="GJS185" s="1332"/>
      <c r="GJT185" s="1332"/>
      <c r="GJU185" s="1332"/>
      <c r="GJV185" s="1332"/>
      <c r="GJW185" s="1332"/>
      <c r="GJX185" s="1332"/>
      <c r="GJY185" s="1332"/>
      <c r="GJZ185" s="1332"/>
      <c r="GKA185" s="1332"/>
      <c r="GKB185" s="1332"/>
      <c r="GKC185" s="1332"/>
      <c r="GKD185" s="1332"/>
      <c r="GKE185" s="1332"/>
      <c r="GKF185" s="1332"/>
      <c r="GKG185" s="1332"/>
      <c r="GKH185" s="1332"/>
      <c r="GKI185" s="1332"/>
      <c r="GKJ185" s="1332"/>
      <c r="GKK185" s="1332"/>
      <c r="GKL185" s="1332"/>
      <c r="GKM185" s="1332"/>
      <c r="GKN185" s="1332"/>
      <c r="GKO185" s="1332"/>
      <c r="GKP185" s="1332"/>
      <c r="GKQ185" s="1332"/>
      <c r="GKR185" s="1332"/>
      <c r="GKS185" s="1332"/>
      <c r="GKT185" s="1332"/>
      <c r="GKU185" s="1332"/>
      <c r="GKV185" s="1332"/>
      <c r="GKW185" s="1332"/>
      <c r="GKX185" s="1332"/>
      <c r="GKY185" s="1332"/>
      <c r="GKZ185" s="1332"/>
      <c r="GLA185" s="1332"/>
      <c r="GLB185" s="1332"/>
      <c r="GLC185" s="1332"/>
      <c r="GLD185" s="1332"/>
      <c r="GLE185" s="1332"/>
      <c r="GLF185" s="1332"/>
      <c r="GLG185" s="1332"/>
      <c r="GLH185" s="1332"/>
      <c r="GLI185" s="1332"/>
      <c r="GLJ185" s="1332"/>
      <c r="GLK185" s="1332"/>
      <c r="GLL185" s="1332"/>
      <c r="GLM185" s="1332"/>
      <c r="GLN185" s="1332"/>
      <c r="GLO185" s="1332"/>
      <c r="GLP185" s="1332"/>
      <c r="GLQ185" s="1332"/>
      <c r="GLR185" s="1332"/>
      <c r="GLS185" s="1332"/>
      <c r="GLT185" s="1332"/>
      <c r="GLU185" s="1332"/>
      <c r="GLV185" s="1332"/>
      <c r="GLW185" s="1332"/>
      <c r="GLX185" s="1332"/>
      <c r="GLY185" s="1332"/>
      <c r="GLZ185" s="1332"/>
      <c r="GMA185" s="1332"/>
      <c r="GMB185" s="1332"/>
      <c r="GMC185" s="1332"/>
      <c r="GMD185" s="1332"/>
      <c r="GME185" s="1332"/>
      <c r="GMF185" s="1332"/>
      <c r="GMG185" s="1332"/>
      <c r="GMH185" s="1332"/>
      <c r="GMI185" s="1332"/>
      <c r="GMJ185" s="1332"/>
      <c r="GMK185" s="1332"/>
      <c r="GML185" s="1332"/>
      <c r="GMM185" s="1332"/>
      <c r="GMN185" s="1332"/>
      <c r="GMO185" s="1332"/>
      <c r="GMP185" s="1332"/>
      <c r="GMQ185" s="1332"/>
      <c r="GMR185" s="1332"/>
      <c r="GMS185" s="1332"/>
      <c r="GMT185" s="1332"/>
      <c r="GMU185" s="1332"/>
      <c r="GMV185" s="1332"/>
      <c r="GMW185" s="1332"/>
      <c r="GMX185" s="1332"/>
      <c r="GMY185" s="1332"/>
      <c r="GMZ185" s="1332"/>
      <c r="GNA185" s="1332"/>
      <c r="GNB185" s="1332"/>
      <c r="GNC185" s="1332"/>
      <c r="GND185" s="1332"/>
      <c r="GNE185" s="1332"/>
      <c r="GNF185" s="1332"/>
      <c r="GNG185" s="1332"/>
      <c r="GNH185" s="1332"/>
      <c r="GNI185" s="1332"/>
      <c r="GNJ185" s="1332"/>
      <c r="GNK185" s="1332"/>
      <c r="GNL185" s="1332"/>
      <c r="GNM185" s="1332"/>
      <c r="GNN185" s="1332"/>
      <c r="GNO185" s="1332"/>
      <c r="GNP185" s="1332"/>
      <c r="GNQ185" s="1332"/>
      <c r="GNR185" s="1332"/>
      <c r="GNS185" s="1332"/>
      <c r="GNT185" s="1332"/>
      <c r="GNU185" s="1332"/>
      <c r="GNV185" s="1332"/>
      <c r="GNW185" s="1332"/>
      <c r="GNX185" s="1332"/>
      <c r="GNY185" s="1332"/>
      <c r="GNZ185" s="1332"/>
      <c r="GOA185" s="1332"/>
      <c r="GOB185" s="1332"/>
      <c r="GOC185" s="1332"/>
      <c r="GOD185" s="1332"/>
      <c r="GOE185" s="1332"/>
      <c r="GOF185" s="1332"/>
      <c r="GOG185" s="1332"/>
      <c r="GOH185" s="1332"/>
      <c r="GOI185" s="1332"/>
      <c r="GOJ185" s="1332"/>
      <c r="GOK185" s="1332"/>
      <c r="GOL185" s="1332"/>
      <c r="GOM185" s="1332"/>
      <c r="GON185" s="1332"/>
      <c r="GOO185" s="1332"/>
      <c r="GOP185" s="1332"/>
      <c r="GOQ185" s="1332"/>
      <c r="GOR185" s="1332"/>
      <c r="GOS185" s="1332"/>
      <c r="GOT185" s="1332"/>
      <c r="GOU185" s="1332"/>
      <c r="GOV185" s="1332"/>
      <c r="GOW185" s="1332"/>
      <c r="GOX185" s="1332"/>
      <c r="GOY185" s="1332"/>
      <c r="GOZ185" s="1332"/>
      <c r="GPA185" s="1332"/>
      <c r="GPB185" s="1332"/>
      <c r="GPC185" s="1332"/>
      <c r="GPD185" s="1332"/>
      <c r="GPE185" s="1332"/>
      <c r="GPF185" s="1332"/>
      <c r="GPG185" s="1332"/>
      <c r="GPH185" s="1332"/>
      <c r="GPI185" s="1332"/>
      <c r="GPJ185" s="1332"/>
      <c r="GPK185" s="1332"/>
      <c r="GPL185" s="1332"/>
      <c r="GPM185" s="1332"/>
      <c r="GPN185" s="1332"/>
      <c r="GPO185" s="1332"/>
      <c r="GPP185" s="1332"/>
      <c r="GPQ185" s="1332"/>
      <c r="GPR185" s="1332"/>
      <c r="GPS185" s="1332"/>
      <c r="GPT185" s="1332"/>
      <c r="GPU185" s="1332"/>
      <c r="GPV185" s="1332"/>
      <c r="GPW185" s="1332"/>
      <c r="GPX185" s="1332"/>
      <c r="GPY185" s="1332"/>
      <c r="GPZ185" s="1332"/>
      <c r="GQA185" s="1332"/>
      <c r="GQB185" s="1332"/>
      <c r="GQC185" s="1332"/>
      <c r="GQD185" s="1332"/>
      <c r="GQE185" s="1332"/>
      <c r="GQF185" s="1332"/>
      <c r="GQG185" s="1332"/>
      <c r="GQH185" s="1332"/>
      <c r="GQI185" s="1332"/>
      <c r="GQJ185" s="1332"/>
      <c r="GQK185" s="1332"/>
      <c r="GQL185" s="1332"/>
      <c r="GQM185" s="1332"/>
      <c r="GQN185" s="1332"/>
      <c r="GQO185" s="1332"/>
      <c r="GQP185" s="1332"/>
      <c r="GQQ185" s="1332"/>
      <c r="GQR185" s="1332"/>
      <c r="GQS185" s="1332"/>
      <c r="GQT185" s="1332"/>
      <c r="GQU185" s="1332"/>
      <c r="GQV185" s="1332"/>
      <c r="GQW185" s="1332"/>
      <c r="GQX185" s="1332"/>
      <c r="GQY185" s="1332"/>
      <c r="GQZ185" s="1332"/>
      <c r="GRA185" s="1332"/>
      <c r="GRB185" s="1332"/>
      <c r="GRC185" s="1332"/>
      <c r="GRD185" s="1332"/>
      <c r="GRE185" s="1332"/>
      <c r="GRF185" s="1332"/>
      <c r="GRG185" s="1332"/>
      <c r="GRH185" s="1332"/>
      <c r="GRI185" s="1332"/>
      <c r="GRJ185" s="1332"/>
      <c r="GRK185" s="1332"/>
      <c r="GRL185" s="1332"/>
      <c r="GRM185" s="1332"/>
      <c r="GRN185" s="1332"/>
      <c r="GRO185" s="1332"/>
      <c r="GRP185" s="1332"/>
      <c r="GRQ185" s="1332"/>
      <c r="GRR185" s="1332"/>
      <c r="GRS185" s="1332"/>
      <c r="GRT185" s="1332"/>
      <c r="GRU185" s="1332"/>
      <c r="GRV185" s="1332"/>
      <c r="GRW185" s="1332"/>
      <c r="GRX185" s="1332"/>
      <c r="GRY185" s="1332"/>
      <c r="GRZ185" s="1332"/>
      <c r="GSA185" s="1332"/>
      <c r="GSB185" s="1332"/>
      <c r="GSC185" s="1332"/>
      <c r="GSD185" s="1332"/>
      <c r="GSE185" s="1332"/>
      <c r="GSF185" s="1332"/>
      <c r="GSG185" s="1332"/>
      <c r="GSH185" s="1332"/>
      <c r="GSI185" s="1332"/>
      <c r="GSJ185" s="1332"/>
      <c r="GSK185" s="1332"/>
      <c r="GSL185" s="1332"/>
      <c r="GSM185" s="1332"/>
      <c r="GSN185" s="1332"/>
      <c r="GSO185" s="1332"/>
      <c r="GSP185" s="1332"/>
      <c r="GSQ185" s="1332"/>
      <c r="GSR185" s="1332"/>
      <c r="GSS185" s="1332"/>
      <c r="GST185" s="1332"/>
      <c r="GSU185" s="1332"/>
      <c r="GSV185" s="1332"/>
      <c r="GSW185" s="1332"/>
      <c r="GSX185" s="1332"/>
      <c r="GSY185" s="1332"/>
      <c r="GSZ185" s="1332"/>
      <c r="GTA185" s="1332"/>
      <c r="GTB185" s="1332"/>
      <c r="GTC185" s="1332"/>
      <c r="GTD185" s="1332"/>
      <c r="GTE185" s="1332"/>
      <c r="GTF185" s="1332"/>
      <c r="GTG185" s="1332"/>
      <c r="GTH185" s="1332"/>
      <c r="GTI185" s="1332"/>
      <c r="GTJ185" s="1332"/>
      <c r="GTK185" s="1332"/>
      <c r="GTL185" s="1332"/>
      <c r="GTM185" s="1332"/>
      <c r="GTN185" s="1332"/>
      <c r="GTO185" s="1332"/>
      <c r="GTP185" s="1332"/>
      <c r="GTQ185" s="1332"/>
      <c r="GTR185" s="1332"/>
      <c r="GTS185" s="1332"/>
      <c r="GTT185" s="1332"/>
      <c r="GTU185" s="1332"/>
      <c r="GTV185" s="1332"/>
      <c r="GTW185" s="1332"/>
      <c r="GTX185" s="1332"/>
      <c r="GTY185" s="1332"/>
      <c r="GTZ185" s="1332"/>
      <c r="GUA185" s="1332"/>
      <c r="GUB185" s="1332"/>
      <c r="GUC185" s="1332"/>
      <c r="GUD185" s="1332"/>
      <c r="GUE185" s="1332"/>
      <c r="GUF185" s="1332"/>
      <c r="GUG185" s="1332"/>
      <c r="GUH185" s="1332"/>
      <c r="GUI185" s="1332"/>
      <c r="GUJ185" s="1332"/>
      <c r="GUK185" s="1332"/>
      <c r="GUL185" s="1332"/>
      <c r="GUM185" s="1332"/>
      <c r="GUN185" s="1332"/>
      <c r="GUO185" s="1332"/>
      <c r="GUP185" s="1332"/>
      <c r="GUQ185" s="1332"/>
      <c r="GUR185" s="1332"/>
      <c r="GUS185" s="1332"/>
      <c r="GUT185" s="1332"/>
      <c r="GUU185" s="1332"/>
      <c r="GUV185" s="1332"/>
      <c r="GUW185" s="1332"/>
      <c r="GUX185" s="1332"/>
      <c r="GUY185" s="1332"/>
      <c r="GUZ185" s="1332"/>
      <c r="GVA185" s="1332"/>
      <c r="GVB185" s="1332"/>
      <c r="GVC185" s="1332"/>
      <c r="GVD185" s="1332"/>
      <c r="GVE185" s="1332"/>
      <c r="GVF185" s="1332"/>
      <c r="GVG185" s="1332"/>
      <c r="GVH185" s="1332"/>
      <c r="GVI185" s="1332"/>
      <c r="GVJ185" s="1332"/>
      <c r="GVK185" s="1332"/>
      <c r="GVL185" s="1332"/>
      <c r="GVM185" s="1332"/>
      <c r="GVN185" s="1332"/>
      <c r="GVO185" s="1332"/>
      <c r="GVP185" s="1332"/>
      <c r="GVQ185" s="1332"/>
      <c r="GVR185" s="1332"/>
      <c r="GVS185" s="1332"/>
      <c r="GVT185" s="1332"/>
      <c r="GVU185" s="1332"/>
      <c r="GVV185" s="1332"/>
      <c r="GVW185" s="1332"/>
      <c r="GVX185" s="1332"/>
      <c r="GVY185" s="1332"/>
      <c r="GVZ185" s="1332"/>
      <c r="GWA185" s="1332"/>
      <c r="GWB185" s="1332"/>
      <c r="GWC185" s="1332"/>
      <c r="GWD185" s="1332"/>
      <c r="GWE185" s="1332"/>
      <c r="GWF185" s="1332"/>
      <c r="GWG185" s="1332"/>
      <c r="GWH185" s="1332"/>
      <c r="GWI185" s="1332"/>
      <c r="GWJ185" s="1332"/>
      <c r="GWK185" s="1332"/>
      <c r="GWL185" s="1332"/>
      <c r="GWM185" s="1332"/>
      <c r="GWN185" s="1332"/>
      <c r="GWO185" s="1332"/>
      <c r="GWP185" s="1332"/>
      <c r="GWQ185" s="1332"/>
      <c r="GWR185" s="1332"/>
      <c r="GWS185" s="1332"/>
      <c r="GWT185" s="1332"/>
      <c r="GWU185" s="1332"/>
      <c r="GWV185" s="1332"/>
      <c r="GWW185" s="1332"/>
      <c r="GWX185" s="1332"/>
      <c r="GWY185" s="1332"/>
      <c r="GWZ185" s="1332"/>
      <c r="GXA185" s="1332"/>
      <c r="GXB185" s="1332"/>
      <c r="GXC185" s="1332"/>
      <c r="GXD185" s="1332"/>
      <c r="GXE185" s="1332"/>
      <c r="GXF185" s="1332"/>
      <c r="GXG185" s="1332"/>
      <c r="GXH185" s="1332"/>
      <c r="GXI185" s="1332"/>
      <c r="GXJ185" s="1332"/>
      <c r="GXK185" s="1332"/>
      <c r="GXL185" s="1332"/>
      <c r="GXM185" s="1332"/>
      <c r="GXN185" s="1332"/>
      <c r="GXO185" s="1332"/>
      <c r="GXP185" s="1332"/>
      <c r="GXQ185" s="1332"/>
      <c r="GXR185" s="1332"/>
      <c r="GXS185" s="1332"/>
      <c r="GXT185" s="1332"/>
      <c r="GXU185" s="1332"/>
      <c r="GXV185" s="1332"/>
      <c r="GXW185" s="1332"/>
      <c r="GXX185" s="1332"/>
      <c r="GXY185" s="1332"/>
      <c r="GXZ185" s="1332"/>
      <c r="GYA185" s="1332"/>
      <c r="GYB185" s="1332"/>
      <c r="GYC185" s="1332"/>
      <c r="GYD185" s="1332"/>
      <c r="GYE185" s="1332"/>
      <c r="GYF185" s="1332"/>
      <c r="GYG185" s="1332"/>
      <c r="GYH185" s="1332"/>
      <c r="GYI185" s="1332"/>
      <c r="GYJ185" s="1332"/>
      <c r="GYK185" s="1332"/>
      <c r="GYL185" s="1332"/>
      <c r="GYM185" s="1332"/>
      <c r="GYN185" s="1332"/>
      <c r="GYO185" s="1332"/>
      <c r="GYP185" s="1332"/>
      <c r="GYQ185" s="1332"/>
      <c r="GYR185" s="1332"/>
      <c r="GYS185" s="1332"/>
      <c r="GYT185" s="1332"/>
      <c r="GYU185" s="1332"/>
      <c r="GYV185" s="1332"/>
      <c r="GYW185" s="1332"/>
      <c r="GYX185" s="1332"/>
      <c r="GYY185" s="1332"/>
      <c r="GYZ185" s="1332"/>
      <c r="GZA185" s="1332"/>
      <c r="GZB185" s="1332"/>
      <c r="GZC185" s="1332"/>
      <c r="GZD185" s="1332"/>
      <c r="GZE185" s="1332"/>
      <c r="GZF185" s="1332"/>
      <c r="GZG185" s="1332"/>
      <c r="GZH185" s="1332"/>
      <c r="GZI185" s="1332"/>
      <c r="GZJ185" s="1332"/>
      <c r="GZK185" s="1332"/>
      <c r="GZL185" s="1332"/>
      <c r="GZM185" s="1332"/>
      <c r="GZN185" s="1332"/>
      <c r="GZO185" s="1332"/>
      <c r="GZP185" s="1332"/>
      <c r="GZQ185" s="1332"/>
      <c r="GZR185" s="1332"/>
      <c r="GZS185" s="1332"/>
      <c r="GZT185" s="1332"/>
      <c r="GZU185" s="1332"/>
      <c r="GZV185" s="1332"/>
      <c r="GZW185" s="1332"/>
      <c r="GZX185" s="1332"/>
      <c r="GZY185" s="1332"/>
      <c r="GZZ185" s="1332"/>
      <c r="HAA185" s="1332"/>
      <c r="HAB185" s="1332"/>
      <c r="HAC185" s="1332"/>
      <c r="HAD185" s="1332"/>
      <c r="HAE185" s="1332"/>
      <c r="HAF185" s="1332"/>
      <c r="HAG185" s="1332"/>
      <c r="HAH185" s="1332"/>
      <c r="HAI185" s="1332"/>
      <c r="HAJ185" s="1332"/>
      <c r="HAK185" s="1332"/>
      <c r="HAL185" s="1332"/>
      <c r="HAM185" s="1332"/>
      <c r="HAN185" s="1332"/>
      <c r="HAO185" s="1332"/>
      <c r="HAP185" s="1332"/>
      <c r="HAQ185" s="1332"/>
      <c r="HAR185" s="1332"/>
      <c r="HAS185" s="1332"/>
      <c r="HAT185" s="1332"/>
      <c r="HAU185" s="1332"/>
      <c r="HAV185" s="1332"/>
      <c r="HAW185" s="1332"/>
      <c r="HAX185" s="1332"/>
      <c r="HAY185" s="1332"/>
      <c r="HAZ185" s="1332"/>
      <c r="HBA185" s="1332"/>
      <c r="HBB185" s="1332"/>
      <c r="HBC185" s="1332"/>
      <c r="HBD185" s="1332"/>
      <c r="HBE185" s="1332"/>
      <c r="HBF185" s="1332"/>
      <c r="HBG185" s="1332"/>
      <c r="HBH185" s="1332"/>
      <c r="HBI185" s="1332"/>
      <c r="HBJ185" s="1332"/>
      <c r="HBK185" s="1332"/>
      <c r="HBL185" s="1332"/>
      <c r="HBM185" s="1332"/>
      <c r="HBN185" s="1332"/>
      <c r="HBO185" s="1332"/>
      <c r="HBP185" s="1332"/>
      <c r="HBQ185" s="1332"/>
      <c r="HBR185" s="1332"/>
      <c r="HBS185" s="1332"/>
      <c r="HBT185" s="1332"/>
      <c r="HBU185" s="1332"/>
      <c r="HBV185" s="1332"/>
      <c r="HBW185" s="1332"/>
      <c r="HBX185" s="1332"/>
      <c r="HBY185" s="1332"/>
      <c r="HBZ185" s="1332"/>
      <c r="HCA185" s="1332"/>
      <c r="HCB185" s="1332"/>
      <c r="HCC185" s="1332"/>
      <c r="HCD185" s="1332"/>
      <c r="HCE185" s="1332"/>
      <c r="HCF185" s="1332"/>
      <c r="HCG185" s="1332"/>
      <c r="HCH185" s="1332"/>
      <c r="HCI185" s="1332"/>
      <c r="HCJ185" s="1332"/>
      <c r="HCK185" s="1332"/>
      <c r="HCL185" s="1332"/>
      <c r="HCM185" s="1332"/>
      <c r="HCN185" s="1332"/>
      <c r="HCO185" s="1332"/>
      <c r="HCP185" s="1332"/>
      <c r="HCQ185" s="1332"/>
      <c r="HCR185" s="1332"/>
      <c r="HCS185" s="1332"/>
      <c r="HCT185" s="1332"/>
      <c r="HCU185" s="1332"/>
      <c r="HCV185" s="1332"/>
      <c r="HCW185" s="1332"/>
      <c r="HCX185" s="1332"/>
      <c r="HCY185" s="1332"/>
      <c r="HCZ185" s="1332"/>
      <c r="HDA185" s="1332"/>
      <c r="HDB185" s="1332"/>
      <c r="HDC185" s="1332"/>
      <c r="HDD185" s="1332"/>
      <c r="HDE185" s="1332"/>
      <c r="HDF185" s="1332"/>
      <c r="HDG185" s="1332"/>
      <c r="HDH185" s="1332"/>
      <c r="HDI185" s="1332"/>
      <c r="HDJ185" s="1332"/>
      <c r="HDK185" s="1332"/>
      <c r="HDL185" s="1332"/>
      <c r="HDM185" s="1332"/>
      <c r="HDN185" s="1332"/>
      <c r="HDO185" s="1332"/>
      <c r="HDP185" s="1332"/>
      <c r="HDQ185" s="1332"/>
      <c r="HDR185" s="1332"/>
      <c r="HDS185" s="1332"/>
      <c r="HDT185" s="1332"/>
      <c r="HDU185" s="1332"/>
      <c r="HDV185" s="1332"/>
      <c r="HDW185" s="1332"/>
      <c r="HDX185" s="1332"/>
      <c r="HDY185" s="1332"/>
      <c r="HDZ185" s="1332"/>
      <c r="HEA185" s="1332"/>
      <c r="HEB185" s="1332"/>
      <c r="HEC185" s="1332"/>
      <c r="HED185" s="1332"/>
      <c r="HEE185" s="1332"/>
      <c r="HEF185" s="1332"/>
      <c r="HEG185" s="1332"/>
      <c r="HEH185" s="1332"/>
      <c r="HEI185" s="1332"/>
      <c r="HEJ185" s="1332"/>
      <c r="HEK185" s="1332"/>
      <c r="HEL185" s="1332"/>
      <c r="HEM185" s="1332"/>
      <c r="HEN185" s="1332"/>
      <c r="HEO185" s="1332"/>
      <c r="HEP185" s="1332"/>
      <c r="HEQ185" s="1332"/>
      <c r="HER185" s="1332"/>
      <c r="HES185" s="1332"/>
      <c r="HET185" s="1332"/>
      <c r="HEU185" s="1332"/>
      <c r="HEV185" s="1332"/>
      <c r="HEW185" s="1332"/>
      <c r="HEX185" s="1332"/>
      <c r="HEY185" s="1332"/>
      <c r="HEZ185" s="1332"/>
      <c r="HFA185" s="1332"/>
      <c r="HFB185" s="1332"/>
      <c r="HFC185" s="1332"/>
      <c r="HFD185" s="1332"/>
      <c r="HFE185" s="1332"/>
      <c r="HFF185" s="1332"/>
      <c r="HFG185" s="1332"/>
      <c r="HFH185" s="1332"/>
      <c r="HFI185" s="1332"/>
      <c r="HFJ185" s="1332"/>
      <c r="HFK185" s="1332"/>
      <c r="HFL185" s="1332"/>
      <c r="HFM185" s="1332"/>
      <c r="HFN185" s="1332"/>
      <c r="HFO185" s="1332"/>
      <c r="HFP185" s="1332"/>
      <c r="HFQ185" s="1332"/>
      <c r="HFR185" s="1332"/>
      <c r="HFS185" s="1332"/>
      <c r="HFT185" s="1332"/>
      <c r="HFU185" s="1332"/>
      <c r="HFV185" s="1332"/>
      <c r="HFW185" s="1332"/>
      <c r="HFX185" s="1332"/>
      <c r="HFY185" s="1332"/>
      <c r="HFZ185" s="1332"/>
      <c r="HGA185" s="1332"/>
      <c r="HGB185" s="1332"/>
      <c r="HGC185" s="1332"/>
      <c r="HGD185" s="1332"/>
      <c r="HGE185" s="1332"/>
      <c r="HGF185" s="1332"/>
      <c r="HGG185" s="1332"/>
      <c r="HGH185" s="1332"/>
      <c r="HGI185" s="1332"/>
      <c r="HGJ185" s="1332"/>
      <c r="HGK185" s="1332"/>
      <c r="HGL185" s="1332"/>
      <c r="HGM185" s="1332"/>
      <c r="HGN185" s="1332"/>
      <c r="HGO185" s="1332"/>
      <c r="HGP185" s="1332"/>
      <c r="HGQ185" s="1332"/>
      <c r="HGR185" s="1332"/>
      <c r="HGS185" s="1332"/>
      <c r="HGT185" s="1332"/>
      <c r="HGU185" s="1332"/>
      <c r="HGV185" s="1332"/>
      <c r="HGW185" s="1332"/>
      <c r="HGX185" s="1332"/>
      <c r="HGY185" s="1332"/>
      <c r="HGZ185" s="1332"/>
      <c r="HHA185" s="1332"/>
      <c r="HHB185" s="1332"/>
      <c r="HHC185" s="1332"/>
      <c r="HHD185" s="1332"/>
      <c r="HHE185" s="1332"/>
      <c r="HHF185" s="1332"/>
      <c r="HHG185" s="1332"/>
      <c r="HHH185" s="1332"/>
      <c r="HHI185" s="1332"/>
      <c r="HHJ185" s="1332"/>
      <c r="HHK185" s="1332"/>
      <c r="HHL185" s="1332"/>
      <c r="HHM185" s="1332"/>
      <c r="HHN185" s="1332"/>
      <c r="HHO185" s="1332"/>
      <c r="HHP185" s="1332"/>
      <c r="HHQ185" s="1332"/>
      <c r="HHR185" s="1332"/>
      <c r="HHS185" s="1332"/>
      <c r="HHT185" s="1332"/>
      <c r="HHU185" s="1332"/>
      <c r="HHV185" s="1332"/>
      <c r="HHW185" s="1332"/>
      <c r="HHX185" s="1332"/>
      <c r="HHY185" s="1332"/>
      <c r="HHZ185" s="1332"/>
      <c r="HIA185" s="1332"/>
      <c r="HIB185" s="1332"/>
      <c r="HIC185" s="1332"/>
      <c r="HID185" s="1332"/>
      <c r="HIE185" s="1332"/>
      <c r="HIF185" s="1332"/>
      <c r="HIG185" s="1332"/>
      <c r="HIH185" s="1332"/>
      <c r="HII185" s="1332"/>
      <c r="HIJ185" s="1332"/>
      <c r="HIK185" s="1332"/>
      <c r="HIL185" s="1332"/>
      <c r="HIM185" s="1332"/>
      <c r="HIN185" s="1332"/>
      <c r="HIO185" s="1332"/>
      <c r="HIP185" s="1332"/>
      <c r="HIQ185" s="1332"/>
      <c r="HIR185" s="1332"/>
      <c r="HIS185" s="1332"/>
      <c r="HIT185" s="1332"/>
      <c r="HIU185" s="1332"/>
      <c r="HIV185" s="1332"/>
      <c r="HIW185" s="1332"/>
      <c r="HIX185" s="1332"/>
      <c r="HIY185" s="1332"/>
      <c r="HIZ185" s="1332"/>
      <c r="HJA185" s="1332"/>
      <c r="HJB185" s="1332"/>
      <c r="HJC185" s="1332"/>
      <c r="HJD185" s="1332"/>
      <c r="HJE185" s="1332"/>
      <c r="HJF185" s="1332"/>
      <c r="HJG185" s="1332"/>
      <c r="HJH185" s="1332"/>
      <c r="HJI185" s="1332"/>
      <c r="HJJ185" s="1332"/>
      <c r="HJK185" s="1332"/>
      <c r="HJL185" s="1332"/>
      <c r="HJM185" s="1332"/>
      <c r="HJN185" s="1332"/>
      <c r="HJO185" s="1332"/>
      <c r="HJP185" s="1332"/>
      <c r="HJQ185" s="1332"/>
      <c r="HJR185" s="1332"/>
      <c r="HJS185" s="1332"/>
      <c r="HJT185" s="1332"/>
      <c r="HJU185" s="1332"/>
      <c r="HJV185" s="1332"/>
      <c r="HJW185" s="1332"/>
      <c r="HJX185" s="1332"/>
      <c r="HJY185" s="1332"/>
      <c r="HJZ185" s="1332"/>
      <c r="HKA185" s="1332"/>
      <c r="HKB185" s="1332"/>
      <c r="HKC185" s="1332"/>
      <c r="HKD185" s="1332"/>
      <c r="HKE185" s="1332"/>
      <c r="HKF185" s="1332"/>
      <c r="HKG185" s="1332"/>
      <c r="HKH185" s="1332"/>
      <c r="HKI185" s="1332"/>
      <c r="HKJ185" s="1332"/>
      <c r="HKK185" s="1332"/>
      <c r="HKL185" s="1332"/>
      <c r="HKM185" s="1332"/>
      <c r="HKN185" s="1332"/>
      <c r="HKO185" s="1332"/>
      <c r="HKP185" s="1332"/>
      <c r="HKQ185" s="1332"/>
      <c r="HKR185" s="1332"/>
      <c r="HKS185" s="1332"/>
      <c r="HKT185" s="1332"/>
      <c r="HKU185" s="1332"/>
      <c r="HKV185" s="1332"/>
      <c r="HKW185" s="1332"/>
      <c r="HKX185" s="1332"/>
      <c r="HKY185" s="1332"/>
      <c r="HKZ185" s="1332"/>
      <c r="HLA185" s="1332"/>
      <c r="HLB185" s="1332"/>
      <c r="HLC185" s="1332"/>
      <c r="HLD185" s="1332"/>
      <c r="HLE185" s="1332"/>
      <c r="HLF185" s="1332"/>
      <c r="HLG185" s="1332"/>
      <c r="HLH185" s="1332"/>
      <c r="HLI185" s="1332"/>
      <c r="HLJ185" s="1332"/>
      <c r="HLK185" s="1332"/>
      <c r="HLL185" s="1332"/>
      <c r="HLM185" s="1332"/>
      <c r="HLN185" s="1332"/>
      <c r="HLO185" s="1332"/>
      <c r="HLP185" s="1332"/>
      <c r="HLQ185" s="1332"/>
      <c r="HLR185" s="1332"/>
      <c r="HLS185" s="1332"/>
      <c r="HLT185" s="1332"/>
      <c r="HLU185" s="1332"/>
      <c r="HLV185" s="1332"/>
      <c r="HLW185" s="1332"/>
      <c r="HLX185" s="1332"/>
      <c r="HLY185" s="1332"/>
      <c r="HLZ185" s="1332"/>
      <c r="HMA185" s="1332"/>
      <c r="HMB185" s="1332"/>
      <c r="HMC185" s="1332"/>
      <c r="HMD185" s="1332"/>
      <c r="HME185" s="1332"/>
      <c r="HMF185" s="1332"/>
      <c r="HMG185" s="1332"/>
      <c r="HMH185" s="1332"/>
      <c r="HMI185" s="1332"/>
      <c r="HMJ185" s="1332"/>
      <c r="HMK185" s="1332"/>
      <c r="HML185" s="1332"/>
      <c r="HMM185" s="1332"/>
      <c r="HMN185" s="1332"/>
      <c r="HMO185" s="1332"/>
      <c r="HMP185" s="1332"/>
      <c r="HMQ185" s="1332"/>
      <c r="HMR185" s="1332"/>
      <c r="HMS185" s="1332"/>
      <c r="HMT185" s="1332"/>
      <c r="HMU185" s="1332"/>
      <c r="HMV185" s="1332"/>
      <c r="HMW185" s="1332"/>
      <c r="HMX185" s="1332"/>
      <c r="HMY185" s="1332"/>
      <c r="HMZ185" s="1332"/>
      <c r="HNA185" s="1332"/>
      <c r="HNB185" s="1332"/>
      <c r="HNC185" s="1332"/>
      <c r="HND185" s="1332"/>
      <c r="HNE185" s="1332"/>
      <c r="HNF185" s="1332"/>
      <c r="HNG185" s="1332"/>
      <c r="HNH185" s="1332"/>
      <c r="HNI185" s="1332"/>
      <c r="HNJ185" s="1332"/>
      <c r="HNK185" s="1332"/>
      <c r="HNL185" s="1332"/>
      <c r="HNM185" s="1332"/>
      <c r="HNN185" s="1332"/>
      <c r="HNO185" s="1332"/>
      <c r="HNP185" s="1332"/>
      <c r="HNQ185" s="1332"/>
      <c r="HNR185" s="1332"/>
      <c r="HNS185" s="1332"/>
      <c r="HNT185" s="1332"/>
      <c r="HNU185" s="1332"/>
      <c r="HNV185" s="1332"/>
      <c r="HNW185" s="1332"/>
      <c r="HNX185" s="1332"/>
      <c r="HNY185" s="1332"/>
      <c r="HNZ185" s="1332"/>
      <c r="HOA185" s="1332"/>
      <c r="HOB185" s="1332"/>
      <c r="HOC185" s="1332"/>
      <c r="HOD185" s="1332"/>
      <c r="HOE185" s="1332"/>
      <c r="HOF185" s="1332"/>
      <c r="HOG185" s="1332"/>
      <c r="HOH185" s="1332"/>
      <c r="HOI185" s="1332"/>
      <c r="HOJ185" s="1332"/>
      <c r="HOK185" s="1332"/>
      <c r="HOL185" s="1332"/>
      <c r="HOM185" s="1332"/>
      <c r="HON185" s="1332"/>
      <c r="HOO185" s="1332"/>
      <c r="HOP185" s="1332"/>
      <c r="HOQ185" s="1332"/>
      <c r="HOR185" s="1332"/>
      <c r="HOS185" s="1332"/>
      <c r="HOT185" s="1332"/>
      <c r="HOU185" s="1332"/>
      <c r="HOV185" s="1332"/>
      <c r="HOW185" s="1332"/>
      <c r="HOX185" s="1332"/>
      <c r="HOY185" s="1332"/>
      <c r="HOZ185" s="1332"/>
      <c r="HPA185" s="1332"/>
      <c r="HPB185" s="1332"/>
      <c r="HPC185" s="1332"/>
      <c r="HPD185" s="1332"/>
      <c r="HPE185" s="1332"/>
      <c r="HPF185" s="1332"/>
      <c r="HPG185" s="1332"/>
      <c r="HPH185" s="1332"/>
      <c r="HPI185" s="1332"/>
      <c r="HPJ185" s="1332"/>
      <c r="HPK185" s="1332"/>
      <c r="HPL185" s="1332"/>
      <c r="HPM185" s="1332"/>
      <c r="HPN185" s="1332"/>
      <c r="HPO185" s="1332"/>
      <c r="HPP185" s="1332"/>
      <c r="HPQ185" s="1332"/>
      <c r="HPR185" s="1332"/>
      <c r="HPS185" s="1332"/>
      <c r="HPT185" s="1332"/>
      <c r="HPU185" s="1332"/>
      <c r="HPV185" s="1332"/>
      <c r="HPW185" s="1332"/>
      <c r="HPX185" s="1332"/>
      <c r="HPY185" s="1332"/>
      <c r="HPZ185" s="1332"/>
      <c r="HQA185" s="1332"/>
      <c r="HQB185" s="1332"/>
      <c r="HQC185" s="1332"/>
      <c r="HQD185" s="1332"/>
      <c r="HQE185" s="1332"/>
      <c r="HQF185" s="1332"/>
      <c r="HQG185" s="1332"/>
      <c r="HQH185" s="1332"/>
      <c r="HQI185" s="1332"/>
      <c r="HQJ185" s="1332"/>
      <c r="HQK185" s="1332"/>
      <c r="HQL185" s="1332"/>
      <c r="HQM185" s="1332"/>
      <c r="HQN185" s="1332"/>
      <c r="HQO185" s="1332"/>
      <c r="HQP185" s="1332"/>
      <c r="HQQ185" s="1332"/>
      <c r="HQR185" s="1332"/>
      <c r="HQS185" s="1332"/>
      <c r="HQT185" s="1332"/>
      <c r="HQU185" s="1332"/>
      <c r="HQV185" s="1332"/>
      <c r="HQW185" s="1332"/>
      <c r="HQX185" s="1332"/>
      <c r="HQY185" s="1332"/>
      <c r="HQZ185" s="1332"/>
      <c r="HRA185" s="1332"/>
      <c r="HRB185" s="1332"/>
      <c r="HRC185" s="1332"/>
      <c r="HRD185" s="1332"/>
      <c r="HRE185" s="1332"/>
      <c r="HRF185" s="1332"/>
      <c r="HRG185" s="1332"/>
      <c r="HRH185" s="1332"/>
      <c r="HRI185" s="1332"/>
      <c r="HRJ185" s="1332"/>
      <c r="HRK185" s="1332"/>
      <c r="HRL185" s="1332"/>
      <c r="HRM185" s="1332"/>
      <c r="HRN185" s="1332"/>
      <c r="HRO185" s="1332"/>
      <c r="HRP185" s="1332"/>
      <c r="HRQ185" s="1332"/>
      <c r="HRR185" s="1332"/>
      <c r="HRS185" s="1332"/>
      <c r="HRT185" s="1332"/>
      <c r="HRU185" s="1332"/>
      <c r="HRV185" s="1332"/>
      <c r="HRW185" s="1332"/>
      <c r="HRX185" s="1332"/>
      <c r="HRY185" s="1332"/>
      <c r="HRZ185" s="1332"/>
      <c r="HSA185" s="1332"/>
      <c r="HSB185" s="1332"/>
      <c r="HSC185" s="1332"/>
      <c r="HSD185" s="1332"/>
      <c r="HSE185" s="1332"/>
      <c r="HSF185" s="1332"/>
      <c r="HSG185" s="1332"/>
      <c r="HSH185" s="1332"/>
      <c r="HSI185" s="1332"/>
      <c r="HSJ185" s="1332"/>
      <c r="HSK185" s="1332"/>
      <c r="HSL185" s="1332"/>
      <c r="HSM185" s="1332"/>
      <c r="HSN185" s="1332"/>
      <c r="HSO185" s="1332"/>
      <c r="HSP185" s="1332"/>
      <c r="HSQ185" s="1332"/>
      <c r="HSR185" s="1332"/>
      <c r="HSS185" s="1332"/>
      <c r="HST185" s="1332"/>
      <c r="HSU185" s="1332"/>
      <c r="HSV185" s="1332"/>
      <c r="HSW185" s="1332"/>
      <c r="HSX185" s="1332"/>
      <c r="HSY185" s="1332"/>
      <c r="HSZ185" s="1332"/>
      <c r="HTA185" s="1332"/>
      <c r="HTB185" s="1332"/>
      <c r="HTC185" s="1332"/>
      <c r="HTD185" s="1332"/>
      <c r="HTE185" s="1332"/>
      <c r="HTF185" s="1332"/>
      <c r="HTG185" s="1332"/>
      <c r="HTH185" s="1332"/>
      <c r="HTI185" s="1332"/>
      <c r="HTJ185" s="1332"/>
      <c r="HTK185" s="1332"/>
      <c r="HTL185" s="1332"/>
      <c r="HTM185" s="1332"/>
      <c r="HTN185" s="1332"/>
      <c r="HTO185" s="1332"/>
      <c r="HTP185" s="1332"/>
      <c r="HTQ185" s="1332"/>
      <c r="HTR185" s="1332"/>
      <c r="HTS185" s="1332"/>
      <c r="HTT185" s="1332"/>
      <c r="HTU185" s="1332"/>
      <c r="HTV185" s="1332"/>
      <c r="HTW185" s="1332"/>
      <c r="HTX185" s="1332"/>
      <c r="HTY185" s="1332"/>
      <c r="HTZ185" s="1332"/>
      <c r="HUA185" s="1332"/>
      <c r="HUB185" s="1332"/>
      <c r="HUC185" s="1332"/>
      <c r="HUD185" s="1332"/>
      <c r="HUE185" s="1332"/>
      <c r="HUF185" s="1332"/>
      <c r="HUG185" s="1332"/>
      <c r="HUH185" s="1332"/>
      <c r="HUI185" s="1332"/>
      <c r="HUJ185" s="1332"/>
      <c r="HUK185" s="1332"/>
      <c r="HUL185" s="1332"/>
      <c r="HUM185" s="1332"/>
      <c r="HUN185" s="1332"/>
      <c r="HUO185" s="1332"/>
      <c r="HUP185" s="1332"/>
      <c r="HUQ185" s="1332"/>
      <c r="HUR185" s="1332"/>
      <c r="HUS185" s="1332"/>
      <c r="HUT185" s="1332"/>
      <c r="HUU185" s="1332"/>
      <c r="HUV185" s="1332"/>
      <c r="HUW185" s="1332"/>
      <c r="HUX185" s="1332"/>
      <c r="HUY185" s="1332"/>
      <c r="HUZ185" s="1332"/>
      <c r="HVA185" s="1332"/>
      <c r="HVB185" s="1332"/>
      <c r="HVC185" s="1332"/>
      <c r="HVD185" s="1332"/>
      <c r="HVE185" s="1332"/>
      <c r="HVF185" s="1332"/>
      <c r="HVG185" s="1332"/>
      <c r="HVH185" s="1332"/>
      <c r="HVI185" s="1332"/>
      <c r="HVJ185" s="1332"/>
      <c r="HVK185" s="1332"/>
      <c r="HVL185" s="1332"/>
      <c r="HVM185" s="1332"/>
      <c r="HVN185" s="1332"/>
      <c r="HVO185" s="1332"/>
      <c r="HVP185" s="1332"/>
      <c r="HVQ185" s="1332"/>
      <c r="HVR185" s="1332"/>
      <c r="HVS185" s="1332"/>
      <c r="HVT185" s="1332"/>
      <c r="HVU185" s="1332"/>
      <c r="HVV185" s="1332"/>
      <c r="HVW185" s="1332"/>
      <c r="HVX185" s="1332"/>
      <c r="HVY185" s="1332"/>
      <c r="HVZ185" s="1332"/>
      <c r="HWA185" s="1332"/>
      <c r="HWB185" s="1332"/>
      <c r="HWC185" s="1332"/>
      <c r="HWD185" s="1332"/>
      <c r="HWE185" s="1332"/>
      <c r="HWF185" s="1332"/>
      <c r="HWG185" s="1332"/>
      <c r="HWH185" s="1332"/>
      <c r="HWI185" s="1332"/>
      <c r="HWJ185" s="1332"/>
      <c r="HWK185" s="1332"/>
      <c r="HWL185" s="1332"/>
      <c r="HWM185" s="1332"/>
      <c r="HWN185" s="1332"/>
      <c r="HWO185" s="1332"/>
      <c r="HWP185" s="1332"/>
      <c r="HWQ185" s="1332"/>
      <c r="HWR185" s="1332"/>
      <c r="HWS185" s="1332"/>
      <c r="HWT185" s="1332"/>
      <c r="HWU185" s="1332"/>
      <c r="HWV185" s="1332"/>
      <c r="HWW185" s="1332"/>
      <c r="HWX185" s="1332"/>
      <c r="HWY185" s="1332"/>
      <c r="HWZ185" s="1332"/>
      <c r="HXA185" s="1332"/>
      <c r="HXB185" s="1332"/>
      <c r="HXC185" s="1332"/>
      <c r="HXD185" s="1332"/>
      <c r="HXE185" s="1332"/>
      <c r="HXF185" s="1332"/>
      <c r="HXG185" s="1332"/>
      <c r="HXH185" s="1332"/>
      <c r="HXI185" s="1332"/>
      <c r="HXJ185" s="1332"/>
      <c r="HXK185" s="1332"/>
      <c r="HXL185" s="1332"/>
      <c r="HXM185" s="1332"/>
      <c r="HXN185" s="1332"/>
      <c r="HXO185" s="1332"/>
      <c r="HXP185" s="1332"/>
      <c r="HXQ185" s="1332"/>
      <c r="HXR185" s="1332"/>
      <c r="HXS185" s="1332"/>
      <c r="HXT185" s="1332"/>
      <c r="HXU185" s="1332"/>
      <c r="HXV185" s="1332"/>
      <c r="HXW185" s="1332"/>
      <c r="HXX185" s="1332"/>
      <c r="HXY185" s="1332"/>
      <c r="HXZ185" s="1332"/>
      <c r="HYA185" s="1332"/>
      <c r="HYB185" s="1332"/>
      <c r="HYC185" s="1332"/>
      <c r="HYD185" s="1332"/>
      <c r="HYE185" s="1332"/>
      <c r="HYF185" s="1332"/>
      <c r="HYG185" s="1332"/>
      <c r="HYH185" s="1332"/>
      <c r="HYI185" s="1332"/>
      <c r="HYJ185" s="1332"/>
      <c r="HYK185" s="1332"/>
      <c r="HYL185" s="1332"/>
      <c r="HYM185" s="1332"/>
      <c r="HYN185" s="1332"/>
      <c r="HYO185" s="1332"/>
      <c r="HYP185" s="1332"/>
      <c r="HYQ185" s="1332"/>
      <c r="HYR185" s="1332"/>
      <c r="HYS185" s="1332"/>
      <c r="HYT185" s="1332"/>
      <c r="HYU185" s="1332"/>
      <c r="HYV185" s="1332"/>
      <c r="HYW185" s="1332"/>
      <c r="HYX185" s="1332"/>
      <c r="HYY185" s="1332"/>
      <c r="HYZ185" s="1332"/>
      <c r="HZA185" s="1332"/>
      <c r="HZB185" s="1332"/>
      <c r="HZC185" s="1332"/>
      <c r="HZD185" s="1332"/>
      <c r="HZE185" s="1332"/>
      <c r="HZF185" s="1332"/>
      <c r="HZG185" s="1332"/>
      <c r="HZH185" s="1332"/>
      <c r="HZI185" s="1332"/>
      <c r="HZJ185" s="1332"/>
      <c r="HZK185" s="1332"/>
      <c r="HZL185" s="1332"/>
      <c r="HZM185" s="1332"/>
      <c r="HZN185" s="1332"/>
      <c r="HZO185" s="1332"/>
      <c r="HZP185" s="1332"/>
      <c r="HZQ185" s="1332"/>
      <c r="HZR185" s="1332"/>
      <c r="HZS185" s="1332"/>
      <c r="HZT185" s="1332"/>
      <c r="HZU185" s="1332"/>
      <c r="HZV185" s="1332"/>
      <c r="HZW185" s="1332"/>
      <c r="HZX185" s="1332"/>
      <c r="HZY185" s="1332"/>
      <c r="HZZ185" s="1332"/>
      <c r="IAA185" s="1332"/>
      <c r="IAB185" s="1332"/>
      <c r="IAC185" s="1332"/>
      <c r="IAD185" s="1332"/>
      <c r="IAE185" s="1332"/>
      <c r="IAF185" s="1332"/>
      <c r="IAG185" s="1332"/>
      <c r="IAH185" s="1332"/>
      <c r="IAI185" s="1332"/>
      <c r="IAJ185" s="1332"/>
      <c r="IAK185" s="1332"/>
      <c r="IAL185" s="1332"/>
      <c r="IAM185" s="1332"/>
      <c r="IAN185" s="1332"/>
      <c r="IAO185" s="1332"/>
      <c r="IAP185" s="1332"/>
      <c r="IAQ185" s="1332"/>
      <c r="IAR185" s="1332"/>
      <c r="IAS185" s="1332"/>
      <c r="IAT185" s="1332"/>
      <c r="IAU185" s="1332"/>
      <c r="IAV185" s="1332"/>
      <c r="IAW185" s="1332"/>
      <c r="IAX185" s="1332"/>
      <c r="IAY185" s="1332"/>
      <c r="IAZ185" s="1332"/>
      <c r="IBA185" s="1332"/>
      <c r="IBB185" s="1332"/>
      <c r="IBC185" s="1332"/>
      <c r="IBD185" s="1332"/>
      <c r="IBE185" s="1332"/>
      <c r="IBF185" s="1332"/>
      <c r="IBG185" s="1332"/>
      <c r="IBH185" s="1332"/>
      <c r="IBI185" s="1332"/>
      <c r="IBJ185" s="1332"/>
      <c r="IBK185" s="1332"/>
      <c r="IBL185" s="1332"/>
      <c r="IBM185" s="1332"/>
      <c r="IBN185" s="1332"/>
      <c r="IBO185" s="1332"/>
      <c r="IBP185" s="1332"/>
      <c r="IBQ185" s="1332"/>
      <c r="IBR185" s="1332"/>
      <c r="IBS185" s="1332"/>
      <c r="IBT185" s="1332"/>
      <c r="IBU185" s="1332"/>
      <c r="IBV185" s="1332"/>
      <c r="IBW185" s="1332"/>
      <c r="IBX185" s="1332"/>
      <c r="IBY185" s="1332"/>
      <c r="IBZ185" s="1332"/>
      <c r="ICA185" s="1332"/>
      <c r="ICB185" s="1332"/>
      <c r="ICC185" s="1332"/>
      <c r="ICD185" s="1332"/>
      <c r="ICE185" s="1332"/>
      <c r="ICF185" s="1332"/>
      <c r="ICG185" s="1332"/>
      <c r="ICH185" s="1332"/>
      <c r="ICI185" s="1332"/>
      <c r="ICJ185" s="1332"/>
      <c r="ICK185" s="1332"/>
      <c r="ICL185" s="1332"/>
      <c r="ICM185" s="1332"/>
      <c r="ICN185" s="1332"/>
      <c r="ICO185" s="1332"/>
      <c r="ICP185" s="1332"/>
      <c r="ICQ185" s="1332"/>
      <c r="ICR185" s="1332"/>
      <c r="ICS185" s="1332"/>
      <c r="ICT185" s="1332"/>
      <c r="ICU185" s="1332"/>
      <c r="ICV185" s="1332"/>
      <c r="ICW185" s="1332"/>
      <c r="ICX185" s="1332"/>
      <c r="ICY185" s="1332"/>
      <c r="ICZ185" s="1332"/>
      <c r="IDA185" s="1332"/>
      <c r="IDB185" s="1332"/>
      <c r="IDC185" s="1332"/>
      <c r="IDD185" s="1332"/>
      <c r="IDE185" s="1332"/>
      <c r="IDF185" s="1332"/>
      <c r="IDG185" s="1332"/>
      <c r="IDH185" s="1332"/>
      <c r="IDI185" s="1332"/>
      <c r="IDJ185" s="1332"/>
      <c r="IDK185" s="1332"/>
      <c r="IDL185" s="1332"/>
      <c r="IDM185" s="1332"/>
      <c r="IDN185" s="1332"/>
      <c r="IDO185" s="1332"/>
      <c r="IDP185" s="1332"/>
      <c r="IDQ185" s="1332"/>
      <c r="IDR185" s="1332"/>
      <c r="IDS185" s="1332"/>
      <c r="IDT185" s="1332"/>
      <c r="IDU185" s="1332"/>
      <c r="IDV185" s="1332"/>
      <c r="IDW185" s="1332"/>
      <c r="IDX185" s="1332"/>
      <c r="IDY185" s="1332"/>
      <c r="IDZ185" s="1332"/>
      <c r="IEA185" s="1332"/>
      <c r="IEB185" s="1332"/>
      <c r="IEC185" s="1332"/>
      <c r="IED185" s="1332"/>
      <c r="IEE185" s="1332"/>
      <c r="IEF185" s="1332"/>
      <c r="IEG185" s="1332"/>
      <c r="IEH185" s="1332"/>
      <c r="IEI185" s="1332"/>
      <c r="IEJ185" s="1332"/>
      <c r="IEK185" s="1332"/>
      <c r="IEL185" s="1332"/>
      <c r="IEM185" s="1332"/>
      <c r="IEN185" s="1332"/>
      <c r="IEO185" s="1332"/>
      <c r="IEP185" s="1332"/>
      <c r="IEQ185" s="1332"/>
      <c r="IER185" s="1332"/>
      <c r="IES185" s="1332"/>
      <c r="IET185" s="1332"/>
      <c r="IEU185" s="1332"/>
      <c r="IEV185" s="1332"/>
      <c r="IEW185" s="1332"/>
      <c r="IEX185" s="1332"/>
      <c r="IEY185" s="1332"/>
      <c r="IEZ185" s="1332"/>
      <c r="IFA185" s="1332"/>
      <c r="IFB185" s="1332"/>
      <c r="IFC185" s="1332"/>
      <c r="IFD185" s="1332"/>
      <c r="IFE185" s="1332"/>
      <c r="IFF185" s="1332"/>
      <c r="IFG185" s="1332"/>
      <c r="IFH185" s="1332"/>
      <c r="IFI185" s="1332"/>
      <c r="IFJ185" s="1332"/>
      <c r="IFK185" s="1332"/>
      <c r="IFL185" s="1332"/>
      <c r="IFM185" s="1332"/>
      <c r="IFN185" s="1332"/>
      <c r="IFO185" s="1332"/>
      <c r="IFP185" s="1332"/>
      <c r="IFQ185" s="1332"/>
      <c r="IFR185" s="1332"/>
      <c r="IFS185" s="1332"/>
      <c r="IFT185" s="1332"/>
      <c r="IFU185" s="1332"/>
      <c r="IFV185" s="1332"/>
      <c r="IFW185" s="1332"/>
      <c r="IFX185" s="1332"/>
      <c r="IFY185" s="1332"/>
      <c r="IFZ185" s="1332"/>
      <c r="IGA185" s="1332"/>
      <c r="IGB185" s="1332"/>
      <c r="IGC185" s="1332"/>
      <c r="IGD185" s="1332"/>
      <c r="IGE185" s="1332"/>
      <c r="IGF185" s="1332"/>
      <c r="IGG185" s="1332"/>
      <c r="IGH185" s="1332"/>
      <c r="IGI185" s="1332"/>
      <c r="IGJ185" s="1332"/>
      <c r="IGK185" s="1332"/>
      <c r="IGL185" s="1332"/>
      <c r="IGM185" s="1332"/>
      <c r="IGN185" s="1332"/>
      <c r="IGO185" s="1332"/>
      <c r="IGP185" s="1332"/>
      <c r="IGQ185" s="1332"/>
      <c r="IGR185" s="1332"/>
      <c r="IGS185" s="1332"/>
      <c r="IGT185" s="1332"/>
      <c r="IGU185" s="1332"/>
      <c r="IGV185" s="1332"/>
      <c r="IGW185" s="1332"/>
      <c r="IGX185" s="1332"/>
      <c r="IGY185" s="1332"/>
      <c r="IGZ185" s="1332"/>
      <c r="IHA185" s="1332"/>
      <c r="IHB185" s="1332"/>
      <c r="IHC185" s="1332"/>
      <c r="IHD185" s="1332"/>
      <c r="IHE185" s="1332"/>
      <c r="IHF185" s="1332"/>
      <c r="IHG185" s="1332"/>
      <c r="IHH185" s="1332"/>
      <c r="IHI185" s="1332"/>
      <c r="IHJ185" s="1332"/>
      <c r="IHK185" s="1332"/>
      <c r="IHL185" s="1332"/>
      <c r="IHM185" s="1332"/>
      <c r="IHN185" s="1332"/>
      <c r="IHO185" s="1332"/>
      <c r="IHP185" s="1332"/>
      <c r="IHQ185" s="1332"/>
      <c r="IHR185" s="1332"/>
      <c r="IHS185" s="1332"/>
      <c r="IHT185" s="1332"/>
      <c r="IHU185" s="1332"/>
      <c r="IHV185" s="1332"/>
      <c r="IHW185" s="1332"/>
      <c r="IHX185" s="1332"/>
      <c r="IHY185" s="1332"/>
      <c r="IHZ185" s="1332"/>
      <c r="IIA185" s="1332"/>
      <c r="IIB185" s="1332"/>
      <c r="IIC185" s="1332"/>
      <c r="IID185" s="1332"/>
      <c r="IIE185" s="1332"/>
      <c r="IIF185" s="1332"/>
      <c r="IIG185" s="1332"/>
      <c r="IIH185" s="1332"/>
      <c r="III185" s="1332"/>
      <c r="IIJ185" s="1332"/>
      <c r="IIK185" s="1332"/>
      <c r="IIL185" s="1332"/>
      <c r="IIM185" s="1332"/>
      <c r="IIN185" s="1332"/>
      <c r="IIO185" s="1332"/>
      <c r="IIP185" s="1332"/>
      <c r="IIQ185" s="1332"/>
      <c r="IIR185" s="1332"/>
      <c r="IIS185" s="1332"/>
      <c r="IIT185" s="1332"/>
      <c r="IIU185" s="1332"/>
      <c r="IIV185" s="1332"/>
      <c r="IIW185" s="1332"/>
      <c r="IIX185" s="1332"/>
      <c r="IIY185" s="1332"/>
      <c r="IIZ185" s="1332"/>
      <c r="IJA185" s="1332"/>
      <c r="IJB185" s="1332"/>
      <c r="IJC185" s="1332"/>
      <c r="IJD185" s="1332"/>
      <c r="IJE185" s="1332"/>
      <c r="IJF185" s="1332"/>
      <c r="IJG185" s="1332"/>
      <c r="IJH185" s="1332"/>
      <c r="IJI185" s="1332"/>
      <c r="IJJ185" s="1332"/>
      <c r="IJK185" s="1332"/>
      <c r="IJL185" s="1332"/>
      <c r="IJM185" s="1332"/>
      <c r="IJN185" s="1332"/>
      <c r="IJO185" s="1332"/>
      <c r="IJP185" s="1332"/>
      <c r="IJQ185" s="1332"/>
      <c r="IJR185" s="1332"/>
      <c r="IJS185" s="1332"/>
      <c r="IJT185" s="1332"/>
      <c r="IJU185" s="1332"/>
      <c r="IJV185" s="1332"/>
      <c r="IJW185" s="1332"/>
      <c r="IJX185" s="1332"/>
      <c r="IJY185" s="1332"/>
      <c r="IJZ185" s="1332"/>
      <c r="IKA185" s="1332"/>
      <c r="IKB185" s="1332"/>
      <c r="IKC185" s="1332"/>
      <c r="IKD185" s="1332"/>
      <c r="IKE185" s="1332"/>
      <c r="IKF185" s="1332"/>
      <c r="IKG185" s="1332"/>
      <c r="IKH185" s="1332"/>
      <c r="IKI185" s="1332"/>
      <c r="IKJ185" s="1332"/>
      <c r="IKK185" s="1332"/>
      <c r="IKL185" s="1332"/>
      <c r="IKM185" s="1332"/>
      <c r="IKN185" s="1332"/>
      <c r="IKO185" s="1332"/>
      <c r="IKP185" s="1332"/>
      <c r="IKQ185" s="1332"/>
      <c r="IKR185" s="1332"/>
      <c r="IKS185" s="1332"/>
      <c r="IKT185" s="1332"/>
      <c r="IKU185" s="1332"/>
      <c r="IKV185" s="1332"/>
      <c r="IKW185" s="1332"/>
      <c r="IKX185" s="1332"/>
      <c r="IKY185" s="1332"/>
      <c r="IKZ185" s="1332"/>
      <c r="ILA185" s="1332"/>
      <c r="ILB185" s="1332"/>
      <c r="ILC185" s="1332"/>
      <c r="ILD185" s="1332"/>
      <c r="ILE185" s="1332"/>
      <c r="ILF185" s="1332"/>
      <c r="ILG185" s="1332"/>
      <c r="ILH185" s="1332"/>
      <c r="ILI185" s="1332"/>
      <c r="ILJ185" s="1332"/>
      <c r="ILK185" s="1332"/>
      <c r="ILL185" s="1332"/>
      <c r="ILM185" s="1332"/>
      <c r="ILN185" s="1332"/>
      <c r="ILO185" s="1332"/>
      <c r="ILP185" s="1332"/>
      <c r="ILQ185" s="1332"/>
      <c r="ILR185" s="1332"/>
      <c r="ILS185" s="1332"/>
      <c r="ILT185" s="1332"/>
      <c r="ILU185" s="1332"/>
      <c r="ILV185" s="1332"/>
      <c r="ILW185" s="1332"/>
      <c r="ILX185" s="1332"/>
      <c r="ILY185" s="1332"/>
      <c r="ILZ185" s="1332"/>
      <c r="IMA185" s="1332"/>
      <c r="IMB185" s="1332"/>
      <c r="IMC185" s="1332"/>
      <c r="IMD185" s="1332"/>
      <c r="IME185" s="1332"/>
      <c r="IMF185" s="1332"/>
      <c r="IMG185" s="1332"/>
      <c r="IMH185" s="1332"/>
      <c r="IMI185" s="1332"/>
      <c r="IMJ185" s="1332"/>
      <c r="IMK185" s="1332"/>
      <c r="IML185" s="1332"/>
      <c r="IMM185" s="1332"/>
      <c r="IMN185" s="1332"/>
      <c r="IMO185" s="1332"/>
      <c r="IMP185" s="1332"/>
      <c r="IMQ185" s="1332"/>
      <c r="IMR185" s="1332"/>
      <c r="IMS185" s="1332"/>
      <c r="IMT185" s="1332"/>
      <c r="IMU185" s="1332"/>
      <c r="IMV185" s="1332"/>
      <c r="IMW185" s="1332"/>
      <c r="IMX185" s="1332"/>
      <c r="IMY185" s="1332"/>
      <c r="IMZ185" s="1332"/>
      <c r="INA185" s="1332"/>
      <c r="INB185" s="1332"/>
      <c r="INC185" s="1332"/>
      <c r="IND185" s="1332"/>
      <c r="INE185" s="1332"/>
      <c r="INF185" s="1332"/>
      <c r="ING185" s="1332"/>
      <c r="INH185" s="1332"/>
      <c r="INI185" s="1332"/>
      <c r="INJ185" s="1332"/>
      <c r="INK185" s="1332"/>
      <c r="INL185" s="1332"/>
      <c r="INM185" s="1332"/>
      <c r="INN185" s="1332"/>
      <c r="INO185" s="1332"/>
      <c r="INP185" s="1332"/>
      <c r="INQ185" s="1332"/>
      <c r="INR185" s="1332"/>
      <c r="INS185" s="1332"/>
      <c r="INT185" s="1332"/>
      <c r="INU185" s="1332"/>
      <c r="INV185" s="1332"/>
      <c r="INW185" s="1332"/>
      <c r="INX185" s="1332"/>
      <c r="INY185" s="1332"/>
      <c r="INZ185" s="1332"/>
      <c r="IOA185" s="1332"/>
      <c r="IOB185" s="1332"/>
      <c r="IOC185" s="1332"/>
      <c r="IOD185" s="1332"/>
      <c r="IOE185" s="1332"/>
      <c r="IOF185" s="1332"/>
      <c r="IOG185" s="1332"/>
      <c r="IOH185" s="1332"/>
      <c r="IOI185" s="1332"/>
      <c r="IOJ185" s="1332"/>
      <c r="IOK185" s="1332"/>
      <c r="IOL185" s="1332"/>
      <c r="IOM185" s="1332"/>
      <c r="ION185" s="1332"/>
      <c r="IOO185" s="1332"/>
      <c r="IOP185" s="1332"/>
      <c r="IOQ185" s="1332"/>
      <c r="IOR185" s="1332"/>
      <c r="IOS185" s="1332"/>
      <c r="IOT185" s="1332"/>
      <c r="IOU185" s="1332"/>
      <c r="IOV185" s="1332"/>
      <c r="IOW185" s="1332"/>
      <c r="IOX185" s="1332"/>
      <c r="IOY185" s="1332"/>
      <c r="IOZ185" s="1332"/>
      <c r="IPA185" s="1332"/>
      <c r="IPB185" s="1332"/>
      <c r="IPC185" s="1332"/>
      <c r="IPD185" s="1332"/>
      <c r="IPE185" s="1332"/>
      <c r="IPF185" s="1332"/>
      <c r="IPG185" s="1332"/>
      <c r="IPH185" s="1332"/>
      <c r="IPI185" s="1332"/>
      <c r="IPJ185" s="1332"/>
      <c r="IPK185" s="1332"/>
      <c r="IPL185" s="1332"/>
      <c r="IPM185" s="1332"/>
      <c r="IPN185" s="1332"/>
      <c r="IPO185" s="1332"/>
      <c r="IPP185" s="1332"/>
      <c r="IPQ185" s="1332"/>
      <c r="IPR185" s="1332"/>
      <c r="IPS185" s="1332"/>
      <c r="IPT185" s="1332"/>
      <c r="IPU185" s="1332"/>
      <c r="IPV185" s="1332"/>
      <c r="IPW185" s="1332"/>
      <c r="IPX185" s="1332"/>
      <c r="IPY185" s="1332"/>
      <c r="IPZ185" s="1332"/>
      <c r="IQA185" s="1332"/>
      <c r="IQB185" s="1332"/>
      <c r="IQC185" s="1332"/>
      <c r="IQD185" s="1332"/>
      <c r="IQE185" s="1332"/>
      <c r="IQF185" s="1332"/>
      <c r="IQG185" s="1332"/>
      <c r="IQH185" s="1332"/>
      <c r="IQI185" s="1332"/>
      <c r="IQJ185" s="1332"/>
      <c r="IQK185" s="1332"/>
      <c r="IQL185" s="1332"/>
      <c r="IQM185" s="1332"/>
      <c r="IQN185" s="1332"/>
      <c r="IQO185" s="1332"/>
      <c r="IQP185" s="1332"/>
      <c r="IQQ185" s="1332"/>
      <c r="IQR185" s="1332"/>
      <c r="IQS185" s="1332"/>
      <c r="IQT185" s="1332"/>
      <c r="IQU185" s="1332"/>
      <c r="IQV185" s="1332"/>
      <c r="IQW185" s="1332"/>
      <c r="IQX185" s="1332"/>
      <c r="IQY185" s="1332"/>
      <c r="IQZ185" s="1332"/>
      <c r="IRA185" s="1332"/>
      <c r="IRB185" s="1332"/>
      <c r="IRC185" s="1332"/>
      <c r="IRD185" s="1332"/>
      <c r="IRE185" s="1332"/>
      <c r="IRF185" s="1332"/>
      <c r="IRG185" s="1332"/>
      <c r="IRH185" s="1332"/>
      <c r="IRI185" s="1332"/>
      <c r="IRJ185" s="1332"/>
      <c r="IRK185" s="1332"/>
      <c r="IRL185" s="1332"/>
      <c r="IRM185" s="1332"/>
      <c r="IRN185" s="1332"/>
      <c r="IRO185" s="1332"/>
      <c r="IRP185" s="1332"/>
      <c r="IRQ185" s="1332"/>
      <c r="IRR185" s="1332"/>
      <c r="IRS185" s="1332"/>
      <c r="IRT185" s="1332"/>
      <c r="IRU185" s="1332"/>
      <c r="IRV185" s="1332"/>
      <c r="IRW185" s="1332"/>
      <c r="IRX185" s="1332"/>
      <c r="IRY185" s="1332"/>
      <c r="IRZ185" s="1332"/>
      <c r="ISA185" s="1332"/>
      <c r="ISB185" s="1332"/>
      <c r="ISC185" s="1332"/>
      <c r="ISD185" s="1332"/>
      <c r="ISE185" s="1332"/>
      <c r="ISF185" s="1332"/>
      <c r="ISG185" s="1332"/>
      <c r="ISH185" s="1332"/>
      <c r="ISI185" s="1332"/>
      <c r="ISJ185" s="1332"/>
      <c r="ISK185" s="1332"/>
      <c r="ISL185" s="1332"/>
      <c r="ISM185" s="1332"/>
      <c r="ISN185" s="1332"/>
      <c r="ISO185" s="1332"/>
      <c r="ISP185" s="1332"/>
      <c r="ISQ185" s="1332"/>
      <c r="ISR185" s="1332"/>
      <c r="ISS185" s="1332"/>
      <c r="IST185" s="1332"/>
      <c r="ISU185" s="1332"/>
      <c r="ISV185" s="1332"/>
      <c r="ISW185" s="1332"/>
      <c r="ISX185" s="1332"/>
      <c r="ISY185" s="1332"/>
      <c r="ISZ185" s="1332"/>
      <c r="ITA185" s="1332"/>
      <c r="ITB185" s="1332"/>
      <c r="ITC185" s="1332"/>
      <c r="ITD185" s="1332"/>
      <c r="ITE185" s="1332"/>
      <c r="ITF185" s="1332"/>
      <c r="ITG185" s="1332"/>
      <c r="ITH185" s="1332"/>
      <c r="ITI185" s="1332"/>
      <c r="ITJ185" s="1332"/>
      <c r="ITK185" s="1332"/>
      <c r="ITL185" s="1332"/>
      <c r="ITM185" s="1332"/>
      <c r="ITN185" s="1332"/>
      <c r="ITO185" s="1332"/>
      <c r="ITP185" s="1332"/>
      <c r="ITQ185" s="1332"/>
      <c r="ITR185" s="1332"/>
      <c r="ITS185" s="1332"/>
      <c r="ITT185" s="1332"/>
      <c r="ITU185" s="1332"/>
      <c r="ITV185" s="1332"/>
      <c r="ITW185" s="1332"/>
      <c r="ITX185" s="1332"/>
      <c r="ITY185" s="1332"/>
      <c r="ITZ185" s="1332"/>
      <c r="IUA185" s="1332"/>
      <c r="IUB185" s="1332"/>
      <c r="IUC185" s="1332"/>
      <c r="IUD185" s="1332"/>
      <c r="IUE185" s="1332"/>
      <c r="IUF185" s="1332"/>
      <c r="IUG185" s="1332"/>
      <c r="IUH185" s="1332"/>
      <c r="IUI185" s="1332"/>
      <c r="IUJ185" s="1332"/>
      <c r="IUK185" s="1332"/>
      <c r="IUL185" s="1332"/>
      <c r="IUM185" s="1332"/>
      <c r="IUN185" s="1332"/>
      <c r="IUO185" s="1332"/>
      <c r="IUP185" s="1332"/>
      <c r="IUQ185" s="1332"/>
      <c r="IUR185" s="1332"/>
      <c r="IUS185" s="1332"/>
      <c r="IUT185" s="1332"/>
      <c r="IUU185" s="1332"/>
      <c r="IUV185" s="1332"/>
      <c r="IUW185" s="1332"/>
      <c r="IUX185" s="1332"/>
      <c r="IUY185" s="1332"/>
      <c r="IUZ185" s="1332"/>
      <c r="IVA185" s="1332"/>
      <c r="IVB185" s="1332"/>
      <c r="IVC185" s="1332"/>
      <c r="IVD185" s="1332"/>
      <c r="IVE185" s="1332"/>
      <c r="IVF185" s="1332"/>
      <c r="IVG185" s="1332"/>
      <c r="IVH185" s="1332"/>
      <c r="IVI185" s="1332"/>
      <c r="IVJ185" s="1332"/>
      <c r="IVK185" s="1332"/>
      <c r="IVL185" s="1332"/>
      <c r="IVM185" s="1332"/>
      <c r="IVN185" s="1332"/>
      <c r="IVO185" s="1332"/>
      <c r="IVP185" s="1332"/>
      <c r="IVQ185" s="1332"/>
      <c r="IVR185" s="1332"/>
      <c r="IVS185" s="1332"/>
      <c r="IVT185" s="1332"/>
      <c r="IVU185" s="1332"/>
      <c r="IVV185" s="1332"/>
      <c r="IVW185" s="1332"/>
      <c r="IVX185" s="1332"/>
      <c r="IVY185" s="1332"/>
      <c r="IVZ185" s="1332"/>
      <c r="IWA185" s="1332"/>
      <c r="IWB185" s="1332"/>
      <c r="IWC185" s="1332"/>
      <c r="IWD185" s="1332"/>
      <c r="IWE185" s="1332"/>
      <c r="IWF185" s="1332"/>
      <c r="IWG185" s="1332"/>
      <c r="IWH185" s="1332"/>
      <c r="IWI185" s="1332"/>
      <c r="IWJ185" s="1332"/>
      <c r="IWK185" s="1332"/>
      <c r="IWL185" s="1332"/>
      <c r="IWM185" s="1332"/>
      <c r="IWN185" s="1332"/>
      <c r="IWO185" s="1332"/>
      <c r="IWP185" s="1332"/>
      <c r="IWQ185" s="1332"/>
      <c r="IWR185" s="1332"/>
      <c r="IWS185" s="1332"/>
      <c r="IWT185" s="1332"/>
      <c r="IWU185" s="1332"/>
      <c r="IWV185" s="1332"/>
      <c r="IWW185" s="1332"/>
      <c r="IWX185" s="1332"/>
      <c r="IWY185" s="1332"/>
      <c r="IWZ185" s="1332"/>
      <c r="IXA185" s="1332"/>
      <c r="IXB185" s="1332"/>
      <c r="IXC185" s="1332"/>
      <c r="IXD185" s="1332"/>
      <c r="IXE185" s="1332"/>
      <c r="IXF185" s="1332"/>
      <c r="IXG185" s="1332"/>
      <c r="IXH185" s="1332"/>
      <c r="IXI185" s="1332"/>
      <c r="IXJ185" s="1332"/>
      <c r="IXK185" s="1332"/>
      <c r="IXL185" s="1332"/>
      <c r="IXM185" s="1332"/>
      <c r="IXN185" s="1332"/>
      <c r="IXO185" s="1332"/>
      <c r="IXP185" s="1332"/>
      <c r="IXQ185" s="1332"/>
      <c r="IXR185" s="1332"/>
      <c r="IXS185" s="1332"/>
      <c r="IXT185" s="1332"/>
      <c r="IXU185" s="1332"/>
      <c r="IXV185" s="1332"/>
      <c r="IXW185" s="1332"/>
      <c r="IXX185" s="1332"/>
      <c r="IXY185" s="1332"/>
      <c r="IXZ185" s="1332"/>
      <c r="IYA185" s="1332"/>
      <c r="IYB185" s="1332"/>
      <c r="IYC185" s="1332"/>
      <c r="IYD185" s="1332"/>
      <c r="IYE185" s="1332"/>
      <c r="IYF185" s="1332"/>
      <c r="IYG185" s="1332"/>
      <c r="IYH185" s="1332"/>
      <c r="IYI185" s="1332"/>
      <c r="IYJ185" s="1332"/>
      <c r="IYK185" s="1332"/>
      <c r="IYL185" s="1332"/>
      <c r="IYM185" s="1332"/>
      <c r="IYN185" s="1332"/>
      <c r="IYO185" s="1332"/>
      <c r="IYP185" s="1332"/>
      <c r="IYQ185" s="1332"/>
      <c r="IYR185" s="1332"/>
      <c r="IYS185" s="1332"/>
      <c r="IYT185" s="1332"/>
      <c r="IYU185" s="1332"/>
      <c r="IYV185" s="1332"/>
      <c r="IYW185" s="1332"/>
      <c r="IYX185" s="1332"/>
      <c r="IYY185" s="1332"/>
      <c r="IYZ185" s="1332"/>
      <c r="IZA185" s="1332"/>
      <c r="IZB185" s="1332"/>
      <c r="IZC185" s="1332"/>
      <c r="IZD185" s="1332"/>
      <c r="IZE185" s="1332"/>
      <c r="IZF185" s="1332"/>
      <c r="IZG185" s="1332"/>
      <c r="IZH185" s="1332"/>
      <c r="IZI185" s="1332"/>
      <c r="IZJ185" s="1332"/>
      <c r="IZK185" s="1332"/>
      <c r="IZL185" s="1332"/>
      <c r="IZM185" s="1332"/>
      <c r="IZN185" s="1332"/>
      <c r="IZO185" s="1332"/>
      <c r="IZP185" s="1332"/>
      <c r="IZQ185" s="1332"/>
      <c r="IZR185" s="1332"/>
      <c r="IZS185" s="1332"/>
      <c r="IZT185" s="1332"/>
      <c r="IZU185" s="1332"/>
      <c r="IZV185" s="1332"/>
      <c r="IZW185" s="1332"/>
      <c r="IZX185" s="1332"/>
      <c r="IZY185" s="1332"/>
      <c r="IZZ185" s="1332"/>
      <c r="JAA185" s="1332"/>
      <c r="JAB185" s="1332"/>
      <c r="JAC185" s="1332"/>
      <c r="JAD185" s="1332"/>
      <c r="JAE185" s="1332"/>
      <c r="JAF185" s="1332"/>
      <c r="JAG185" s="1332"/>
      <c r="JAH185" s="1332"/>
      <c r="JAI185" s="1332"/>
      <c r="JAJ185" s="1332"/>
      <c r="JAK185" s="1332"/>
      <c r="JAL185" s="1332"/>
      <c r="JAM185" s="1332"/>
      <c r="JAN185" s="1332"/>
      <c r="JAO185" s="1332"/>
      <c r="JAP185" s="1332"/>
      <c r="JAQ185" s="1332"/>
      <c r="JAR185" s="1332"/>
      <c r="JAS185" s="1332"/>
      <c r="JAT185" s="1332"/>
      <c r="JAU185" s="1332"/>
      <c r="JAV185" s="1332"/>
      <c r="JAW185" s="1332"/>
      <c r="JAX185" s="1332"/>
      <c r="JAY185" s="1332"/>
      <c r="JAZ185" s="1332"/>
      <c r="JBA185" s="1332"/>
      <c r="JBB185" s="1332"/>
      <c r="JBC185" s="1332"/>
      <c r="JBD185" s="1332"/>
      <c r="JBE185" s="1332"/>
      <c r="JBF185" s="1332"/>
      <c r="JBG185" s="1332"/>
      <c r="JBH185" s="1332"/>
      <c r="JBI185" s="1332"/>
      <c r="JBJ185" s="1332"/>
      <c r="JBK185" s="1332"/>
      <c r="JBL185" s="1332"/>
      <c r="JBM185" s="1332"/>
      <c r="JBN185" s="1332"/>
      <c r="JBO185" s="1332"/>
      <c r="JBP185" s="1332"/>
      <c r="JBQ185" s="1332"/>
      <c r="JBR185" s="1332"/>
      <c r="JBS185" s="1332"/>
      <c r="JBT185" s="1332"/>
      <c r="JBU185" s="1332"/>
      <c r="JBV185" s="1332"/>
      <c r="JBW185" s="1332"/>
      <c r="JBX185" s="1332"/>
      <c r="JBY185" s="1332"/>
      <c r="JBZ185" s="1332"/>
      <c r="JCA185" s="1332"/>
      <c r="JCB185" s="1332"/>
      <c r="JCC185" s="1332"/>
      <c r="JCD185" s="1332"/>
      <c r="JCE185" s="1332"/>
      <c r="JCF185" s="1332"/>
      <c r="JCG185" s="1332"/>
      <c r="JCH185" s="1332"/>
      <c r="JCI185" s="1332"/>
      <c r="JCJ185" s="1332"/>
      <c r="JCK185" s="1332"/>
      <c r="JCL185" s="1332"/>
      <c r="JCM185" s="1332"/>
      <c r="JCN185" s="1332"/>
      <c r="JCO185" s="1332"/>
      <c r="JCP185" s="1332"/>
      <c r="JCQ185" s="1332"/>
      <c r="JCR185" s="1332"/>
      <c r="JCS185" s="1332"/>
      <c r="JCT185" s="1332"/>
      <c r="JCU185" s="1332"/>
      <c r="JCV185" s="1332"/>
      <c r="JCW185" s="1332"/>
      <c r="JCX185" s="1332"/>
      <c r="JCY185" s="1332"/>
      <c r="JCZ185" s="1332"/>
      <c r="JDA185" s="1332"/>
      <c r="JDB185" s="1332"/>
      <c r="JDC185" s="1332"/>
      <c r="JDD185" s="1332"/>
      <c r="JDE185" s="1332"/>
      <c r="JDF185" s="1332"/>
      <c r="JDG185" s="1332"/>
      <c r="JDH185" s="1332"/>
      <c r="JDI185" s="1332"/>
      <c r="JDJ185" s="1332"/>
      <c r="JDK185" s="1332"/>
      <c r="JDL185" s="1332"/>
      <c r="JDM185" s="1332"/>
      <c r="JDN185" s="1332"/>
      <c r="JDO185" s="1332"/>
      <c r="JDP185" s="1332"/>
      <c r="JDQ185" s="1332"/>
      <c r="JDR185" s="1332"/>
      <c r="JDS185" s="1332"/>
      <c r="JDT185" s="1332"/>
      <c r="JDU185" s="1332"/>
      <c r="JDV185" s="1332"/>
      <c r="JDW185" s="1332"/>
      <c r="JDX185" s="1332"/>
      <c r="JDY185" s="1332"/>
      <c r="JDZ185" s="1332"/>
      <c r="JEA185" s="1332"/>
      <c r="JEB185" s="1332"/>
      <c r="JEC185" s="1332"/>
      <c r="JED185" s="1332"/>
      <c r="JEE185" s="1332"/>
      <c r="JEF185" s="1332"/>
      <c r="JEG185" s="1332"/>
      <c r="JEH185" s="1332"/>
      <c r="JEI185" s="1332"/>
      <c r="JEJ185" s="1332"/>
      <c r="JEK185" s="1332"/>
      <c r="JEL185" s="1332"/>
      <c r="JEM185" s="1332"/>
      <c r="JEN185" s="1332"/>
      <c r="JEO185" s="1332"/>
      <c r="JEP185" s="1332"/>
      <c r="JEQ185" s="1332"/>
      <c r="JER185" s="1332"/>
      <c r="JES185" s="1332"/>
      <c r="JET185" s="1332"/>
      <c r="JEU185" s="1332"/>
      <c r="JEV185" s="1332"/>
      <c r="JEW185" s="1332"/>
      <c r="JEX185" s="1332"/>
      <c r="JEY185" s="1332"/>
      <c r="JEZ185" s="1332"/>
      <c r="JFA185" s="1332"/>
      <c r="JFB185" s="1332"/>
      <c r="JFC185" s="1332"/>
      <c r="JFD185" s="1332"/>
      <c r="JFE185" s="1332"/>
      <c r="JFF185" s="1332"/>
      <c r="JFG185" s="1332"/>
      <c r="JFH185" s="1332"/>
      <c r="JFI185" s="1332"/>
      <c r="JFJ185" s="1332"/>
      <c r="JFK185" s="1332"/>
      <c r="JFL185" s="1332"/>
      <c r="JFM185" s="1332"/>
      <c r="JFN185" s="1332"/>
      <c r="JFO185" s="1332"/>
      <c r="JFP185" s="1332"/>
      <c r="JFQ185" s="1332"/>
      <c r="JFR185" s="1332"/>
      <c r="JFS185" s="1332"/>
      <c r="JFT185" s="1332"/>
      <c r="JFU185" s="1332"/>
      <c r="JFV185" s="1332"/>
      <c r="JFW185" s="1332"/>
      <c r="JFX185" s="1332"/>
      <c r="JFY185" s="1332"/>
      <c r="JFZ185" s="1332"/>
      <c r="JGA185" s="1332"/>
      <c r="JGB185" s="1332"/>
      <c r="JGC185" s="1332"/>
      <c r="JGD185" s="1332"/>
      <c r="JGE185" s="1332"/>
      <c r="JGF185" s="1332"/>
      <c r="JGG185" s="1332"/>
      <c r="JGH185" s="1332"/>
      <c r="JGI185" s="1332"/>
      <c r="JGJ185" s="1332"/>
      <c r="JGK185" s="1332"/>
      <c r="JGL185" s="1332"/>
      <c r="JGM185" s="1332"/>
      <c r="JGN185" s="1332"/>
      <c r="JGO185" s="1332"/>
      <c r="JGP185" s="1332"/>
      <c r="JGQ185" s="1332"/>
      <c r="JGR185" s="1332"/>
      <c r="JGS185" s="1332"/>
      <c r="JGT185" s="1332"/>
      <c r="JGU185" s="1332"/>
      <c r="JGV185" s="1332"/>
      <c r="JGW185" s="1332"/>
      <c r="JGX185" s="1332"/>
      <c r="JGY185" s="1332"/>
      <c r="JGZ185" s="1332"/>
      <c r="JHA185" s="1332"/>
      <c r="JHB185" s="1332"/>
      <c r="JHC185" s="1332"/>
      <c r="JHD185" s="1332"/>
      <c r="JHE185" s="1332"/>
      <c r="JHF185" s="1332"/>
      <c r="JHG185" s="1332"/>
      <c r="JHH185" s="1332"/>
      <c r="JHI185" s="1332"/>
      <c r="JHJ185" s="1332"/>
      <c r="JHK185" s="1332"/>
      <c r="JHL185" s="1332"/>
      <c r="JHM185" s="1332"/>
      <c r="JHN185" s="1332"/>
      <c r="JHO185" s="1332"/>
      <c r="JHP185" s="1332"/>
      <c r="JHQ185" s="1332"/>
      <c r="JHR185" s="1332"/>
      <c r="JHS185" s="1332"/>
      <c r="JHT185" s="1332"/>
      <c r="JHU185" s="1332"/>
      <c r="JHV185" s="1332"/>
      <c r="JHW185" s="1332"/>
      <c r="JHX185" s="1332"/>
      <c r="JHY185" s="1332"/>
      <c r="JHZ185" s="1332"/>
      <c r="JIA185" s="1332"/>
      <c r="JIB185" s="1332"/>
      <c r="JIC185" s="1332"/>
      <c r="JID185" s="1332"/>
      <c r="JIE185" s="1332"/>
      <c r="JIF185" s="1332"/>
      <c r="JIG185" s="1332"/>
      <c r="JIH185" s="1332"/>
      <c r="JII185" s="1332"/>
      <c r="JIJ185" s="1332"/>
      <c r="JIK185" s="1332"/>
      <c r="JIL185" s="1332"/>
      <c r="JIM185" s="1332"/>
      <c r="JIN185" s="1332"/>
      <c r="JIO185" s="1332"/>
      <c r="JIP185" s="1332"/>
      <c r="JIQ185" s="1332"/>
      <c r="JIR185" s="1332"/>
      <c r="JIS185" s="1332"/>
      <c r="JIT185" s="1332"/>
      <c r="JIU185" s="1332"/>
      <c r="JIV185" s="1332"/>
      <c r="JIW185" s="1332"/>
      <c r="JIX185" s="1332"/>
      <c r="JIY185" s="1332"/>
      <c r="JIZ185" s="1332"/>
      <c r="JJA185" s="1332"/>
      <c r="JJB185" s="1332"/>
      <c r="JJC185" s="1332"/>
      <c r="JJD185" s="1332"/>
      <c r="JJE185" s="1332"/>
      <c r="JJF185" s="1332"/>
      <c r="JJG185" s="1332"/>
      <c r="JJH185" s="1332"/>
      <c r="JJI185" s="1332"/>
      <c r="JJJ185" s="1332"/>
      <c r="JJK185" s="1332"/>
      <c r="JJL185" s="1332"/>
      <c r="JJM185" s="1332"/>
      <c r="JJN185" s="1332"/>
      <c r="JJO185" s="1332"/>
      <c r="JJP185" s="1332"/>
      <c r="JJQ185" s="1332"/>
      <c r="JJR185" s="1332"/>
      <c r="JJS185" s="1332"/>
      <c r="JJT185" s="1332"/>
      <c r="JJU185" s="1332"/>
      <c r="JJV185" s="1332"/>
      <c r="JJW185" s="1332"/>
      <c r="JJX185" s="1332"/>
      <c r="JJY185" s="1332"/>
      <c r="JJZ185" s="1332"/>
      <c r="JKA185" s="1332"/>
      <c r="JKB185" s="1332"/>
      <c r="JKC185" s="1332"/>
      <c r="JKD185" s="1332"/>
      <c r="JKE185" s="1332"/>
      <c r="JKF185" s="1332"/>
      <c r="JKG185" s="1332"/>
      <c r="JKH185" s="1332"/>
      <c r="JKI185" s="1332"/>
      <c r="JKJ185" s="1332"/>
      <c r="JKK185" s="1332"/>
      <c r="JKL185" s="1332"/>
      <c r="JKM185" s="1332"/>
      <c r="JKN185" s="1332"/>
      <c r="JKO185" s="1332"/>
      <c r="JKP185" s="1332"/>
      <c r="JKQ185" s="1332"/>
      <c r="JKR185" s="1332"/>
      <c r="JKS185" s="1332"/>
      <c r="JKT185" s="1332"/>
      <c r="JKU185" s="1332"/>
      <c r="JKV185" s="1332"/>
      <c r="JKW185" s="1332"/>
      <c r="JKX185" s="1332"/>
      <c r="JKY185" s="1332"/>
      <c r="JKZ185" s="1332"/>
      <c r="JLA185" s="1332"/>
      <c r="JLB185" s="1332"/>
      <c r="JLC185" s="1332"/>
      <c r="JLD185" s="1332"/>
      <c r="JLE185" s="1332"/>
      <c r="JLF185" s="1332"/>
      <c r="JLG185" s="1332"/>
      <c r="JLH185" s="1332"/>
      <c r="JLI185" s="1332"/>
      <c r="JLJ185" s="1332"/>
      <c r="JLK185" s="1332"/>
      <c r="JLL185" s="1332"/>
      <c r="JLM185" s="1332"/>
      <c r="JLN185" s="1332"/>
      <c r="JLO185" s="1332"/>
      <c r="JLP185" s="1332"/>
      <c r="JLQ185" s="1332"/>
      <c r="JLR185" s="1332"/>
      <c r="JLS185" s="1332"/>
      <c r="JLT185" s="1332"/>
      <c r="JLU185" s="1332"/>
      <c r="JLV185" s="1332"/>
      <c r="JLW185" s="1332"/>
      <c r="JLX185" s="1332"/>
      <c r="JLY185" s="1332"/>
      <c r="JLZ185" s="1332"/>
      <c r="JMA185" s="1332"/>
      <c r="JMB185" s="1332"/>
      <c r="JMC185" s="1332"/>
      <c r="JMD185" s="1332"/>
      <c r="JME185" s="1332"/>
      <c r="JMF185" s="1332"/>
      <c r="JMG185" s="1332"/>
      <c r="JMH185" s="1332"/>
      <c r="JMI185" s="1332"/>
      <c r="JMJ185" s="1332"/>
      <c r="JMK185" s="1332"/>
      <c r="JML185" s="1332"/>
      <c r="JMM185" s="1332"/>
      <c r="JMN185" s="1332"/>
      <c r="JMO185" s="1332"/>
      <c r="JMP185" s="1332"/>
      <c r="JMQ185" s="1332"/>
      <c r="JMR185" s="1332"/>
      <c r="JMS185" s="1332"/>
      <c r="JMT185" s="1332"/>
      <c r="JMU185" s="1332"/>
      <c r="JMV185" s="1332"/>
      <c r="JMW185" s="1332"/>
      <c r="JMX185" s="1332"/>
      <c r="JMY185" s="1332"/>
      <c r="JMZ185" s="1332"/>
      <c r="JNA185" s="1332"/>
      <c r="JNB185" s="1332"/>
      <c r="JNC185" s="1332"/>
      <c r="JND185" s="1332"/>
      <c r="JNE185" s="1332"/>
      <c r="JNF185" s="1332"/>
      <c r="JNG185" s="1332"/>
      <c r="JNH185" s="1332"/>
      <c r="JNI185" s="1332"/>
      <c r="JNJ185" s="1332"/>
      <c r="JNK185" s="1332"/>
      <c r="JNL185" s="1332"/>
      <c r="JNM185" s="1332"/>
      <c r="JNN185" s="1332"/>
      <c r="JNO185" s="1332"/>
      <c r="JNP185" s="1332"/>
      <c r="JNQ185" s="1332"/>
      <c r="JNR185" s="1332"/>
      <c r="JNS185" s="1332"/>
      <c r="JNT185" s="1332"/>
      <c r="JNU185" s="1332"/>
      <c r="JNV185" s="1332"/>
      <c r="JNW185" s="1332"/>
      <c r="JNX185" s="1332"/>
      <c r="JNY185" s="1332"/>
      <c r="JNZ185" s="1332"/>
      <c r="JOA185" s="1332"/>
      <c r="JOB185" s="1332"/>
      <c r="JOC185" s="1332"/>
      <c r="JOD185" s="1332"/>
      <c r="JOE185" s="1332"/>
      <c r="JOF185" s="1332"/>
      <c r="JOG185" s="1332"/>
      <c r="JOH185" s="1332"/>
      <c r="JOI185" s="1332"/>
      <c r="JOJ185" s="1332"/>
      <c r="JOK185" s="1332"/>
      <c r="JOL185" s="1332"/>
      <c r="JOM185" s="1332"/>
      <c r="JON185" s="1332"/>
      <c r="JOO185" s="1332"/>
      <c r="JOP185" s="1332"/>
      <c r="JOQ185" s="1332"/>
      <c r="JOR185" s="1332"/>
      <c r="JOS185" s="1332"/>
      <c r="JOT185" s="1332"/>
      <c r="JOU185" s="1332"/>
      <c r="JOV185" s="1332"/>
      <c r="JOW185" s="1332"/>
      <c r="JOX185" s="1332"/>
      <c r="JOY185" s="1332"/>
      <c r="JOZ185" s="1332"/>
      <c r="JPA185" s="1332"/>
      <c r="JPB185" s="1332"/>
      <c r="JPC185" s="1332"/>
      <c r="JPD185" s="1332"/>
      <c r="JPE185" s="1332"/>
      <c r="JPF185" s="1332"/>
      <c r="JPG185" s="1332"/>
      <c r="JPH185" s="1332"/>
      <c r="JPI185" s="1332"/>
      <c r="JPJ185" s="1332"/>
      <c r="JPK185" s="1332"/>
      <c r="JPL185" s="1332"/>
      <c r="JPM185" s="1332"/>
      <c r="JPN185" s="1332"/>
      <c r="JPO185" s="1332"/>
      <c r="JPP185" s="1332"/>
      <c r="JPQ185" s="1332"/>
      <c r="JPR185" s="1332"/>
      <c r="JPS185" s="1332"/>
      <c r="JPT185" s="1332"/>
      <c r="JPU185" s="1332"/>
      <c r="JPV185" s="1332"/>
      <c r="JPW185" s="1332"/>
      <c r="JPX185" s="1332"/>
      <c r="JPY185" s="1332"/>
      <c r="JPZ185" s="1332"/>
      <c r="JQA185" s="1332"/>
      <c r="JQB185" s="1332"/>
      <c r="JQC185" s="1332"/>
      <c r="JQD185" s="1332"/>
      <c r="JQE185" s="1332"/>
      <c r="JQF185" s="1332"/>
      <c r="JQG185" s="1332"/>
      <c r="JQH185" s="1332"/>
      <c r="JQI185" s="1332"/>
      <c r="JQJ185" s="1332"/>
      <c r="JQK185" s="1332"/>
      <c r="JQL185" s="1332"/>
      <c r="JQM185" s="1332"/>
      <c r="JQN185" s="1332"/>
      <c r="JQO185" s="1332"/>
      <c r="JQP185" s="1332"/>
      <c r="JQQ185" s="1332"/>
      <c r="JQR185" s="1332"/>
      <c r="JQS185" s="1332"/>
      <c r="JQT185" s="1332"/>
      <c r="JQU185" s="1332"/>
      <c r="JQV185" s="1332"/>
      <c r="JQW185" s="1332"/>
      <c r="JQX185" s="1332"/>
      <c r="JQY185" s="1332"/>
      <c r="JQZ185" s="1332"/>
      <c r="JRA185" s="1332"/>
      <c r="JRB185" s="1332"/>
      <c r="JRC185" s="1332"/>
      <c r="JRD185" s="1332"/>
      <c r="JRE185" s="1332"/>
      <c r="JRF185" s="1332"/>
      <c r="JRG185" s="1332"/>
      <c r="JRH185" s="1332"/>
      <c r="JRI185" s="1332"/>
      <c r="JRJ185" s="1332"/>
      <c r="JRK185" s="1332"/>
      <c r="JRL185" s="1332"/>
      <c r="JRM185" s="1332"/>
      <c r="JRN185" s="1332"/>
      <c r="JRO185" s="1332"/>
      <c r="JRP185" s="1332"/>
      <c r="JRQ185" s="1332"/>
      <c r="JRR185" s="1332"/>
      <c r="JRS185" s="1332"/>
      <c r="JRT185" s="1332"/>
      <c r="JRU185" s="1332"/>
      <c r="JRV185" s="1332"/>
      <c r="JRW185" s="1332"/>
      <c r="JRX185" s="1332"/>
      <c r="JRY185" s="1332"/>
      <c r="JRZ185" s="1332"/>
      <c r="JSA185" s="1332"/>
      <c r="JSB185" s="1332"/>
      <c r="JSC185" s="1332"/>
      <c r="JSD185" s="1332"/>
      <c r="JSE185" s="1332"/>
      <c r="JSF185" s="1332"/>
      <c r="JSG185" s="1332"/>
      <c r="JSH185" s="1332"/>
      <c r="JSI185" s="1332"/>
      <c r="JSJ185" s="1332"/>
      <c r="JSK185" s="1332"/>
      <c r="JSL185" s="1332"/>
      <c r="JSM185" s="1332"/>
      <c r="JSN185" s="1332"/>
      <c r="JSO185" s="1332"/>
      <c r="JSP185" s="1332"/>
      <c r="JSQ185" s="1332"/>
      <c r="JSR185" s="1332"/>
      <c r="JSS185" s="1332"/>
      <c r="JST185" s="1332"/>
      <c r="JSU185" s="1332"/>
      <c r="JSV185" s="1332"/>
      <c r="JSW185" s="1332"/>
      <c r="JSX185" s="1332"/>
      <c r="JSY185" s="1332"/>
      <c r="JSZ185" s="1332"/>
      <c r="JTA185" s="1332"/>
      <c r="JTB185" s="1332"/>
      <c r="JTC185" s="1332"/>
      <c r="JTD185" s="1332"/>
      <c r="JTE185" s="1332"/>
      <c r="JTF185" s="1332"/>
      <c r="JTG185" s="1332"/>
      <c r="JTH185" s="1332"/>
      <c r="JTI185" s="1332"/>
      <c r="JTJ185" s="1332"/>
      <c r="JTK185" s="1332"/>
      <c r="JTL185" s="1332"/>
      <c r="JTM185" s="1332"/>
      <c r="JTN185" s="1332"/>
      <c r="JTO185" s="1332"/>
      <c r="JTP185" s="1332"/>
      <c r="JTQ185" s="1332"/>
      <c r="JTR185" s="1332"/>
      <c r="JTS185" s="1332"/>
      <c r="JTT185" s="1332"/>
      <c r="JTU185" s="1332"/>
      <c r="JTV185" s="1332"/>
      <c r="JTW185" s="1332"/>
      <c r="JTX185" s="1332"/>
      <c r="JTY185" s="1332"/>
      <c r="JTZ185" s="1332"/>
      <c r="JUA185" s="1332"/>
      <c r="JUB185" s="1332"/>
      <c r="JUC185" s="1332"/>
      <c r="JUD185" s="1332"/>
      <c r="JUE185" s="1332"/>
      <c r="JUF185" s="1332"/>
      <c r="JUG185" s="1332"/>
      <c r="JUH185" s="1332"/>
      <c r="JUI185" s="1332"/>
      <c r="JUJ185" s="1332"/>
      <c r="JUK185" s="1332"/>
      <c r="JUL185" s="1332"/>
      <c r="JUM185" s="1332"/>
      <c r="JUN185" s="1332"/>
      <c r="JUO185" s="1332"/>
      <c r="JUP185" s="1332"/>
      <c r="JUQ185" s="1332"/>
      <c r="JUR185" s="1332"/>
      <c r="JUS185" s="1332"/>
      <c r="JUT185" s="1332"/>
      <c r="JUU185" s="1332"/>
      <c r="JUV185" s="1332"/>
      <c r="JUW185" s="1332"/>
      <c r="JUX185" s="1332"/>
      <c r="JUY185" s="1332"/>
      <c r="JUZ185" s="1332"/>
      <c r="JVA185" s="1332"/>
      <c r="JVB185" s="1332"/>
      <c r="JVC185" s="1332"/>
      <c r="JVD185" s="1332"/>
      <c r="JVE185" s="1332"/>
      <c r="JVF185" s="1332"/>
      <c r="JVG185" s="1332"/>
      <c r="JVH185" s="1332"/>
      <c r="JVI185" s="1332"/>
      <c r="JVJ185" s="1332"/>
      <c r="JVK185" s="1332"/>
      <c r="JVL185" s="1332"/>
      <c r="JVM185" s="1332"/>
      <c r="JVN185" s="1332"/>
      <c r="JVO185" s="1332"/>
      <c r="JVP185" s="1332"/>
      <c r="JVQ185" s="1332"/>
      <c r="JVR185" s="1332"/>
      <c r="JVS185" s="1332"/>
      <c r="JVT185" s="1332"/>
      <c r="JVU185" s="1332"/>
      <c r="JVV185" s="1332"/>
      <c r="JVW185" s="1332"/>
      <c r="JVX185" s="1332"/>
      <c r="JVY185" s="1332"/>
      <c r="JVZ185" s="1332"/>
      <c r="JWA185" s="1332"/>
      <c r="JWB185" s="1332"/>
      <c r="JWC185" s="1332"/>
      <c r="JWD185" s="1332"/>
      <c r="JWE185" s="1332"/>
      <c r="JWF185" s="1332"/>
      <c r="JWG185" s="1332"/>
      <c r="JWH185" s="1332"/>
      <c r="JWI185" s="1332"/>
      <c r="JWJ185" s="1332"/>
      <c r="JWK185" s="1332"/>
      <c r="JWL185" s="1332"/>
      <c r="JWM185" s="1332"/>
      <c r="JWN185" s="1332"/>
      <c r="JWO185" s="1332"/>
      <c r="JWP185" s="1332"/>
      <c r="JWQ185" s="1332"/>
      <c r="JWR185" s="1332"/>
      <c r="JWS185" s="1332"/>
      <c r="JWT185" s="1332"/>
      <c r="JWU185" s="1332"/>
      <c r="JWV185" s="1332"/>
      <c r="JWW185" s="1332"/>
      <c r="JWX185" s="1332"/>
      <c r="JWY185" s="1332"/>
      <c r="JWZ185" s="1332"/>
      <c r="JXA185" s="1332"/>
      <c r="JXB185" s="1332"/>
      <c r="JXC185" s="1332"/>
      <c r="JXD185" s="1332"/>
      <c r="JXE185" s="1332"/>
      <c r="JXF185" s="1332"/>
      <c r="JXG185" s="1332"/>
      <c r="JXH185" s="1332"/>
      <c r="JXI185" s="1332"/>
      <c r="JXJ185" s="1332"/>
      <c r="JXK185" s="1332"/>
      <c r="JXL185" s="1332"/>
      <c r="JXM185" s="1332"/>
      <c r="JXN185" s="1332"/>
      <c r="JXO185" s="1332"/>
      <c r="JXP185" s="1332"/>
      <c r="JXQ185" s="1332"/>
      <c r="JXR185" s="1332"/>
      <c r="JXS185" s="1332"/>
      <c r="JXT185" s="1332"/>
      <c r="JXU185" s="1332"/>
      <c r="JXV185" s="1332"/>
      <c r="JXW185" s="1332"/>
      <c r="JXX185" s="1332"/>
      <c r="JXY185" s="1332"/>
      <c r="JXZ185" s="1332"/>
      <c r="JYA185" s="1332"/>
      <c r="JYB185" s="1332"/>
      <c r="JYC185" s="1332"/>
      <c r="JYD185" s="1332"/>
      <c r="JYE185" s="1332"/>
      <c r="JYF185" s="1332"/>
      <c r="JYG185" s="1332"/>
      <c r="JYH185" s="1332"/>
      <c r="JYI185" s="1332"/>
      <c r="JYJ185" s="1332"/>
      <c r="JYK185" s="1332"/>
      <c r="JYL185" s="1332"/>
      <c r="JYM185" s="1332"/>
      <c r="JYN185" s="1332"/>
      <c r="JYO185" s="1332"/>
      <c r="JYP185" s="1332"/>
      <c r="JYQ185" s="1332"/>
      <c r="JYR185" s="1332"/>
      <c r="JYS185" s="1332"/>
      <c r="JYT185" s="1332"/>
      <c r="JYU185" s="1332"/>
      <c r="JYV185" s="1332"/>
      <c r="JYW185" s="1332"/>
      <c r="JYX185" s="1332"/>
      <c r="JYY185" s="1332"/>
      <c r="JYZ185" s="1332"/>
      <c r="JZA185" s="1332"/>
      <c r="JZB185" s="1332"/>
      <c r="JZC185" s="1332"/>
      <c r="JZD185" s="1332"/>
      <c r="JZE185" s="1332"/>
      <c r="JZF185" s="1332"/>
      <c r="JZG185" s="1332"/>
      <c r="JZH185" s="1332"/>
      <c r="JZI185" s="1332"/>
      <c r="JZJ185" s="1332"/>
      <c r="JZK185" s="1332"/>
      <c r="JZL185" s="1332"/>
      <c r="JZM185" s="1332"/>
      <c r="JZN185" s="1332"/>
      <c r="JZO185" s="1332"/>
      <c r="JZP185" s="1332"/>
      <c r="JZQ185" s="1332"/>
      <c r="JZR185" s="1332"/>
      <c r="JZS185" s="1332"/>
      <c r="JZT185" s="1332"/>
      <c r="JZU185" s="1332"/>
      <c r="JZV185" s="1332"/>
      <c r="JZW185" s="1332"/>
      <c r="JZX185" s="1332"/>
      <c r="JZY185" s="1332"/>
      <c r="JZZ185" s="1332"/>
      <c r="KAA185" s="1332"/>
      <c r="KAB185" s="1332"/>
      <c r="KAC185" s="1332"/>
      <c r="KAD185" s="1332"/>
      <c r="KAE185" s="1332"/>
      <c r="KAF185" s="1332"/>
      <c r="KAG185" s="1332"/>
      <c r="KAH185" s="1332"/>
      <c r="KAI185" s="1332"/>
      <c r="KAJ185" s="1332"/>
      <c r="KAK185" s="1332"/>
      <c r="KAL185" s="1332"/>
      <c r="KAM185" s="1332"/>
      <c r="KAN185" s="1332"/>
      <c r="KAO185" s="1332"/>
      <c r="KAP185" s="1332"/>
      <c r="KAQ185" s="1332"/>
      <c r="KAR185" s="1332"/>
      <c r="KAS185" s="1332"/>
      <c r="KAT185" s="1332"/>
      <c r="KAU185" s="1332"/>
      <c r="KAV185" s="1332"/>
      <c r="KAW185" s="1332"/>
      <c r="KAX185" s="1332"/>
      <c r="KAY185" s="1332"/>
      <c r="KAZ185" s="1332"/>
      <c r="KBA185" s="1332"/>
      <c r="KBB185" s="1332"/>
      <c r="KBC185" s="1332"/>
      <c r="KBD185" s="1332"/>
      <c r="KBE185" s="1332"/>
      <c r="KBF185" s="1332"/>
      <c r="KBG185" s="1332"/>
      <c r="KBH185" s="1332"/>
      <c r="KBI185" s="1332"/>
      <c r="KBJ185" s="1332"/>
      <c r="KBK185" s="1332"/>
      <c r="KBL185" s="1332"/>
      <c r="KBM185" s="1332"/>
      <c r="KBN185" s="1332"/>
      <c r="KBO185" s="1332"/>
      <c r="KBP185" s="1332"/>
      <c r="KBQ185" s="1332"/>
      <c r="KBR185" s="1332"/>
      <c r="KBS185" s="1332"/>
      <c r="KBT185" s="1332"/>
      <c r="KBU185" s="1332"/>
      <c r="KBV185" s="1332"/>
      <c r="KBW185" s="1332"/>
      <c r="KBX185" s="1332"/>
      <c r="KBY185" s="1332"/>
      <c r="KBZ185" s="1332"/>
      <c r="KCA185" s="1332"/>
      <c r="KCB185" s="1332"/>
      <c r="KCC185" s="1332"/>
      <c r="KCD185" s="1332"/>
      <c r="KCE185" s="1332"/>
      <c r="KCF185" s="1332"/>
      <c r="KCG185" s="1332"/>
      <c r="KCH185" s="1332"/>
      <c r="KCI185" s="1332"/>
      <c r="KCJ185" s="1332"/>
      <c r="KCK185" s="1332"/>
      <c r="KCL185" s="1332"/>
      <c r="KCM185" s="1332"/>
      <c r="KCN185" s="1332"/>
      <c r="KCO185" s="1332"/>
      <c r="KCP185" s="1332"/>
      <c r="KCQ185" s="1332"/>
      <c r="KCR185" s="1332"/>
      <c r="KCS185" s="1332"/>
      <c r="KCT185" s="1332"/>
      <c r="KCU185" s="1332"/>
      <c r="KCV185" s="1332"/>
      <c r="KCW185" s="1332"/>
      <c r="KCX185" s="1332"/>
      <c r="KCY185" s="1332"/>
      <c r="KCZ185" s="1332"/>
      <c r="KDA185" s="1332"/>
      <c r="KDB185" s="1332"/>
      <c r="KDC185" s="1332"/>
      <c r="KDD185" s="1332"/>
      <c r="KDE185" s="1332"/>
      <c r="KDF185" s="1332"/>
      <c r="KDG185" s="1332"/>
      <c r="KDH185" s="1332"/>
      <c r="KDI185" s="1332"/>
      <c r="KDJ185" s="1332"/>
      <c r="KDK185" s="1332"/>
      <c r="KDL185" s="1332"/>
      <c r="KDM185" s="1332"/>
      <c r="KDN185" s="1332"/>
      <c r="KDO185" s="1332"/>
      <c r="KDP185" s="1332"/>
      <c r="KDQ185" s="1332"/>
      <c r="KDR185" s="1332"/>
      <c r="KDS185" s="1332"/>
      <c r="KDT185" s="1332"/>
      <c r="KDU185" s="1332"/>
      <c r="KDV185" s="1332"/>
      <c r="KDW185" s="1332"/>
      <c r="KDX185" s="1332"/>
      <c r="KDY185" s="1332"/>
      <c r="KDZ185" s="1332"/>
      <c r="KEA185" s="1332"/>
      <c r="KEB185" s="1332"/>
      <c r="KEC185" s="1332"/>
      <c r="KED185" s="1332"/>
      <c r="KEE185" s="1332"/>
      <c r="KEF185" s="1332"/>
      <c r="KEG185" s="1332"/>
      <c r="KEH185" s="1332"/>
      <c r="KEI185" s="1332"/>
      <c r="KEJ185" s="1332"/>
      <c r="KEK185" s="1332"/>
      <c r="KEL185" s="1332"/>
      <c r="KEM185" s="1332"/>
      <c r="KEN185" s="1332"/>
      <c r="KEO185" s="1332"/>
      <c r="KEP185" s="1332"/>
      <c r="KEQ185" s="1332"/>
      <c r="KER185" s="1332"/>
      <c r="KES185" s="1332"/>
      <c r="KET185" s="1332"/>
      <c r="KEU185" s="1332"/>
      <c r="KEV185" s="1332"/>
      <c r="KEW185" s="1332"/>
      <c r="KEX185" s="1332"/>
      <c r="KEY185" s="1332"/>
      <c r="KEZ185" s="1332"/>
      <c r="KFA185" s="1332"/>
      <c r="KFB185" s="1332"/>
      <c r="KFC185" s="1332"/>
      <c r="KFD185" s="1332"/>
      <c r="KFE185" s="1332"/>
      <c r="KFF185" s="1332"/>
      <c r="KFG185" s="1332"/>
      <c r="KFH185" s="1332"/>
      <c r="KFI185" s="1332"/>
      <c r="KFJ185" s="1332"/>
      <c r="KFK185" s="1332"/>
      <c r="KFL185" s="1332"/>
      <c r="KFM185" s="1332"/>
      <c r="KFN185" s="1332"/>
      <c r="KFO185" s="1332"/>
      <c r="KFP185" s="1332"/>
      <c r="KFQ185" s="1332"/>
      <c r="KFR185" s="1332"/>
      <c r="KFS185" s="1332"/>
      <c r="KFT185" s="1332"/>
      <c r="KFU185" s="1332"/>
      <c r="KFV185" s="1332"/>
      <c r="KFW185" s="1332"/>
      <c r="KFX185" s="1332"/>
      <c r="KFY185" s="1332"/>
      <c r="KFZ185" s="1332"/>
      <c r="KGA185" s="1332"/>
      <c r="KGB185" s="1332"/>
      <c r="KGC185" s="1332"/>
      <c r="KGD185" s="1332"/>
      <c r="KGE185" s="1332"/>
      <c r="KGF185" s="1332"/>
      <c r="KGG185" s="1332"/>
      <c r="KGH185" s="1332"/>
      <c r="KGI185" s="1332"/>
      <c r="KGJ185" s="1332"/>
      <c r="KGK185" s="1332"/>
      <c r="KGL185" s="1332"/>
      <c r="KGM185" s="1332"/>
      <c r="KGN185" s="1332"/>
      <c r="KGO185" s="1332"/>
      <c r="KGP185" s="1332"/>
      <c r="KGQ185" s="1332"/>
      <c r="KGR185" s="1332"/>
      <c r="KGS185" s="1332"/>
      <c r="KGT185" s="1332"/>
      <c r="KGU185" s="1332"/>
      <c r="KGV185" s="1332"/>
      <c r="KGW185" s="1332"/>
      <c r="KGX185" s="1332"/>
      <c r="KGY185" s="1332"/>
      <c r="KGZ185" s="1332"/>
      <c r="KHA185" s="1332"/>
      <c r="KHB185" s="1332"/>
      <c r="KHC185" s="1332"/>
      <c r="KHD185" s="1332"/>
      <c r="KHE185" s="1332"/>
      <c r="KHF185" s="1332"/>
      <c r="KHG185" s="1332"/>
      <c r="KHH185" s="1332"/>
      <c r="KHI185" s="1332"/>
      <c r="KHJ185" s="1332"/>
      <c r="KHK185" s="1332"/>
      <c r="KHL185" s="1332"/>
      <c r="KHM185" s="1332"/>
      <c r="KHN185" s="1332"/>
      <c r="KHO185" s="1332"/>
      <c r="KHP185" s="1332"/>
      <c r="KHQ185" s="1332"/>
      <c r="KHR185" s="1332"/>
      <c r="KHS185" s="1332"/>
      <c r="KHT185" s="1332"/>
      <c r="KHU185" s="1332"/>
      <c r="KHV185" s="1332"/>
      <c r="KHW185" s="1332"/>
      <c r="KHX185" s="1332"/>
      <c r="KHY185" s="1332"/>
      <c r="KHZ185" s="1332"/>
      <c r="KIA185" s="1332"/>
      <c r="KIB185" s="1332"/>
      <c r="KIC185" s="1332"/>
      <c r="KID185" s="1332"/>
      <c r="KIE185" s="1332"/>
      <c r="KIF185" s="1332"/>
      <c r="KIG185" s="1332"/>
      <c r="KIH185" s="1332"/>
      <c r="KII185" s="1332"/>
      <c r="KIJ185" s="1332"/>
      <c r="KIK185" s="1332"/>
      <c r="KIL185" s="1332"/>
      <c r="KIM185" s="1332"/>
      <c r="KIN185" s="1332"/>
      <c r="KIO185" s="1332"/>
      <c r="KIP185" s="1332"/>
      <c r="KIQ185" s="1332"/>
      <c r="KIR185" s="1332"/>
      <c r="KIS185" s="1332"/>
      <c r="KIT185" s="1332"/>
      <c r="KIU185" s="1332"/>
      <c r="KIV185" s="1332"/>
      <c r="KIW185" s="1332"/>
      <c r="KIX185" s="1332"/>
      <c r="KIY185" s="1332"/>
      <c r="KIZ185" s="1332"/>
      <c r="KJA185" s="1332"/>
      <c r="KJB185" s="1332"/>
      <c r="KJC185" s="1332"/>
      <c r="KJD185" s="1332"/>
      <c r="KJE185" s="1332"/>
      <c r="KJF185" s="1332"/>
      <c r="KJG185" s="1332"/>
      <c r="KJH185" s="1332"/>
      <c r="KJI185" s="1332"/>
      <c r="KJJ185" s="1332"/>
      <c r="KJK185" s="1332"/>
      <c r="KJL185" s="1332"/>
      <c r="KJM185" s="1332"/>
      <c r="KJN185" s="1332"/>
      <c r="KJO185" s="1332"/>
      <c r="KJP185" s="1332"/>
      <c r="KJQ185" s="1332"/>
      <c r="KJR185" s="1332"/>
      <c r="KJS185" s="1332"/>
      <c r="KJT185" s="1332"/>
      <c r="KJU185" s="1332"/>
      <c r="KJV185" s="1332"/>
      <c r="KJW185" s="1332"/>
      <c r="KJX185" s="1332"/>
      <c r="KJY185" s="1332"/>
      <c r="KJZ185" s="1332"/>
      <c r="KKA185" s="1332"/>
      <c r="KKB185" s="1332"/>
      <c r="KKC185" s="1332"/>
      <c r="KKD185" s="1332"/>
      <c r="KKE185" s="1332"/>
      <c r="KKF185" s="1332"/>
      <c r="KKG185" s="1332"/>
      <c r="KKH185" s="1332"/>
      <c r="KKI185" s="1332"/>
      <c r="KKJ185" s="1332"/>
      <c r="KKK185" s="1332"/>
      <c r="KKL185" s="1332"/>
      <c r="KKM185" s="1332"/>
      <c r="KKN185" s="1332"/>
      <c r="KKO185" s="1332"/>
      <c r="KKP185" s="1332"/>
      <c r="KKQ185" s="1332"/>
      <c r="KKR185" s="1332"/>
      <c r="KKS185" s="1332"/>
      <c r="KKT185" s="1332"/>
      <c r="KKU185" s="1332"/>
      <c r="KKV185" s="1332"/>
      <c r="KKW185" s="1332"/>
      <c r="KKX185" s="1332"/>
      <c r="KKY185" s="1332"/>
      <c r="KKZ185" s="1332"/>
      <c r="KLA185" s="1332"/>
      <c r="KLB185" s="1332"/>
      <c r="KLC185" s="1332"/>
      <c r="KLD185" s="1332"/>
      <c r="KLE185" s="1332"/>
      <c r="KLF185" s="1332"/>
      <c r="KLG185" s="1332"/>
      <c r="KLH185" s="1332"/>
      <c r="KLI185" s="1332"/>
      <c r="KLJ185" s="1332"/>
      <c r="KLK185" s="1332"/>
      <c r="KLL185" s="1332"/>
      <c r="KLM185" s="1332"/>
      <c r="KLN185" s="1332"/>
      <c r="KLO185" s="1332"/>
      <c r="KLP185" s="1332"/>
      <c r="KLQ185" s="1332"/>
      <c r="KLR185" s="1332"/>
      <c r="KLS185" s="1332"/>
      <c r="KLT185" s="1332"/>
      <c r="KLU185" s="1332"/>
      <c r="KLV185" s="1332"/>
      <c r="KLW185" s="1332"/>
      <c r="KLX185" s="1332"/>
      <c r="KLY185" s="1332"/>
      <c r="KLZ185" s="1332"/>
      <c r="KMA185" s="1332"/>
      <c r="KMB185" s="1332"/>
      <c r="KMC185" s="1332"/>
      <c r="KMD185" s="1332"/>
      <c r="KME185" s="1332"/>
      <c r="KMF185" s="1332"/>
      <c r="KMG185" s="1332"/>
      <c r="KMH185" s="1332"/>
      <c r="KMI185" s="1332"/>
      <c r="KMJ185" s="1332"/>
      <c r="KMK185" s="1332"/>
      <c r="KML185" s="1332"/>
      <c r="KMM185" s="1332"/>
      <c r="KMN185" s="1332"/>
      <c r="KMO185" s="1332"/>
      <c r="KMP185" s="1332"/>
      <c r="KMQ185" s="1332"/>
      <c r="KMR185" s="1332"/>
      <c r="KMS185" s="1332"/>
      <c r="KMT185" s="1332"/>
      <c r="KMU185" s="1332"/>
      <c r="KMV185" s="1332"/>
      <c r="KMW185" s="1332"/>
      <c r="KMX185" s="1332"/>
      <c r="KMY185" s="1332"/>
      <c r="KMZ185" s="1332"/>
      <c r="KNA185" s="1332"/>
      <c r="KNB185" s="1332"/>
      <c r="KNC185" s="1332"/>
      <c r="KND185" s="1332"/>
      <c r="KNE185" s="1332"/>
      <c r="KNF185" s="1332"/>
      <c r="KNG185" s="1332"/>
      <c r="KNH185" s="1332"/>
      <c r="KNI185" s="1332"/>
      <c r="KNJ185" s="1332"/>
      <c r="KNK185" s="1332"/>
      <c r="KNL185" s="1332"/>
      <c r="KNM185" s="1332"/>
      <c r="KNN185" s="1332"/>
      <c r="KNO185" s="1332"/>
      <c r="KNP185" s="1332"/>
      <c r="KNQ185" s="1332"/>
      <c r="KNR185" s="1332"/>
      <c r="KNS185" s="1332"/>
      <c r="KNT185" s="1332"/>
      <c r="KNU185" s="1332"/>
      <c r="KNV185" s="1332"/>
      <c r="KNW185" s="1332"/>
      <c r="KNX185" s="1332"/>
      <c r="KNY185" s="1332"/>
      <c r="KNZ185" s="1332"/>
      <c r="KOA185" s="1332"/>
      <c r="KOB185" s="1332"/>
      <c r="KOC185" s="1332"/>
      <c r="KOD185" s="1332"/>
      <c r="KOE185" s="1332"/>
      <c r="KOF185" s="1332"/>
      <c r="KOG185" s="1332"/>
      <c r="KOH185" s="1332"/>
      <c r="KOI185" s="1332"/>
      <c r="KOJ185" s="1332"/>
      <c r="KOK185" s="1332"/>
      <c r="KOL185" s="1332"/>
      <c r="KOM185" s="1332"/>
      <c r="KON185" s="1332"/>
      <c r="KOO185" s="1332"/>
      <c r="KOP185" s="1332"/>
      <c r="KOQ185" s="1332"/>
      <c r="KOR185" s="1332"/>
      <c r="KOS185" s="1332"/>
      <c r="KOT185" s="1332"/>
      <c r="KOU185" s="1332"/>
      <c r="KOV185" s="1332"/>
      <c r="KOW185" s="1332"/>
      <c r="KOX185" s="1332"/>
      <c r="KOY185" s="1332"/>
      <c r="KOZ185" s="1332"/>
      <c r="KPA185" s="1332"/>
      <c r="KPB185" s="1332"/>
      <c r="KPC185" s="1332"/>
      <c r="KPD185" s="1332"/>
      <c r="KPE185" s="1332"/>
      <c r="KPF185" s="1332"/>
      <c r="KPG185" s="1332"/>
      <c r="KPH185" s="1332"/>
      <c r="KPI185" s="1332"/>
      <c r="KPJ185" s="1332"/>
      <c r="KPK185" s="1332"/>
      <c r="KPL185" s="1332"/>
      <c r="KPM185" s="1332"/>
      <c r="KPN185" s="1332"/>
      <c r="KPO185" s="1332"/>
      <c r="KPP185" s="1332"/>
      <c r="KPQ185" s="1332"/>
      <c r="KPR185" s="1332"/>
      <c r="KPS185" s="1332"/>
      <c r="KPT185" s="1332"/>
      <c r="KPU185" s="1332"/>
      <c r="KPV185" s="1332"/>
      <c r="KPW185" s="1332"/>
      <c r="KPX185" s="1332"/>
      <c r="KPY185" s="1332"/>
      <c r="KPZ185" s="1332"/>
      <c r="KQA185" s="1332"/>
      <c r="KQB185" s="1332"/>
      <c r="KQC185" s="1332"/>
      <c r="KQD185" s="1332"/>
      <c r="KQE185" s="1332"/>
      <c r="KQF185" s="1332"/>
      <c r="KQG185" s="1332"/>
      <c r="KQH185" s="1332"/>
      <c r="KQI185" s="1332"/>
      <c r="KQJ185" s="1332"/>
      <c r="KQK185" s="1332"/>
      <c r="KQL185" s="1332"/>
      <c r="KQM185" s="1332"/>
      <c r="KQN185" s="1332"/>
      <c r="KQO185" s="1332"/>
      <c r="KQP185" s="1332"/>
      <c r="KQQ185" s="1332"/>
      <c r="KQR185" s="1332"/>
      <c r="KQS185" s="1332"/>
      <c r="KQT185" s="1332"/>
      <c r="KQU185" s="1332"/>
      <c r="KQV185" s="1332"/>
      <c r="KQW185" s="1332"/>
      <c r="KQX185" s="1332"/>
      <c r="KQY185" s="1332"/>
      <c r="KQZ185" s="1332"/>
      <c r="KRA185" s="1332"/>
      <c r="KRB185" s="1332"/>
      <c r="KRC185" s="1332"/>
      <c r="KRD185" s="1332"/>
      <c r="KRE185" s="1332"/>
      <c r="KRF185" s="1332"/>
      <c r="KRG185" s="1332"/>
      <c r="KRH185" s="1332"/>
      <c r="KRI185" s="1332"/>
      <c r="KRJ185" s="1332"/>
      <c r="KRK185" s="1332"/>
      <c r="KRL185" s="1332"/>
      <c r="KRM185" s="1332"/>
      <c r="KRN185" s="1332"/>
      <c r="KRO185" s="1332"/>
      <c r="KRP185" s="1332"/>
      <c r="KRQ185" s="1332"/>
      <c r="KRR185" s="1332"/>
      <c r="KRS185" s="1332"/>
      <c r="KRT185" s="1332"/>
      <c r="KRU185" s="1332"/>
      <c r="KRV185" s="1332"/>
      <c r="KRW185" s="1332"/>
      <c r="KRX185" s="1332"/>
      <c r="KRY185" s="1332"/>
      <c r="KRZ185" s="1332"/>
      <c r="KSA185" s="1332"/>
      <c r="KSB185" s="1332"/>
      <c r="KSC185" s="1332"/>
      <c r="KSD185" s="1332"/>
      <c r="KSE185" s="1332"/>
      <c r="KSF185" s="1332"/>
      <c r="KSG185" s="1332"/>
      <c r="KSH185" s="1332"/>
      <c r="KSI185" s="1332"/>
      <c r="KSJ185" s="1332"/>
      <c r="KSK185" s="1332"/>
      <c r="KSL185" s="1332"/>
      <c r="KSM185" s="1332"/>
      <c r="KSN185" s="1332"/>
      <c r="KSO185" s="1332"/>
      <c r="KSP185" s="1332"/>
      <c r="KSQ185" s="1332"/>
      <c r="KSR185" s="1332"/>
      <c r="KSS185" s="1332"/>
      <c r="KST185" s="1332"/>
      <c r="KSU185" s="1332"/>
      <c r="KSV185" s="1332"/>
      <c r="KSW185" s="1332"/>
      <c r="KSX185" s="1332"/>
      <c r="KSY185" s="1332"/>
      <c r="KSZ185" s="1332"/>
      <c r="KTA185" s="1332"/>
      <c r="KTB185" s="1332"/>
      <c r="KTC185" s="1332"/>
      <c r="KTD185" s="1332"/>
      <c r="KTE185" s="1332"/>
      <c r="KTF185" s="1332"/>
      <c r="KTG185" s="1332"/>
      <c r="KTH185" s="1332"/>
      <c r="KTI185" s="1332"/>
      <c r="KTJ185" s="1332"/>
      <c r="KTK185" s="1332"/>
      <c r="KTL185" s="1332"/>
      <c r="KTM185" s="1332"/>
      <c r="KTN185" s="1332"/>
      <c r="KTO185" s="1332"/>
      <c r="KTP185" s="1332"/>
      <c r="KTQ185" s="1332"/>
      <c r="KTR185" s="1332"/>
      <c r="KTS185" s="1332"/>
      <c r="KTT185" s="1332"/>
      <c r="KTU185" s="1332"/>
      <c r="KTV185" s="1332"/>
      <c r="KTW185" s="1332"/>
      <c r="KTX185" s="1332"/>
      <c r="KTY185" s="1332"/>
      <c r="KTZ185" s="1332"/>
      <c r="KUA185" s="1332"/>
      <c r="KUB185" s="1332"/>
      <c r="KUC185" s="1332"/>
      <c r="KUD185" s="1332"/>
      <c r="KUE185" s="1332"/>
      <c r="KUF185" s="1332"/>
      <c r="KUG185" s="1332"/>
      <c r="KUH185" s="1332"/>
      <c r="KUI185" s="1332"/>
      <c r="KUJ185" s="1332"/>
      <c r="KUK185" s="1332"/>
      <c r="KUL185" s="1332"/>
      <c r="KUM185" s="1332"/>
      <c r="KUN185" s="1332"/>
      <c r="KUO185" s="1332"/>
      <c r="KUP185" s="1332"/>
      <c r="KUQ185" s="1332"/>
      <c r="KUR185" s="1332"/>
      <c r="KUS185" s="1332"/>
      <c r="KUT185" s="1332"/>
      <c r="KUU185" s="1332"/>
      <c r="KUV185" s="1332"/>
      <c r="KUW185" s="1332"/>
      <c r="KUX185" s="1332"/>
      <c r="KUY185" s="1332"/>
      <c r="KUZ185" s="1332"/>
      <c r="KVA185" s="1332"/>
      <c r="KVB185" s="1332"/>
      <c r="KVC185" s="1332"/>
      <c r="KVD185" s="1332"/>
      <c r="KVE185" s="1332"/>
      <c r="KVF185" s="1332"/>
      <c r="KVG185" s="1332"/>
      <c r="KVH185" s="1332"/>
      <c r="KVI185" s="1332"/>
      <c r="KVJ185" s="1332"/>
      <c r="KVK185" s="1332"/>
      <c r="KVL185" s="1332"/>
      <c r="KVM185" s="1332"/>
      <c r="KVN185" s="1332"/>
      <c r="KVO185" s="1332"/>
      <c r="KVP185" s="1332"/>
      <c r="KVQ185" s="1332"/>
      <c r="KVR185" s="1332"/>
      <c r="KVS185" s="1332"/>
      <c r="KVT185" s="1332"/>
      <c r="KVU185" s="1332"/>
      <c r="KVV185" s="1332"/>
      <c r="KVW185" s="1332"/>
      <c r="KVX185" s="1332"/>
      <c r="KVY185" s="1332"/>
      <c r="KVZ185" s="1332"/>
      <c r="KWA185" s="1332"/>
      <c r="KWB185" s="1332"/>
      <c r="KWC185" s="1332"/>
      <c r="KWD185" s="1332"/>
      <c r="KWE185" s="1332"/>
      <c r="KWF185" s="1332"/>
      <c r="KWG185" s="1332"/>
      <c r="KWH185" s="1332"/>
      <c r="KWI185" s="1332"/>
      <c r="KWJ185" s="1332"/>
      <c r="KWK185" s="1332"/>
      <c r="KWL185" s="1332"/>
      <c r="KWM185" s="1332"/>
      <c r="KWN185" s="1332"/>
      <c r="KWO185" s="1332"/>
      <c r="KWP185" s="1332"/>
      <c r="KWQ185" s="1332"/>
      <c r="KWR185" s="1332"/>
      <c r="KWS185" s="1332"/>
      <c r="KWT185" s="1332"/>
      <c r="KWU185" s="1332"/>
      <c r="KWV185" s="1332"/>
      <c r="KWW185" s="1332"/>
      <c r="KWX185" s="1332"/>
      <c r="KWY185" s="1332"/>
      <c r="KWZ185" s="1332"/>
      <c r="KXA185" s="1332"/>
      <c r="KXB185" s="1332"/>
      <c r="KXC185" s="1332"/>
      <c r="KXD185" s="1332"/>
      <c r="KXE185" s="1332"/>
      <c r="KXF185" s="1332"/>
      <c r="KXG185" s="1332"/>
      <c r="KXH185" s="1332"/>
      <c r="KXI185" s="1332"/>
      <c r="KXJ185" s="1332"/>
      <c r="KXK185" s="1332"/>
      <c r="KXL185" s="1332"/>
      <c r="KXM185" s="1332"/>
      <c r="KXN185" s="1332"/>
      <c r="KXO185" s="1332"/>
      <c r="KXP185" s="1332"/>
      <c r="KXQ185" s="1332"/>
      <c r="KXR185" s="1332"/>
      <c r="KXS185" s="1332"/>
      <c r="KXT185" s="1332"/>
      <c r="KXU185" s="1332"/>
      <c r="KXV185" s="1332"/>
      <c r="KXW185" s="1332"/>
      <c r="KXX185" s="1332"/>
      <c r="KXY185" s="1332"/>
      <c r="KXZ185" s="1332"/>
      <c r="KYA185" s="1332"/>
      <c r="KYB185" s="1332"/>
      <c r="KYC185" s="1332"/>
      <c r="KYD185" s="1332"/>
      <c r="KYE185" s="1332"/>
      <c r="KYF185" s="1332"/>
      <c r="KYG185" s="1332"/>
      <c r="KYH185" s="1332"/>
      <c r="KYI185" s="1332"/>
      <c r="KYJ185" s="1332"/>
      <c r="KYK185" s="1332"/>
      <c r="KYL185" s="1332"/>
      <c r="KYM185" s="1332"/>
      <c r="KYN185" s="1332"/>
      <c r="KYO185" s="1332"/>
      <c r="KYP185" s="1332"/>
      <c r="KYQ185" s="1332"/>
      <c r="KYR185" s="1332"/>
      <c r="KYS185" s="1332"/>
      <c r="KYT185" s="1332"/>
      <c r="KYU185" s="1332"/>
      <c r="KYV185" s="1332"/>
      <c r="KYW185" s="1332"/>
      <c r="KYX185" s="1332"/>
      <c r="KYY185" s="1332"/>
      <c r="KYZ185" s="1332"/>
      <c r="KZA185" s="1332"/>
      <c r="KZB185" s="1332"/>
      <c r="KZC185" s="1332"/>
      <c r="KZD185" s="1332"/>
      <c r="KZE185" s="1332"/>
      <c r="KZF185" s="1332"/>
      <c r="KZG185" s="1332"/>
      <c r="KZH185" s="1332"/>
      <c r="KZI185" s="1332"/>
      <c r="KZJ185" s="1332"/>
      <c r="KZK185" s="1332"/>
      <c r="KZL185" s="1332"/>
      <c r="KZM185" s="1332"/>
      <c r="KZN185" s="1332"/>
      <c r="KZO185" s="1332"/>
      <c r="KZP185" s="1332"/>
      <c r="KZQ185" s="1332"/>
      <c r="KZR185" s="1332"/>
      <c r="KZS185" s="1332"/>
      <c r="KZT185" s="1332"/>
      <c r="KZU185" s="1332"/>
      <c r="KZV185" s="1332"/>
      <c r="KZW185" s="1332"/>
      <c r="KZX185" s="1332"/>
      <c r="KZY185" s="1332"/>
      <c r="KZZ185" s="1332"/>
      <c r="LAA185" s="1332"/>
      <c r="LAB185" s="1332"/>
      <c r="LAC185" s="1332"/>
      <c r="LAD185" s="1332"/>
      <c r="LAE185" s="1332"/>
      <c r="LAF185" s="1332"/>
      <c r="LAG185" s="1332"/>
      <c r="LAH185" s="1332"/>
      <c r="LAI185" s="1332"/>
      <c r="LAJ185" s="1332"/>
      <c r="LAK185" s="1332"/>
      <c r="LAL185" s="1332"/>
      <c r="LAM185" s="1332"/>
      <c r="LAN185" s="1332"/>
      <c r="LAO185" s="1332"/>
      <c r="LAP185" s="1332"/>
      <c r="LAQ185" s="1332"/>
      <c r="LAR185" s="1332"/>
      <c r="LAS185" s="1332"/>
      <c r="LAT185" s="1332"/>
      <c r="LAU185" s="1332"/>
      <c r="LAV185" s="1332"/>
      <c r="LAW185" s="1332"/>
      <c r="LAX185" s="1332"/>
      <c r="LAY185" s="1332"/>
      <c r="LAZ185" s="1332"/>
      <c r="LBA185" s="1332"/>
      <c r="LBB185" s="1332"/>
      <c r="LBC185" s="1332"/>
      <c r="LBD185" s="1332"/>
      <c r="LBE185" s="1332"/>
      <c r="LBF185" s="1332"/>
      <c r="LBG185" s="1332"/>
      <c r="LBH185" s="1332"/>
      <c r="LBI185" s="1332"/>
      <c r="LBJ185" s="1332"/>
      <c r="LBK185" s="1332"/>
      <c r="LBL185" s="1332"/>
      <c r="LBM185" s="1332"/>
      <c r="LBN185" s="1332"/>
      <c r="LBO185" s="1332"/>
      <c r="LBP185" s="1332"/>
      <c r="LBQ185" s="1332"/>
      <c r="LBR185" s="1332"/>
      <c r="LBS185" s="1332"/>
      <c r="LBT185" s="1332"/>
      <c r="LBU185" s="1332"/>
      <c r="LBV185" s="1332"/>
      <c r="LBW185" s="1332"/>
      <c r="LBX185" s="1332"/>
      <c r="LBY185" s="1332"/>
      <c r="LBZ185" s="1332"/>
      <c r="LCA185" s="1332"/>
      <c r="LCB185" s="1332"/>
      <c r="LCC185" s="1332"/>
      <c r="LCD185" s="1332"/>
      <c r="LCE185" s="1332"/>
      <c r="LCF185" s="1332"/>
      <c r="LCG185" s="1332"/>
      <c r="LCH185" s="1332"/>
      <c r="LCI185" s="1332"/>
      <c r="LCJ185" s="1332"/>
      <c r="LCK185" s="1332"/>
      <c r="LCL185" s="1332"/>
      <c r="LCM185" s="1332"/>
      <c r="LCN185" s="1332"/>
      <c r="LCO185" s="1332"/>
      <c r="LCP185" s="1332"/>
      <c r="LCQ185" s="1332"/>
      <c r="LCR185" s="1332"/>
      <c r="LCS185" s="1332"/>
      <c r="LCT185" s="1332"/>
      <c r="LCU185" s="1332"/>
      <c r="LCV185" s="1332"/>
      <c r="LCW185" s="1332"/>
      <c r="LCX185" s="1332"/>
      <c r="LCY185" s="1332"/>
      <c r="LCZ185" s="1332"/>
      <c r="LDA185" s="1332"/>
      <c r="LDB185" s="1332"/>
      <c r="LDC185" s="1332"/>
      <c r="LDD185" s="1332"/>
      <c r="LDE185" s="1332"/>
      <c r="LDF185" s="1332"/>
      <c r="LDG185" s="1332"/>
      <c r="LDH185" s="1332"/>
      <c r="LDI185" s="1332"/>
      <c r="LDJ185" s="1332"/>
      <c r="LDK185" s="1332"/>
      <c r="LDL185" s="1332"/>
      <c r="LDM185" s="1332"/>
      <c r="LDN185" s="1332"/>
      <c r="LDO185" s="1332"/>
      <c r="LDP185" s="1332"/>
      <c r="LDQ185" s="1332"/>
      <c r="LDR185" s="1332"/>
      <c r="LDS185" s="1332"/>
      <c r="LDT185" s="1332"/>
      <c r="LDU185" s="1332"/>
      <c r="LDV185" s="1332"/>
      <c r="LDW185" s="1332"/>
      <c r="LDX185" s="1332"/>
      <c r="LDY185" s="1332"/>
      <c r="LDZ185" s="1332"/>
      <c r="LEA185" s="1332"/>
      <c r="LEB185" s="1332"/>
      <c r="LEC185" s="1332"/>
      <c r="LED185" s="1332"/>
      <c r="LEE185" s="1332"/>
      <c r="LEF185" s="1332"/>
      <c r="LEG185" s="1332"/>
      <c r="LEH185" s="1332"/>
      <c r="LEI185" s="1332"/>
      <c r="LEJ185" s="1332"/>
      <c r="LEK185" s="1332"/>
      <c r="LEL185" s="1332"/>
      <c r="LEM185" s="1332"/>
      <c r="LEN185" s="1332"/>
      <c r="LEO185" s="1332"/>
      <c r="LEP185" s="1332"/>
      <c r="LEQ185" s="1332"/>
      <c r="LER185" s="1332"/>
      <c r="LES185" s="1332"/>
      <c r="LET185" s="1332"/>
      <c r="LEU185" s="1332"/>
      <c r="LEV185" s="1332"/>
      <c r="LEW185" s="1332"/>
      <c r="LEX185" s="1332"/>
      <c r="LEY185" s="1332"/>
      <c r="LEZ185" s="1332"/>
      <c r="LFA185" s="1332"/>
      <c r="LFB185" s="1332"/>
      <c r="LFC185" s="1332"/>
      <c r="LFD185" s="1332"/>
      <c r="LFE185" s="1332"/>
      <c r="LFF185" s="1332"/>
      <c r="LFG185" s="1332"/>
      <c r="LFH185" s="1332"/>
      <c r="LFI185" s="1332"/>
      <c r="LFJ185" s="1332"/>
      <c r="LFK185" s="1332"/>
      <c r="LFL185" s="1332"/>
      <c r="LFM185" s="1332"/>
      <c r="LFN185" s="1332"/>
      <c r="LFO185" s="1332"/>
      <c r="LFP185" s="1332"/>
      <c r="LFQ185" s="1332"/>
      <c r="LFR185" s="1332"/>
      <c r="LFS185" s="1332"/>
      <c r="LFT185" s="1332"/>
      <c r="LFU185" s="1332"/>
      <c r="LFV185" s="1332"/>
      <c r="LFW185" s="1332"/>
      <c r="LFX185" s="1332"/>
      <c r="LFY185" s="1332"/>
      <c r="LFZ185" s="1332"/>
      <c r="LGA185" s="1332"/>
      <c r="LGB185" s="1332"/>
      <c r="LGC185" s="1332"/>
      <c r="LGD185" s="1332"/>
      <c r="LGE185" s="1332"/>
      <c r="LGF185" s="1332"/>
      <c r="LGG185" s="1332"/>
      <c r="LGH185" s="1332"/>
      <c r="LGI185" s="1332"/>
      <c r="LGJ185" s="1332"/>
      <c r="LGK185" s="1332"/>
      <c r="LGL185" s="1332"/>
      <c r="LGM185" s="1332"/>
      <c r="LGN185" s="1332"/>
      <c r="LGO185" s="1332"/>
      <c r="LGP185" s="1332"/>
      <c r="LGQ185" s="1332"/>
      <c r="LGR185" s="1332"/>
      <c r="LGS185" s="1332"/>
      <c r="LGT185" s="1332"/>
      <c r="LGU185" s="1332"/>
      <c r="LGV185" s="1332"/>
      <c r="LGW185" s="1332"/>
      <c r="LGX185" s="1332"/>
      <c r="LGY185" s="1332"/>
      <c r="LGZ185" s="1332"/>
      <c r="LHA185" s="1332"/>
      <c r="LHB185" s="1332"/>
      <c r="LHC185" s="1332"/>
      <c r="LHD185" s="1332"/>
      <c r="LHE185" s="1332"/>
      <c r="LHF185" s="1332"/>
      <c r="LHG185" s="1332"/>
      <c r="LHH185" s="1332"/>
      <c r="LHI185" s="1332"/>
      <c r="LHJ185" s="1332"/>
      <c r="LHK185" s="1332"/>
      <c r="LHL185" s="1332"/>
      <c r="LHM185" s="1332"/>
      <c r="LHN185" s="1332"/>
      <c r="LHO185" s="1332"/>
      <c r="LHP185" s="1332"/>
      <c r="LHQ185" s="1332"/>
      <c r="LHR185" s="1332"/>
      <c r="LHS185" s="1332"/>
      <c r="LHT185" s="1332"/>
      <c r="LHU185" s="1332"/>
      <c r="LHV185" s="1332"/>
      <c r="LHW185" s="1332"/>
      <c r="LHX185" s="1332"/>
      <c r="LHY185" s="1332"/>
      <c r="LHZ185" s="1332"/>
      <c r="LIA185" s="1332"/>
      <c r="LIB185" s="1332"/>
      <c r="LIC185" s="1332"/>
      <c r="LID185" s="1332"/>
      <c r="LIE185" s="1332"/>
      <c r="LIF185" s="1332"/>
      <c r="LIG185" s="1332"/>
      <c r="LIH185" s="1332"/>
      <c r="LII185" s="1332"/>
      <c r="LIJ185" s="1332"/>
      <c r="LIK185" s="1332"/>
      <c r="LIL185" s="1332"/>
      <c r="LIM185" s="1332"/>
      <c r="LIN185" s="1332"/>
      <c r="LIO185" s="1332"/>
      <c r="LIP185" s="1332"/>
      <c r="LIQ185" s="1332"/>
      <c r="LIR185" s="1332"/>
      <c r="LIS185" s="1332"/>
      <c r="LIT185" s="1332"/>
      <c r="LIU185" s="1332"/>
      <c r="LIV185" s="1332"/>
      <c r="LIW185" s="1332"/>
      <c r="LIX185" s="1332"/>
      <c r="LIY185" s="1332"/>
      <c r="LIZ185" s="1332"/>
      <c r="LJA185" s="1332"/>
      <c r="LJB185" s="1332"/>
      <c r="LJC185" s="1332"/>
      <c r="LJD185" s="1332"/>
      <c r="LJE185" s="1332"/>
      <c r="LJF185" s="1332"/>
      <c r="LJG185" s="1332"/>
      <c r="LJH185" s="1332"/>
      <c r="LJI185" s="1332"/>
      <c r="LJJ185" s="1332"/>
      <c r="LJK185" s="1332"/>
      <c r="LJL185" s="1332"/>
      <c r="LJM185" s="1332"/>
      <c r="LJN185" s="1332"/>
      <c r="LJO185" s="1332"/>
      <c r="LJP185" s="1332"/>
      <c r="LJQ185" s="1332"/>
      <c r="LJR185" s="1332"/>
      <c r="LJS185" s="1332"/>
      <c r="LJT185" s="1332"/>
      <c r="LJU185" s="1332"/>
      <c r="LJV185" s="1332"/>
      <c r="LJW185" s="1332"/>
      <c r="LJX185" s="1332"/>
      <c r="LJY185" s="1332"/>
      <c r="LJZ185" s="1332"/>
      <c r="LKA185" s="1332"/>
      <c r="LKB185" s="1332"/>
      <c r="LKC185" s="1332"/>
      <c r="LKD185" s="1332"/>
      <c r="LKE185" s="1332"/>
      <c r="LKF185" s="1332"/>
      <c r="LKG185" s="1332"/>
      <c r="LKH185" s="1332"/>
      <c r="LKI185" s="1332"/>
      <c r="LKJ185" s="1332"/>
      <c r="LKK185" s="1332"/>
      <c r="LKL185" s="1332"/>
      <c r="LKM185" s="1332"/>
      <c r="LKN185" s="1332"/>
      <c r="LKO185" s="1332"/>
      <c r="LKP185" s="1332"/>
      <c r="LKQ185" s="1332"/>
      <c r="LKR185" s="1332"/>
      <c r="LKS185" s="1332"/>
      <c r="LKT185" s="1332"/>
      <c r="LKU185" s="1332"/>
      <c r="LKV185" s="1332"/>
      <c r="LKW185" s="1332"/>
      <c r="LKX185" s="1332"/>
      <c r="LKY185" s="1332"/>
      <c r="LKZ185" s="1332"/>
      <c r="LLA185" s="1332"/>
      <c r="LLB185" s="1332"/>
      <c r="LLC185" s="1332"/>
      <c r="LLD185" s="1332"/>
      <c r="LLE185" s="1332"/>
      <c r="LLF185" s="1332"/>
      <c r="LLG185" s="1332"/>
      <c r="LLH185" s="1332"/>
      <c r="LLI185" s="1332"/>
      <c r="LLJ185" s="1332"/>
      <c r="LLK185" s="1332"/>
      <c r="LLL185" s="1332"/>
      <c r="LLM185" s="1332"/>
      <c r="LLN185" s="1332"/>
      <c r="LLO185" s="1332"/>
      <c r="LLP185" s="1332"/>
      <c r="LLQ185" s="1332"/>
      <c r="LLR185" s="1332"/>
      <c r="LLS185" s="1332"/>
      <c r="LLT185" s="1332"/>
      <c r="LLU185" s="1332"/>
      <c r="LLV185" s="1332"/>
      <c r="LLW185" s="1332"/>
      <c r="LLX185" s="1332"/>
      <c r="LLY185" s="1332"/>
      <c r="LLZ185" s="1332"/>
      <c r="LMA185" s="1332"/>
      <c r="LMB185" s="1332"/>
      <c r="LMC185" s="1332"/>
      <c r="LMD185" s="1332"/>
      <c r="LME185" s="1332"/>
      <c r="LMF185" s="1332"/>
      <c r="LMG185" s="1332"/>
      <c r="LMH185" s="1332"/>
      <c r="LMI185" s="1332"/>
      <c r="LMJ185" s="1332"/>
      <c r="LMK185" s="1332"/>
      <c r="LML185" s="1332"/>
      <c r="LMM185" s="1332"/>
      <c r="LMN185" s="1332"/>
      <c r="LMO185" s="1332"/>
      <c r="LMP185" s="1332"/>
      <c r="LMQ185" s="1332"/>
      <c r="LMR185" s="1332"/>
      <c r="LMS185" s="1332"/>
      <c r="LMT185" s="1332"/>
      <c r="LMU185" s="1332"/>
      <c r="LMV185" s="1332"/>
      <c r="LMW185" s="1332"/>
      <c r="LMX185" s="1332"/>
      <c r="LMY185" s="1332"/>
      <c r="LMZ185" s="1332"/>
      <c r="LNA185" s="1332"/>
      <c r="LNB185" s="1332"/>
      <c r="LNC185" s="1332"/>
      <c r="LND185" s="1332"/>
      <c r="LNE185" s="1332"/>
      <c r="LNF185" s="1332"/>
      <c r="LNG185" s="1332"/>
      <c r="LNH185" s="1332"/>
      <c r="LNI185" s="1332"/>
      <c r="LNJ185" s="1332"/>
      <c r="LNK185" s="1332"/>
      <c r="LNL185" s="1332"/>
      <c r="LNM185" s="1332"/>
      <c r="LNN185" s="1332"/>
      <c r="LNO185" s="1332"/>
      <c r="LNP185" s="1332"/>
      <c r="LNQ185" s="1332"/>
      <c r="LNR185" s="1332"/>
      <c r="LNS185" s="1332"/>
      <c r="LNT185" s="1332"/>
      <c r="LNU185" s="1332"/>
      <c r="LNV185" s="1332"/>
      <c r="LNW185" s="1332"/>
      <c r="LNX185" s="1332"/>
      <c r="LNY185" s="1332"/>
      <c r="LNZ185" s="1332"/>
      <c r="LOA185" s="1332"/>
      <c r="LOB185" s="1332"/>
      <c r="LOC185" s="1332"/>
      <c r="LOD185" s="1332"/>
      <c r="LOE185" s="1332"/>
      <c r="LOF185" s="1332"/>
      <c r="LOG185" s="1332"/>
      <c r="LOH185" s="1332"/>
      <c r="LOI185" s="1332"/>
      <c r="LOJ185" s="1332"/>
      <c r="LOK185" s="1332"/>
      <c r="LOL185" s="1332"/>
      <c r="LOM185" s="1332"/>
      <c r="LON185" s="1332"/>
      <c r="LOO185" s="1332"/>
      <c r="LOP185" s="1332"/>
      <c r="LOQ185" s="1332"/>
      <c r="LOR185" s="1332"/>
      <c r="LOS185" s="1332"/>
      <c r="LOT185" s="1332"/>
      <c r="LOU185" s="1332"/>
      <c r="LOV185" s="1332"/>
      <c r="LOW185" s="1332"/>
      <c r="LOX185" s="1332"/>
      <c r="LOY185" s="1332"/>
      <c r="LOZ185" s="1332"/>
      <c r="LPA185" s="1332"/>
      <c r="LPB185" s="1332"/>
      <c r="LPC185" s="1332"/>
      <c r="LPD185" s="1332"/>
      <c r="LPE185" s="1332"/>
      <c r="LPF185" s="1332"/>
      <c r="LPG185" s="1332"/>
      <c r="LPH185" s="1332"/>
      <c r="LPI185" s="1332"/>
      <c r="LPJ185" s="1332"/>
      <c r="LPK185" s="1332"/>
      <c r="LPL185" s="1332"/>
      <c r="LPM185" s="1332"/>
      <c r="LPN185" s="1332"/>
      <c r="LPO185" s="1332"/>
      <c r="LPP185" s="1332"/>
      <c r="LPQ185" s="1332"/>
      <c r="LPR185" s="1332"/>
      <c r="LPS185" s="1332"/>
      <c r="LPT185" s="1332"/>
      <c r="LPU185" s="1332"/>
      <c r="LPV185" s="1332"/>
      <c r="LPW185" s="1332"/>
      <c r="LPX185" s="1332"/>
      <c r="LPY185" s="1332"/>
      <c r="LPZ185" s="1332"/>
      <c r="LQA185" s="1332"/>
      <c r="LQB185" s="1332"/>
      <c r="LQC185" s="1332"/>
      <c r="LQD185" s="1332"/>
      <c r="LQE185" s="1332"/>
      <c r="LQF185" s="1332"/>
      <c r="LQG185" s="1332"/>
      <c r="LQH185" s="1332"/>
      <c r="LQI185" s="1332"/>
      <c r="LQJ185" s="1332"/>
      <c r="LQK185" s="1332"/>
      <c r="LQL185" s="1332"/>
      <c r="LQM185" s="1332"/>
      <c r="LQN185" s="1332"/>
      <c r="LQO185" s="1332"/>
      <c r="LQP185" s="1332"/>
      <c r="LQQ185" s="1332"/>
      <c r="LQR185" s="1332"/>
      <c r="LQS185" s="1332"/>
      <c r="LQT185" s="1332"/>
      <c r="LQU185" s="1332"/>
      <c r="LQV185" s="1332"/>
      <c r="LQW185" s="1332"/>
      <c r="LQX185" s="1332"/>
      <c r="LQY185" s="1332"/>
      <c r="LQZ185" s="1332"/>
      <c r="LRA185" s="1332"/>
      <c r="LRB185" s="1332"/>
      <c r="LRC185" s="1332"/>
      <c r="LRD185" s="1332"/>
      <c r="LRE185" s="1332"/>
      <c r="LRF185" s="1332"/>
      <c r="LRG185" s="1332"/>
      <c r="LRH185" s="1332"/>
      <c r="LRI185" s="1332"/>
      <c r="LRJ185" s="1332"/>
      <c r="LRK185" s="1332"/>
      <c r="LRL185" s="1332"/>
      <c r="LRM185" s="1332"/>
      <c r="LRN185" s="1332"/>
      <c r="LRO185" s="1332"/>
      <c r="LRP185" s="1332"/>
      <c r="LRQ185" s="1332"/>
      <c r="LRR185" s="1332"/>
      <c r="LRS185" s="1332"/>
      <c r="LRT185" s="1332"/>
      <c r="LRU185" s="1332"/>
      <c r="LRV185" s="1332"/>
      <c r="LRW185" s="1332"/>
      <c r="LRX185" s="1332"/>
      <c r="LRY185" s="1332"/>
      <c r="LRZ185" s="1332"/>
      <c r="LSA185" s="1332"/>
      <c r="LSB185" s="1332"/>
      <c r="LSC185" s="1332"/>
      <c r="LSD185" s="1332"/>
      <c r="LSE185" s="1332"/>
      <c r="LSF185" s="1332"/>
      <c r="LSG185" s="1332"/>
      <c r="LSH185" s="1332"/>
      <c r="LSI185" s="1332"/>
      <c r="LSJ185" s="1332"/>
      <c r="LSK185" s="1332"/>
      <c r="LSL185" s="1332"/>
      <c r="LSM185" s="1332"/>
      <c r="LSN185" s="1332"/>
      <c r="LSO185" s="1332"/>
      <c r="LSP185" s="1332"/>
      <c r="LSQ185" s="1332"/>
      <c r="LSR185" s="1332"/>
      <c r="LSS185" s="1332"/>
      <c r="LST185" s="1332"/>
      <c r="LSU185" s="1332"/>
      <c r="LSV185" s="1332"/>
      <c r="LSW185" s="1332"/>
      <c r="LSX185" s="1332"/>
      <c r="LSY185" s="1332"/>
      <c r="LSZ185" s="1332"/>
      <c r="LTA185" s="1332"/>
      <c r="LTB185" s="1332"/>
      <c r="LTC185" s="1332"/>
      <c r="LTD185" s="1332"/>
      <c r="LTE185" s="1332"/>
      <c r="LTF185" s="1332"/>
      <c r="LTG185" s="1332"/>
      <c r="LTH185" s="1332"/>
      <c r="LTI185" s="1332"/>
      <c r="LTJ185" s="1332"/>
      <c r="LTK185" s="1332"/>
      <c r="LTL185" s="1332"/>
      <c r="LTM185" s="1332"/>
      <c r="LTN185" s="1332"/>
      <c r="LTO185" s="1332"/>
      <c r="LTP185" s="1332"/>
      <c r="LTQ185" s="1332"/>
      <c r="LTR185" s="1332"/>
      <c r="LTS185" s="1332"/>
      <c r="LTT185" s="1332"/>
      <c r="LTU185" s="1332"/>
      <c r="LTV185" s="1332"/>
      <c r="LTW185" s="1332"/>
      <c r="LTX185" s="1332"/>
      <c r="LTY185" s="1332"/>
      <c r="LTZ185" s="1332"/>
      <c r="LUA185" s="1332"/>
      <c r="LUB185" s="1332"/>
      <c r="LUC185" s="1332"/>
      <c r="LUD185" s="1332"/>
      <c r="LUE185" s="1332"/>
      <c r="LUF185" s="1332"/>
      <c r="LUG185" s="1332"/>
      <c r="LUH185" s="1332"/>
      <c r="LUI185" s="1332"/>
      <c r="LUJ185" s="1332"/>
      <c r="LUK185" s="1332"/>
      <c r="LUL185" s="1332"/>
      <c r="LUM185" s="1332"/>
      <c r="LUN185" s="1332"/>
      <c r="LUO185" s="1332"/>
      <c r="LUP185" s="1332"/>
      <c r="LUQ185" s="1332"/>
      <c r="LUR185" s="1332"/>
      <c r="LUS185" s="1332"/>
      <c r="LUT185" s="1332"/>
      <c r="LUU185" s="1332"/>
      <c r="LUV185" s="1332"/>
      <c r="LUW185" s="1332"/>
      <c r="LUX185" s="1332"/>
      <c r="LUY185" s="1332"/>
      <c r="LUZ185" s="1332"/>
      <c r="LVA185" s="1332"/>
      <c r="LVB185" s="1332"/>
      <c r="LVC185" s="1332"/>
      <c r="LVD185" s="1332"/>
      <c r="LVE185" s="1332"/>
      <c r="LVF185" s="1332"/>
      <c r="LVG185" s="1332"/>
      <c r="LVH185" s="1332"/>
      <c r="LVI185" s="1332"/>
      <c r="LVJ185" s="1332"/>
      <c r="LVK185" s="1332"/>
      <c r="LVL185" s="1332"/>
      <c r="LVM185" s="1332"/>
      <c r="LVN185" s="1332"/>
      <c r="LVO185" s="1332"/>
      <c r="LVP185" s="1332"/>
      <c r="LVQ185" s="1332"/>
      <c r="LVR185" s="1332"/>
      <c r="LVS185" s="1332"/>
      <c r="LVT185" s="1332"/>
      <c r="LVU185" s="1332"/>
      <c r="LVV185" s="1332"/>
      <c r="LVW185" s="1332"/>
      <c r="LVX185" s="1332"/>
      <c r="LVY185" s="1332"/>
      <c r="LVZ185" s="1332"/>
      <c r="LWA185" s="1332"/>
      <c r="LWB185" s="1332"/>
      <c r="LWC185" s="1332"/>
      <c r="LWD185" s="1332"/>
      <c r="LWE185" s="1332"/>
      <c r="LWF185" s="1332"/>
      <c r="LWG185" s="1332"/>
      <c r="LWH185" s="1332"/>
      <c r="LWI185" s="1332"/>
      <c r="LWJ185" s="1332"/>
      <c r="LWK185" s="1332"/>
      <c r="LWL185" s="1332"/>
      <c r="LWM185" s="1332"/>
      <c r="LWN185" s="1332"/>
      <c r="LWO185" s="1332"/>
      <c r="LWP185" s="1332"/>
      <c r="LWQ185" s="1332"/>
      <c r="LWR185" s="1332"/>
      <c r="LWS185" s="1332"/>
      <c r="LWT185" s="1332"/>
      <c r="LWU185" s="1332"/>
      <c r="LWV185" s="1332"/>
      <c r="LWW185" s="1332"/>
      <c r="LWX185" s="1332"/>
      <c r="LWY185" s="1332"/>
      <c r="LWZ185" s="1332"/>
      <c r="LXA185" s="1332"/>
      <c r="LXB185" s="1332"/>
      <c r="LXC185" s="1332"/>
      <c r="LXD185" s="1332"/>
      <c r="LXE185" s="1332"/>
      <c r="LXF185" s="1332"/>
      <c r="LXG185" s="1332"/>
      <c r="LXH185" s="1332"/>
      <c r="LXI185" s="1332"/>
      <c r="LXJ185" s="1332"/>
      <c r="LXK185" s="1332"/>
      <c r="LXL185" s="1332"/>
      <c r="LXM185" s="1332"/>
      <c r="LXN185" s="1332"/>
      <c r="LXO185" s="1332"/>
      <c r="LXP185" s="1332"/>
      <c r="LXQ185" s="1332"/>
      <c r="LXR185" s="1332"/>
      <c r="LXS185" s="1332"/>
      <c r="LXT185" s="1332"/>
      <c r="LXU185" s="1332"/>
      <c r="LXV185" s="1332"/>
      <c r="LXW185" s="1332"/>
      <c r="LXX185" s="1332"/>
      <c r="LXY185" s="1332"/>
      <c r="LXZ185" s="1332"/>
      <c r="LYA185" s="1332"/>
      <c r="LYB185" s="1332"/>
      <c r="LYC185" s="1332"/>
      <c r="LYD185" s="1332"/>
      <c r="LYE185" s="1332"/>
      <c r="LYF185" s="1332"/>
      <c r="LYG185" s="1332"/>
      <c r="LYH185" s="1332"/>
      <c r="LYI185" s="1332"/>
      <c r="LYJ185" s="1332"/>
      <c r="LYK185" s="1332"/>
      <c r="LYL185" s="1332"/>
      <c r="LYM185" s="1332"/>
      <c r="LYN185" s="1332"/>
      <c r="LYO185" s="1332"/>
      <c r="LYP185" s="1332"/>
      <c r="LYQ185" s="1332"/>
      <c r="LYR185" s="1332"/>
      <c r="LYS185" s="1332"/>
      <c r="LYT185" s="1332"/>
      <c r="LYU185" s="1332"/>
      <c r="LYV185" s="1332"/>
      <c r="LYW185" s="1332"/>
      <c r="LYX185" s="1332"/>
      <c r="LYY185" s="1332"/>
      <c r="LYZ185" s="1332"/>
      <c r="LZA185" s="1332"/>
      <c r="LZB185" s="1332"/>
      <c r="LZC185" s="1332"/>
      <c r="LZD185" s="1332"/>
      <c r="LZE185" s="1332"/>
      <c r="LZF185" s="1332"/>
      <c r="LZG185" s="1332"/>
      <c r="LZH185" s="1332"/>
      <c r="LZI185" s="1332"/>
      <c r="LZJ185" s="1332"/>
      <c r="LZK185" s="1332"/>
      <c r="LZL185" s="1332"/>
      <c r="LZM185" s="1332"/>
      <c r="LZN185" s="1332"/>
      <c r="LZO185" s="1332"/>
      <c r="LZP185" s="1332"/>
      <c r="LZQ185" s="1332"/>
      <c r="LZR185" s="1332"/>
      <c r="LZS185" s="1332"/>
      <c r="LZT185" s="1332"/>
      <c r="LZU185" s="1332"/>
      <c r="LZV185" s="1332"/>
      <c r="LZW185" s="1332"/>
      <c r="LZX185" s="1332"/>
      <c r="LZY185" s="1332"/>
      <c r="LZZ185" s="1332"/>
      <c r="MAA185" s="1332"/>
      <c r="MAB185" s="1332"/>
      <c r="MAC185" s="1332"/>
      <c r="MAD185" s="1332"/>
      <c r="MAE185" s="1332"/>
      <c r="MAF185" s="1332"/>
      <c r="MAG185" s="1332"/>
      <c r="MAH185" s="1332"/>
      <c r="MAI185" s="1332"/>
      <c r="MAJ185" s="1332"/>
      <c r="MAK185" s="1332"/>
      <c r="MAL185" s="1332"/>
      <c r="MAM185" s="1332"/>
      <c r="MAN185" s="1332"/>
      <c r="MAO185" s="1332"/>
      <c r="MAP185" s="1332"/>
      <c r="MAQ185" s="1332"/>
      <c r="MAR185" s="1332"/>
      <c r="MAS185" s="1332"/>
      <c r="MAT185" s="1332"/>
      <c r="MAU185" s="1332"/>
      <c r="MAV185" s="1332"/>
      <c r="MAW185" s="1332"/>
      <c r="MAX185" s="1332"/>
      <c r="MAY185" s="1332"/>
      <c r="MAZ185" s="1332"/>
      <c r="MBA185" s="1332"/>
      <c r="MBB185" s="1332"/>
      <c r="MBC185" s="1332"/>
      <c r="MBD185" s="1332"/>
      <c r="MBE185" s="1332"/>
      <c r="MBF185" s="1332"/>
      <c r="MBG185" s="1332"/>
      <c r="MBH185" s="1332"/>
      <c r="MBI185" s="1332"/>
      <c r="MBJ185" s="1332"/>
      <c r="MBK185" s="1332"/>
      <c r="MBL185" s="1332"/>
      <c r="MBM185" s="1332"/>
      <c r="MBN185" s="1332"/>
      <c r="MBO185" s="1332"/>
      <c r="MBP185" s="1332"/>
      <c r="MBQ185" s="1332"/>
      <c r="MBR185" s="1332"/>
      <c r="MBS185" s="1332"/>
      <c r="MBT185" s="1332"/>
      <c r="MBU185" s="1332"/>
      <c r="MBV185" s="1332"/>
      <c r="MBW185" s="1332"/>
      <c r="MBX185" s="1332"/>
      <c r="MBY185" s="1332"/>
      <c r="MBZ185" s="1332"/>
      <c r="MCA185" s="1332"/>
      <c r="MCB185" s="1332"/>
      <c r="MCC185" s="1332"/>
      <c r="MCD185" s="1332"/>
      <c r="MCE185" s="1332"/>
      <c r="MCF185" s="1332"/>
      <c r="MCG185" s="1332"/>
      <c r="MCH185" s="1332"/>
      <c r="MCI185" s="1332"/>
      <c r="MCJ185" s="1332"/>
      <c r="MCK185" s="1332"/>
      <c r="MCL185" s="1332"/>
      <c r="MCM185" s="1332"/>
      <c r="MCN185" s="1332"/>
      <c r="MCO185" s="1332"/>
      <c r="MCP185" s="1332"/>
      <c r="MCQ185" s="1332"/>
      <c r="MCR185" s="1332"/>
      <c r="MCS185" s="1332"/>
      <c r="MCT185" s="1332"/>
      <c r="MCU185" s="1332"/>
      <c r="MCV185" s="1332"/>
      <c r="MCW185" s="1332"/>
      <c r="MCX185" s="1332"/>
      <c r="MCY185" s="1332"/>
      <c r="MCZ185" s="1332"/>
      <c r="MDA185" s="1332"/>
      <c r="MDB185" s="1332"/>
      <c r="MDC185" s="1332"/>
      <c r="MDD185" s="1332"/>
      <c r="MDE185" s="1332"/>
      <c r="MDF185" s="1332"/>
      <c r="MDG185" s="1332"/>
      <c r="MDH185" s="1332"/>
      <c r="MDI185" s="1332"/>
      <c r="MDJ185" s="1332"/>
      <c r="MDK185" s="1332"/>
      <c r="MDL185" s="1332"/>
      <c r="MDM185" s="1332"/>
      <c r="MDN185" s="1332"/>
      <c r="MDO185" s="1332"/>
      <c r="MDP185" s="1332"/>
      <c r="MDQ185" s="1332"/>
      <c r="MDR185" s="1332"/>
      <c r="MDS185" s="1332"/>
      <c r="MDT185" s="1332"/>
      <c r="MDU185" s="1332"/>
      <c r="MDV185" s="1332"/>
      <c r="MDW185" s="1332"/>
      <c r="MDX185" s="1332"/>
      <c r="MDY185" s="1332"/>
      <c r="MDZ185" s="1332"/>
      <c r="MEA185" s="1332"/>
      <c r="MEB185" s="1332"/>
      <c r="MEC185" s="1332"/>
      <c r="MED185" s="1332"/>
      <c r="MEE185" s="1332"/>
      <c r="MEF185" s="1332"/>
      <c r="MEG185" s="1332"/>
      <c r="MEH185" s="1332"/>
      <c r="MEI185" s="1332"/>
      <c r="MEJ185" s="1332"/>
      <c r="MEK185" s="1332"/>
      <c r="MEL185" s="1332"/>
      <c r="MEM185" s="1332"/>
      <c r="MEN185" s="1332"/>
      <c r="MEO185" s="1332"/>
      <c r="MEP185" s="1332"/>
      <c r="MEQ185" s="1332"/>
      <c r="MER185" s="1332"/>
      <c r="MES185" s="1332"/>
      <c r="MET185" s="1332"/>
      <c r="MEU185" s="1332"/>
      <c r="MEV185" s="1332"/>
      <c r="MEW185" s="1332"/>
      <c r="MEX185" s="1332"/>
      <c r="MEY185" s="1332"/>
      <c r="MEZ185" s="1332"/>
      <c r="MFA185" s="1332"/>
      <c r="MFB185" s="1332"/>
      <c r="MFC185" s="1332"/>
      <c r="MFD185" s="1332"/>
      <c r="MFE185" s="1332"/>
      <c r="MFF185" s="1332"/>
      <c r="MFG185" s="1332"/>
      <c r="MFH185" s="1332"/>
      <c r="MFI185" s="1332"/>
      <c r="MFJ185" s="1332"/>
      <c r="MFK185" s="1332"/>
      <c r="MFL185" s="1332"/>
      <c r="MFM185" s="1332"/>
      <c r="MFN185" s="1332"/>
      <c r="MFO185" s="1332"/>
      <c r="MFP185" s="1332"/>
      <c r="MFQ185" s="1332"/>
      <c r="MFR185" s="1332"/>
      <c r="MFS185" s="1332"/>
      <c r="MFT185" s="1332"/>
      <c r="MFU185" s="1332"/>
      <c r="MFV185" s="1332"/>
      <c r="MFW185" s="1332"/>
      <c r="MFX185" s="1332"/>
      <c r="MFY185" s="1332"/>
      <c r="MFZ185" s="1332"/>
      <c r="MGA185" s="1332"/>
      <c r="MGB185" s="1332"/>
      <c r="MGC185" s="1332"/>
      <c r="MGD185" s="1332"/>
      <c r="MGE185" s="1332"/>
      <c r="MGF185" s="1332"/>
      <c r="MGG185" s="1332"/>
      <c r="MGH185" s="1332"/>
      <c r="MGI185" s="1332"/>
      <c r="MGJ185" s="1332"/>
      <c r="MGK185" s="1332"/>
      <c r="MGL185" s="1332"/>
      <c r="MGM185" s="1332"/>
      <c r="MGN185" s="1332"/>
      <c r="MGO185" s="1332"/>
      <c r="MGP185" s="1332"/>
      <c r="MGQ185" s="1332"/>
      <c r="MGR185" s="1332"/>
      <c r="MGS185" s="1332"/>
      <c r="MGT185" s="1332"/>
      <c r="MGU185" s="1332"/>
      <c r="MGV185" s="1332"/>
      <c r="MGW185" s="1332"/>
      <c r="MGX185" s="1332"/>
      <c r="MGY185" s="1332"/>
      <c r="MGZ185" s="1332"/>
      <c r="MHA185" s="1332"/>
      <c r="MHB185" s="1332"/>
      <c r="MHC185" s="1332"/>
      <c r="MHD185" s="1332"/>
      <c r="MHE185" s="1332"/>
      <c r="MHF185" s="1332"/>
      <c r="MHG185" s="1332"/>
      <c r="MHH185" s="1332"/>
      <c r="MHI185" s="1332"/>
      <c r="MHJ185" s="1332"/>
      <c r="MHK185" s="1332"/>
      <c r="MHL185" s="1332"/>
      <c r="MHM185" s="1332"/>
      <c r="MHN185" s="1332"/>
      <c r="MHO185" s="1332"/>
      <c r="MHP185" s="1332"/>
      <c r="MHQ185" s="1332"/>
      <c r="MHR185" s="1332"/>
      <c r="MHS185" s="1332"/>
      <c r="MHT185" s="1332"/>
      <c r="MHU185" s="1332"/>
      <c r="MHV185" s="1332"/>
      <c r="MHW185" s="1332"/>
      <c r="MHX185" s="1332"/>
      <c r="MHY185" s="1332"/>
      <c r="MHZ185" s="1332"/>
      <c r="MIA185" s="1332"/>
      <c r="MIB185" s="1332"/>
      <c r="MIC185" s="1332"/>
      <c r="MID185" s="1332"/>
      <c r="MIE185" s="1332"/>
      <c r="MIF185" s="1332"/>
      <c r="MIG185" s="1332"/>
      <c r="MIH185" s="1332"/>
      <c r="MII185" s="1332"/>
      <c r="MIJ185" s="1332"/>
      <c r="MIK185" s="1332"/>
      <c r="MIL185" s="1332"/>
      <c r="MIM185" s="1332"/>
      <c r="MIN185" s="1332"/>
      <c r="MIO185" s="1332"/>
      <c r="MIP185" s="1332"/>
      <c r="MIQ185" s="1332"/>
      <c r="MIR185" s="1332"/>
      <c r="MIS185" s="1332"/>
      <c r="MIT185" s="1332"/>
      <c r="MIU185" s="1332"/>
      <c r="MIV185" s="1332"/>
      <c r="MIW185" s="1332"/>
      <c r="MIX185" s="1332"/>
      <c r="MIY185" s="1332"/>
      <c r="MIZ185" s="1332"/>
      <c r="MJA185" s="1332"/>
      <c r="MJB185" s="1332"/>
      <c r="MJC185" s="1332"/>
      <c r="MJD185" s="1332"/>
      <c r="MJE185" s="1332"/>
      <c r="MJF185" s="1332"/>
      <c r="MJG185" s="1332"/>
      <c r="MJH185" s="1332"/>
      <c r="MJI185" s="1332"/>
      <c r="MJJ185" s="1332"/>
      <c r="MJK185" s="1332"/>
      <c r="MJL185" s="1332"/>
      <c r="MJM185" s="1332"/>
      <c r="MJN185" s="1332"/>
      <c r="MJO185" s="1332"/>
      <c r="MJP185" s="1332"/>
      <c r="MJQ185" s="1332"/>
      <c r="MJR185" s="1332"/>
      <c r="MJS185" s="1332"/>
      <c r="MJT185" s="1332"/>
      <c r="MJU185" s="1332"/>
      <c r="MJV185" s="1332"/>
      <c r="MJW185" s="1332"/>
      <c r="MJX185" s="1332"/>
      <c r="MJY185" s="1332"/>
      <c r="MJZ185" s="1332"/>
      <c r="MKA185" s="1332"/>
      <c r="MKB185" s="1332"/>
      <c r="MKC185" s="1332"/>
      <c r="MKD185" s="1332"/>
      <c r="MKE185" s="1332"/>
      <c r="MKF185" s="1332"/>
      <c r="MKG185" s="1332"/>
      <c r="MKH185" s="1332"/>
      <c r="MKI185" s="1332"/>
      <c r="MKJ185" s="1332"/>
      <c r="MKK185" s="1332"/>
      <c r="MKL185" s="1332"/>
      <c r="MKM185" s="1332"/>
      <c r="MKN185" s="1332"/>
      <c r="MKO185" s="1332"/>
      <c r="MKP185" s="1332"/>
      <c r="MKQ185" s="1332"/>
      <c r="MKR185" s="1332"/>
      <c r="MKS185" s="1332"/>
      <c r="MKT185" s="1332"/>
      <c r="MKU185" s="1332"/>
      <c r="MKV185" s="1332"/>
      <c r="MKW185" s="1332"/>
      <c r="MKX185" s="1332"/>
      <c r="MKY185" s="1332"/>
      <c r="MKZ185" s="1332"/>
      <c r="MLA185" s="1332"/>
      <c r="MLB185" s="1332"/>
      <c r="MLC185" s="1332"/>
      <c r="MLD185" s="1332"/>
      <c r="MLE185" s="1332"/>
      <c r="MLF185" s="1332"/>
      <c r="MLG185" s="1332"/>
      <c r="MLH185" s="1332"/>
      <c r="MLI185" s="1332"/>
      <c r="MLJ185" s="1332"/>
      <c r="MLK185" s="1332"/>
      <c r="MLL185" s="1332"/>
      <c r="MLM185" s="1332"/>
      <c r="MLN185" s="1332"/>
      <c r="MLO185" s="1332"/>
      <c r="MLP185" s="1332"/>
      <c r="MLQ185" s="1332"/>
      <c r="MLR185" s="1332"/>
      <c r="MLS185" s="1332"/>
      <c r="MLT185" s="1332"/>
      <c r="MLU185" s="1332"/>
      <c r="MLV185" s="1332"/>
      <c r="MLW185" s="1332"/>
      <c r="MLX185" s="1332"/>
      <c r="MLY185" s="1332"/>
      <c r="MLZ185" s="1332"/>
      <c r="MMA185" s="1332"/>
      <c r="MMB185" s="1332"/>
      <c r="MMC185" s="1332"/>
      <c r="MMD185" s="1332"/>
      <c r="MME185" s="1332"/>
      <c r="MMF185" s="1332"/>
      <c r="MMG185" s="1332"/>
      <c r="MMH185" s="1332"/>
      <c r="MMI185" s="1332"/>
      <c r="MMJ185" s="1332"/>
      <c r="MMK185" s="1332"/>
      <c r="MML185" s="1332"/>
      <c r="MMM185" s="1332"/>
      <c r="MMN185" s="1332"/>
      <c r="MMO185" s="1332"/>
      <c r="MMP185" s="1332"/>
      <c r="MMQ185" s="1332"/>
      <c r="MMR185" s="1332"/>
      <c r="MMS185" s="1332"/>
      <c r="MMT185" s="1332"/>
      <c r="MMU185" s="1332"/>
      <c r="MMV185" s="1332"/>
      <c r="MMW185" s="1332"/>
      <c r="MMX185" s="1332"/>
      <c r="MMY185" s="1332"/>
      <c r="MMZ185" s="1332"/>
      <c r="MNA185" s="1332"/>
      <c r="MNB185" s="1332"/>
      <c r="MNC185" s="1332"/>
      <c r="MND185" s="1332"/>
      <c r="MNE185" s="1332"/>
      <c r="MNF185" s="1332"/>
      <c r="MNG185" s="1332"/>
      <c r="MNH185" s="1332"/>
      <c r="MNI185" s="1332"/>
      <c r="MNJ185" s="1332"/>
      <c r="MNK185" s="1332"/>
      <c r="MNL185" s="1332"/>
      <c r="MNM185" s="1332"/>
      <c r="MNN185" s="1332"/>
      <c r="MNO185" s="1332"/>
      <c r="MNP185" s="1332"/>
      <c r="MNQ185" s="1332"/>
      <c r="MNR185" s="1332"/>
      <c r="MNS185" s="1332"/>
      <c r="MNT185" s="1332"/>
      <c r="MNU185" s="1332"/>
      <c r="MNV185" s="1332"/>
      <c r="MNW185" s="1332"/>
      <c r="MNX185" s="1332"/>
      <c r="MNY185" s="1332"/>
      <c r="MNZ185" s="1332"/>
      <c r="MOA185" s="1332"/>
      <c r="MOB185" s="1332"/>
      <c r="MOC185" s="1332"/>
      <c r="MOD185" s="1332"/>
      <c r="MOE185" s="1332"/>
      <c r="MOF185" s="1332"/>
      <c r="MOG185" s="1332"/>
      <c r="MOH185" s="1332"/>
      <c r="MOI185" s="1332"/>
      <c r="MOJ185" s="1332"/>
      <c r="MOK185" s="1332"/>
      <c r="MOL185" s="1332"/>
      <c r="MOM185" s="1332"/>
      <c r="MON185" s="1332"/>
      <c r="MOO185" s="1332"/>
      <c r="MOP185" s="1332"/>
      <c r="MOQ185" s="1332"/>
      <c r="MOR185" s="1332"/>
      <c r="MOS185" s="1332"/>
      <c r="MOT185" s="1332"/>
      <c r="MOU185" s="1332"/>
      <c r="MOV185" s="1332"/>
      <c r="MOW185" s="1332"/>
      <c r="MOX185" s="1332"/>
      <c r="MOY185" s="1332"/>
      <c r="MOZ185" s="1332"/>
      <c r="MPA185" s="1332"/>
      <c r="MPB185" s="1332"/>
      <c r="MPC185" s="1332"/>
      <c r="MPD185" s="1332"/>
      <c r="MPE185" s="1332"/>
      <c r="MPF185" s="1332"/>
      <c r="MPG185" s="1332"/>
      <c r="MPH185" s="1332"/>
      <c r="MPI185" s="1332"/>
      <c r="MPJ185" s="1332"/>
      <c r="MPK185" s="1332"/>
      <c r="MPL185" s="1332"/>
      <c r="MPM185" s="1332"/>
      <c r="MPN185" s="1332"/>
      <c r="MPO185" s="1332"/>
      <c r="MPP185" s="1332"/>
      <c r="MPQ185" s="1332"/>
      <c r="MPR185" s="1332"/>
      <c r="MPS185" s="1332"/>
      <c r="MPT185" s="1332"/>
      <c r="MPU185" s="1332"/>
      <c r="MPV185" s="1332"/>
      <c r="MPW185" s="1332"/>
      <c r="MPX185" s="1332"/>
      <c r="MPY185" s="1332"/>
      <c r="MPZ185" s="1332"/>
      <c r="MQA185" s="1332"/>
      <c r="MQB185" s="1332"/>
      <c r="MQC185" s="1332"/>
      <c r="MQD185" s="1332"/>
      <c r="MQE185" s="1332"/>
      <c r="MQF185" s="1332"/>
      <c r="MQG185" s="1332"/>
      <c r="MQH185" s="1332"/>
      <c r="MQI185" s="1332"/>
      <c r="MQJ185" s="1332"/>
      <c r="MQK185" s="1332"/>
      <c r="MQL185" s="1332"/>
      <c r="MQM185" s="1332"/>
      <c r="MQN185" s="1332"/>
      <c r="MQO185" s="1332"/>
      <c r="MQP185" s="1332"/>
      <c r="MQQ185" s="1332"/>
      <c r="MQR185" s="1332"/>
      <c r="MQS185" s="1332"/>
      <c r="MQT185" s="1332"/>
      <c r="MQU185" s="1332"/>
      <c r="MQV185" s="1332"/>
      <c r="MQW185" s="1332"/>
      <c r="MQX185" s="1332"/>
      <c r="MQY185" s="1332"/>
      <c r="MQZ185" s="1332"/>
      <c r="MRA185" s="1332"/>
      <c r="MRB185" s="1332"/>
      <c r="MRC185" s="1332"/>
      <c r="MRD185" s="1332"/>
      <c r="MRE185" s="1332"/>
      <c r="MRF185" s="1332"/>
      <c r="MRG185" s="1332"/>
      <c r="MRH185" s="1332"/>
      <c r="MRI185" s="1332"/>
      <c r="MRJ185" s="1332"/>
      <c r="MRK185" s="1332"/>
      <c r="MRL185" s="1332"/>
      <c r="MRM185" s="1332"/>
      <c r="MRN185" s="1332"/>
      <c r="MRO185" s="1332"/>
      <c r="MRP185" s="1332"/>
      <c r="MRQ185" s="1332"/>
      <c r="MRR185" s="1332"/>
      <c r="MRS185" s="1332"/>
      <c r="MRT185" s="1332"/>
      <c r="MRU185" s="1332"/>
      <c r="MRV185" s="1332"/>
      <c r="MRW185" s="1332"/>
      <c r="MRX185" s="1332"/>
      <c r="MRY185" s="1332"/>
      <c r="MRZ185" s="1332"/>
      <c r="MSA185" s="1332"/>
      <c r="MSB185" s="1332"/>
      <c r="MSC185" s="1332"/>
      <c r="MSD185" s="1332"/>
      <c r="MSE185" s="1332"/>
      <c r="MSF185" s="1332"/>
      <c r="MSG185" s="1332"/>
      <c r="MSH185" s="1332"/>
      <c r="MSI185" s="1332"/>
      <c r="MSJ185" s="1332"/>
      <c r="MSK185" s="1332"/>
      <c r="MSL185" s="1332"/>
      <c r="MSM185" s="1332"/>
      <c r="MSN185" s="1332"/>
      <c r="MSO185" s="1332"/>
      <c r="MSP185" s="1332"/>
      <c r="MSQ185" s="1332"/>
      <c r="MSR185" s="1332"/>
      <c r="MSS185" s="1332"/>
      <c r="MST185" s="1332"/>
      <c r="MSU185" s="1332"/>
      <c r="MSV185" s="1332"/>
      <c r="MSW185" s="1332"/>
      <c r="MSX185" s="1332"/>
      <c r="MSY185" s="1332"/>
      <c r="MSZ185" s="1332"/>
      <c r="MTA185" s="1332"/>
      <c r="MTB185" s="1332"/>
      <c r="MTC185" s="1332"/>
      <c r="MTD185" s="1332"/>
      <c r="MTE185" s="1332"/>
      <c r="MTF185" s="1332"/>
      <c r="MTG185" s="1332"/>
      <c r="MTH185" s="1332"/>
      <c r="MTI185" s="1332"/>
      <c r="MTJ185" s="1332"/>
      <c r="MTK185" s="1332"/>
      <c r="MTL185" s="1332"/>
      <c r="MTM185" s="1332"/>
      <c r="MTN185" s="1332"/>
      <c r="MTO185" s="1332"/>
      <c r="MTP185" s="1332"/>
      <c r="MTQ185" s="1332"/>
      <c r="MTR185" s="1332"/>
      <c r="MTS185" s="1332"/>
      <c r="MTT185" s="1332"/>
      <c r="MTU185" s="1332"/>
      <c r="MTV185" s="1332"/>
      <c r="MTW185" s="1332"/>
      <c r="MTX185" s="1332"/>
      <c r="MTY185" s="1332"/>
      <c r="MTZ185" s="1332"/>
      <c r="MUA185" s="1332"/>
      <c r="MUB185" s="1332"/>
      <c r="MUC185" s="1332"/>
      <c r="MUD185" s="1332"/>
      <c r="MUE185" s="1332"/>
      <c r="MUF185" s="1332"/>
      <c r="MUG185" s="1332"/>
      <c r="MUH185" s="1332"/>
      <c r="MUI185" s="1332"/>
      <c r="MUJ185" s="1332"/>
      <c r="MUK185" s="1332"/>
      <c r="MUL185" s="1332"/>
      <c r="MUM185" s="1332"/>
      <c r="MUN185" s="1332"/>
      <c r="MUO185" s="1332"/>
      <c r="MUP185" s="1332"/>
      <c r="MUQ185" s="1332"/>
      <c r="MUR185" s="1332"/>
      <c r="MUS185" s="1332"/>
      <c r="MUT185" s="1332"/>
      <c r="MUU185" s="1332"/>
      <c r="MUV185" s="1332"/>
      <c r="MUW185" s="1332"/>
      <c r="MUX185" s="1332"/>
      <c r="MUY185" s="1332"/>
      <c r="MUZ185" s="1332"/>
      <c r="MVA185" s="1332"/>
      <c r="MVB185" s="1332"/>
      <c r="MVC185" s="1332"/>
      <c r="MVD185" s="1332"/>
      <c r="MVE185" s="1332"/>
      <c r="MVF185" s="1332"/>
      <c r="MVG185" s="1332"/>
      <c r="MVH185" s="1332"/>
      <c r="MVI185" s="1332"/>
      <c r="MVJ185" s="1332"/>
      <c r="MVK185" s="1332"/>
      <c r="MVL185" s="1332"/>
      <c r="MVM185" s="1332"/>
      <c r="MVN185" s="1332"/>
      <c r="MVO185" s="1332"/>
      <c r="MVP185" s="1332"/>
      <c r="MVQ185" s="1332"/>
      <c r="MVR185" s="1332"/>
      <c r="MVS185" s="1332"/>
      <c r="MVT185" s="1332"/>
      <c r="MVU185" s="1332"/>
      <c r="MVV185" s="1332"/>
      <c r="MVW185" s="1332"/>
      <c r="MVX185" s="1332"/>
      <c r="MVY185" s="1332"/>
      <c r="MVZ185" s="1332"/>
      <c r="MWA185" s="1332"/>
      <c r="MWB185" s="1332"/>
      <c r="MWC185" s="1332"/>
      <c r="MWD185" s="1332"/>
      <c r="MWE185" s="1332"/>
      <c r="MWF185" s="1332"/>
      <c r="MWG185" s="1332"/>
      <c r="MWH185" s="1332"/>
      <c r="MWI185" s="1332"/>
      <c r="MWJ185" s="1332"/>
      <c r="MWK185" s="1332"/>
      <c r="MWL185" s="1332"/>
      <c r="MWM185" s="1332"/>
      <c r="MWN185" s="1332"/>
      <c r="MWO185" s="1332"/>
      <c r="MWP185" s="1332"/>
      <c r="MWQ185" s="1332"/>
      <c r="MWR185" s="1332"/>
      <c r="MWS185" s="1332"/>
      <c r="MWT185" s="1332"/>
      <c r="MWU185" s="1332"/>
      <c r="MWV185" s="1332"/>
      <c r="MWW185" s="1332"/>
      <c r="MWX185" s="1332"/>
      <c r="MWY185" s="1332"/>
      <c r="MWZ185" s="1332"/>
      <c r="MXA185" s="1332"/>
      <c r="MXB185" s="1332"/>
      <c r="MXC185" s="1332"/>
      <c r="MXD185" s="1332"/>
      <c r="MXE185" s="1332"/>
      <c r="MXF185" s="1332"/>
      <c r="MXG185" s="1332"/>
      <c r="MXH185" s="1332"/>
      <c r="MXI185" s="1332"/>
      <c r="MXJ185" s="1332"/>
      <c r="MXK185" s="1332"/>
      <c r="MXL185" s="1332"/>
      <c r="MXM185" s="1332"/>
      <c r="MXN185" s="1332"/>
      <c r="MXO185" s="1332"/>
      <c r="MXP185" s="1332"/>
      <c r="MXQ185" s="1332"/>
      <c r="MXR185" s="1332"/>
      <c r="MXS185" s="1332"/>
      <c r="MXT185" s="1332"/>
      <c r="MXU185" s="1332"/>
      <c r="MXV185" s="1332"/>
      <c r="MXW185" s="1332"/>
      <c r="MXX185" s="1332"/>
      <c r="MXY185" s="1332"/>
      <c r="MXZ185" s="1332"/>
      <c r="MYA185" s="1332"/>
      <c r="MYB185" s="1332"/>
      <c r="MYC185" s="1332"/>
      <c r="MYD185" s="1332"/>
      <c r="MYE185" s="1332"/>
      <c r="MYF185" s="1332"/>
      <c r="MYG185" s="1332"/>
      <c r="MYH185" s="1332"/>
      <c r="MYI185" s="1332"/>
      <c r="MYJ185" s="1332"/>
      <c r="MYK185" s="1332"/>
      <c r="MYL185" s="1332"/>
      <c r="MYM185" s="1332"/>
      <c r="MYN185" s="1332"/>
      <c r="MYO185" s="1332"/>
      <c r="MYP185" s="1332"/>
      <c r="MYQ185" s="1332"/>
      <c r="MYR185" s="1332"/>
      <c r="MYS185" s="1332"/>
      <c r="MYT185" s="1332"/>
      <c r="MYU185" s="1332"/>
      <c r="MYV185" s="1332"/>
      <c r="MYW185" s="1332"/>
      <c r="MYX185" s="1332"/>
      <c r="MYY185" s="1332"/>
      <c r="MYZ185" s="1332"/>
      <c r="MZA185" s="1332"/>
      <c r="MZB185" s="1332"/>
      <c r="MZC185" s="1332"/>
      <c r="MZD185" s="1332"/>
      <c r="MZE185" s="1332"/>
      <c r="MZF185" s="1332"/>
      <c r="MZG185" s="1332"/>
      <c r="MZH185" s="1332"/>
      <c r="MZI185" s="1332"/>
      <c r="MZJ185" s="1332"/>
      <c r="MZK185" s="1332"/>
      <c r="MZL185" s="1332"/>
      <c r="MZM185" s="1332"/>
      <c r="MZN185" s="1332"/>
      <c r="MZO185" s="1332"/>
      <c r="MZP185" s="1332"/>
      <c r="MZQ185" s="1332"/>
      <c r="MZR185" s="1332"/>
      <c r="MZS185" s="1332"/>
      <c r="MZT185" s="1332"/>
      <c r="MZU185" s="1332"/>
      <c r="MZV185" s="1332"/>
      <c r="MZW185" s="1332"/>
      <c r="MZX185" s="1332"/>
      <c r="MZY185" s="1332"/>
      <c r="MZZ185" s="1332"/>
      <c r="NAA185" s="1332"/>
      <c r="NAB185" s="1332"/>
      <c r="NAC185" s="1332"/>
      <c r="NAD185" s="1332"/>
      <c r="NAE185" s="1332"/>
      <c r="NAF185" s="1332"/>
      <c r="NAG185" s="1332"/>
      <c r="NAH185" s="1332"/>
      <c r="NAI185" s="1332"/>
      <c r="NAJ185" s="1332"/>
      <c r="NAK185" s="1332"/>
      <c r="NAL185" s="1332"/>
      <c r="NAM185" s="1332"/>
      <c r="NAN185" s="1332"/>
      <c r="NAO185" s="1332"/>
      <c r="NAP185" s="1332"/>
      <c r="NAQ185" s="1332"/>
      <c r="NAR185" s="1332"/>
      <c r="NAS185" s="1332"/>
      <c r="NAT185" s="1332"/>
      <c r="NAU185" s="1332"/>
      <c r="NAV185" s="1332"/>
      <c r="NAW185" s="1332"/>
      <c r="NAX185" s="1332"/>
      <c r="NAY185" s="1332"/>
      <c r="NAZ185" s="1332"/>
      <c r="NBA185" s="1332"/>
      <c r="NBB185" s="1332"/>
      <c r="NBC185" s="1332"/>
      <c r="NBD185" s="1332"/>
      <c r="NBE185" s="1332"/>
      <c r="NBF185" s="1332"/>
      <c r="NBG185" s="1332"/>
      <c r="NBH185" s="1332"/>
      <c r="NBI185" s="1332"/>
      <c r="NBJ185" s="1332"/>
      <c r="NBK185" s="1332"/>
      <c r="NBL185" s="1332"/>
      <c r="NBM185" s="1332"/>
      <c r="NBN185" s="1332"/>
      <c r="NBO185" s="1332"/>
      <c r="NBP185" s="1332"/>
      <c r="NBQ185" s="1332"/>
      <c r="NBR185" s="1332"/>
      <c r="NBS185" s="1332"/>
      <c r="NBT185" s="1332"/>
      <c r="NBU185" s="1332"/>
      <c r="NBV185" s="1332"/>
      <c r="NBW185" s="1332"/>
      <c r="NBX185" s="1332"/>
      <c r="NBY185" s="1332"/>
      <c r="NBZ185" s="1332"/>
      <c r="NCA185" s="1332"/>
      <c r="NCB185" s="1332"/>
      <c r="NCC185" s="1332"/>
      <c r="NCD185" s="1332"/>
      <c r="NCE185" s="1332"/>
      <c r="NCF185" s="1332"/>
      <c r="NCG185" s="1332"/>
      <c r="NCH185" s="1332"/>
      <c r="NCI185" s="1332"/>
      <c r="NCJ185" s="1332"/>
      <c r="NCK185" s="1332"/>
      <c r="NCL185" s="1332"/>
      <c r="NCM185" s="1332"/>
      <c r="NCN185" s="1332"/>
      <c r="NCO185" s="1332"/>
      <c r="NCP185" s="1332"/>
      <c r="NCQ185" s="1332"/>
      <c r="NCR185" s="1332"/>
      <c r="NCS185" s="1332"/>
      <c r="NCT185" s="1332"/>
      <c r="NCU185" s="1332"/>
      <c r="NCV185" s="1332"/>
      <c r="NCW185" s="1332"/>
      <c r="NCX185" s="1332"/>
      <c r="NCY185" s="1332"/>
      <c r="NCZ185" s="1332"/>
      <c r="NDA185" s="1332"/>
      <c r="NDB185" s="1332"/>
      <c r="NDC185" s="1332"/>
      <c r="NDD185" s="1332"/>
      <c r="NDE185" s="1332"/>
      <c r="NDF185" s="1332"/>
      <c r="NDG185" s="1332"/>
      <c r="NDH185" s="1332"/>
      <c r="NDI185" s="1332"/>
      <c r="NDJ185" s="1332"/>
      <c r="NDK185" s="1332"/>
      <c r="NDL185" s="1332"/>
      <c r="NDM185" s="1332"/>
      <c r="NDN185" s="1332"/>
      <c r="NDO185" s="1332"/>
      <c r="NDP185" s="1332"/>
      <c r="NDQ185" s="1332"/>
      <c r="NDR185" s="1332"/>
      <c r="NDS185" s="1332"/>
      <c r="NDT185" s="1332"/>
      <c r="NDU185" s="1332"/>
      <c r="NDV185" s="1332"/>
      <c r="NDW185" s="1332"/>
      <c r="NDX185" s="1332"/>
      <c r="NDY185" s="1332"/>
      <c r="NDZ185" s="1332"/>
      <c r="NEA185" s="1332"/>
      <c r="NEB185" s="1332"/>
      <c r="NEC185" s="1332"/>
      <c r="NED185" s="1332"/>
      <c r="NEE185" s="1332"/>
      <c r="NEF185" s="1332"/>
      <c r="NEG185" s="1332"/>
      <c r="NEH185" s="1332"/>
      <c r="NEI185" s="1332"/>
      <c r="NEJ185" s="1332"/>
      <c r="NEK185" s="1332"/>
      <c r="NEL185" s="1332"/>
      <c r="NEM185" s="1332"/>
      <c r="NEN185" s="1332"/>
      <c r="NEO185" s="1332"/>
      <c r="NEP185" s="1332"/>
      <c r="NEQ185" s="1332"/>
      <c r="NER185" s="1332"/>
      <c r="NES185" s="1332"/>
      <c r="NET185" s="1332"/>
      <c r="NEU185" s="1332"/>
      <c r="NEV185" s="1332"/>
      <c r="NEW185" s="1332"/>
      <c r="NEX185" s="1332"/>
      <c r="NEY185" s="1332"/>
      <c r="NEZ185" s="1332"/>
      <c r="NFA185" s="1332"/>
      <c r="NFB185" s="1332"/>
      <c r="NFC185" s="1332"/>
      <c r="NFD185" s="1332"/>
      <c r="NFE185" s="1332"/>
      <c r="NFF185" s="1332"/>
      <c r="NFG185" s="1332"/>
      <c r="NFH185" s="1332"/>
      <c r="NFI185" s="1332"/>
      <c r="NFJ185" s="1332"/>
      <c r="NFK185" s="1332"/>
      <c r="NFL185" s="1332"/>
      <c r="NFM185" s="1332"/>
      <c r="NFN185" s="1332"/>
      <c r="NFO185" s="1332"/>
      <c r="NFP185" s="1332"/>
      <c r="NFQ185" s="1332"/>
      <c r="NFR185" s="1332"/>
      <c r="NFS185" s="1332"/>
      <c r="NFT185" s="1332"/>
      <c r="NFU185" s="1332"/>
      <c r="NFV185" s="1332"/>
      <c r="NFW185" s="1332"/>
      <c r="NFX185" s="1332"/>
      <c r="NFY185" s="1332"/>
      <c r="NFZ185" s="1332"/>
      <c r="NGA185" s="1332"/>
      <c r="NGB185" s="1332"/>
      <c r="NGC185" s="1332"/>
      <c r="NGD185" s="1332"/>
      <c r="NGE185" s="1332"/>
      <c r="NGF185" s="1332"/>
      <c r="NGG185" s="1332"/>
      <c r="NGH185" s="1332"/>
      <c r="NGI185" s="1332"/>
      <c r="NGJ185" s="1332"/>
      <c r="NGK185" s="1332"/>
      <c r="NGL185" s="1332"/>
      <c r="NGM185" s="1332"/>
      <c r="NGN185" s="1332"/>
      <c r="NGO185" s="1332"/>
      <c r="NGP185" s="1332"/>
      <c r="NGQ185" s="1332"/>
      <c r="NGR185" s="1332"/>
      <c r="NGS185" s="1332"/>
      <c r="NGT185" s="1332"/>
      <c r="NGU185" s="1332"/>
      <c r="NGV185" s="1332"/>
      <c r="NGW185" s="1332"/>
      <c r="NGX185" s="1332"/>
      <c r="NGY185" s="1332"/>
      <c r="NGZ185" s="1332"/>
      <c r="NHA185" s="1332"/>
      <c r="NHB185" s="1332"/>
      <c r="NHC185" s="1332"/>
      <c r="NHD185" s="1332"/>
      <c r="NHE185" s="1332"/>
      <c r="NHF185" s="1332"/>
      <c r="NHG185" s="1332"/>
      <c r="NHH185" s="1332"/>
      <c r="NHI185" s="1332"/>
      <c r="NHJ185" s="1332"/>
      <c r="NHK185" s="1332"/>
      <c r="NHL185" s="1332"/>
      <c r="NHM185" s="1332"/>
      <c r="NHN185" s="1332"/>
      <c r="NHO185" s="1332"/>
      <c r="NHP185" s="1332"/>
      <c r="NHQ185" s="1332"/>
      <c r="NHR185" s="1332"/>
      <c r="NHS185" s="1332"/>
      <c r="NHT185" s="1332"/>
      <c r="NHU185" s="1332"/>
      <c r="NHV185" s="1332"/>
      <c r="NHW185" s="1332"/>
      <c r="NHX185" s="1332"/>
      <c r="NHY185" s="1332"/>
      <c r="NHZ185" s="1332"/>
      <c r="NIA185" s="1332"/>
      <c r="NIB185" s="1332"/>
      <c r="NIC185" s="1332"/>
      <c r="NID185" s="1332"/>
      <c r="NIE185" s="1332"/>
      <c r="NIF185" s="1332"/>
      <c r="NIG185" s="1332"/>
      <c r="NIH185" s="1332"/>
      <c r="NII185" s="1332"/>
      <c r="NIJ185" s="1332"/>
      <c r="NIK185" s="1332"/>
      <c r="NIL185" s="1332"/>
      <c r="NIM185" s="1332"/>
      <c r="NIN185" s="1332"/>
      <c r="NIO185" s="1332"/>
      <c r="NIP185" s="1332"/>
      <c r="NIQ185" s="1332"/>
      <c r="NIR185" s="1332"/>
      <c r="NIS185" s="1332"/>
      <c r="NIT185" s="1332"/>
      <c r="NIU185" s="1332"/>
      <c r="NIV185" s="1332"/>
      <c r="NIW185" s="1332"/>
      <c r="NIX185" s="1332"/>
      <c r="NIY185" s="1332"/>
      <c r="NIZ185" s="1332"/>
      <c r="NJA185" s="1332"/>
      <c r="NJB185" s="1332"/>
      <c r="NJC185" s="1332"/>
      <c r="NJD185" s="1332"/>
      <c r="NJE185" s="1332"/>
      <c r="NJF185" s="1332"/>
      <c r="NJG185" s="1332"/>
      <c r="NJH185" s="1332"/>
      <c r="NJI185" s="1332"/>
      <c r="NJJ185" s="1332"/>
      <c r="NJK185" s="1332"/>
      <c r="NJL185" s="1332"/>
      <c r="NJM185" s="1332"/>
      <c r="NJN185" s="1332"/>
      <c r="NJO185" s="1332"/>
      <c r="NJP185" s="1332"/>
      <c r="NJQ185" s="1332"/>
      <c r="NJR185" s="1332"/>
      <c r="NJS185" s="1332"/>
      <c r="NJT185" s="1332"/>
      <c r="NJU185" s="1332"/>
      <c r="NJV185" s="1332"/>
      <c r="NJW185" s="1332"/>
      <c r="NJX185" s="1332"/>
      <c r="NJY185" s="1332"/>
      <c r="NJZ185" s="1332"/>
      <c r="NKA185" s="1332"/>
      <c r="NKB185" s="1332"/>
      <c r="NKC185" s="1332"/>
      <c r="NKD185" s="1332"/>
      <c r="NKE185" s="1332"/>
      <c r="NKF185" s="1332"/>
      <c r="NKG185" s="1332"/>
      <c r="NKH185" s="1332"/>
      <c r="NKI185" s="1332"/>
      <c r="NKJ185" s="1332"/>
      <c r="NKK185" s="1332"/>
      <c r="NKL185" s="1332"/>
      <c r="NKM185" s="1332"/>
      <c r="NKN185" s="1332"/>
      <c r="NKO185" s="1332"/>
      <c r="NKP185" s="1332"/>
      <c r="NKQ185" s="1332"/>
      <c r="NKR185" s="1332"/>
      <c r="NKS185" s="1332"/>
      <c r="NKT185" s="1332"/>
      <c r="NKU185" s="1332"/>
      <c r="NKV185" s="1332"/>
      <c r="NKW185" s="1332"/>
      <c r="NKX185" s="1332"/>
      <c r="NKY185" s="1332"/>
      <c r="NKZ185" s="1332"/>
      <c r="NLA185" s="1332"/>
      <c r="NLB185" s="1332"/>
      <c r="NLC185" s="1332"/>
      <c r="NLD185" s="1332"/>
      <c r="NLE185" s="1332"/>
      <c r="NLF185" s="1332"/>
      <c r="NLG185" s="1332"/>
      <c r="NLH185" s="1332"/>
      <c r="NLI185" s="1332"/>
      <c r="NLJ185" s="1332"/>
      <c r="NLK185" s="1332"/>
      <c r="NLL185" s="1332"/>
      <c r="NLM185" s="1332"/>
      <c r="NLN185" s="1332"/>
      <c r="NLO185" s="1332"/>
      <c r="NLP185" s="1332"/>
      <c r="NLQ185" s="1332"/>
      <c r="NLR185" s="1332"/>
      <c r="NLS185" s="1332"/>
      <c r="NLT185" s="1332"/>
      <c r="NLU185" s="1332"/>
      <c r="NLV185" s="1332"/>
      <c r="NLW185" s="1332"/>
      <c r="NLX185" s="1332"/>
      <c r="NLY185" s="1332"/>
      <c r="NLZ185" s="1332"/>
      <c r="NMA185" s="1332"/>
      <c r="NMB185" s="1332"/>
      <c r="NMC185" s="1332"/>
      <c r="NMD185" s="1332"/>
      <c r="NME185" s="1332"/>
      <c r="NMF185" s="1332"/>
      <c r="NMG185" s="1332"/>
      <c r="NMH185" s="1332"/>
      <c r="NMI185" s="1332"/>
      <c r="NMJ185" s="1332"/>
      <c r="NMK185" s="1332"/>
      <c r="NML185" s="1332"/>
      <c r="NMM185" s="1332"/>
      <c r="NMN185" s="1332"/>
      <c r="NMO185" s="1332"/>
      <c r="NMP185" s="1332"/>
      <c r="NMQ185" s="1332"/>
      <c r="NMR185" s="1332"/>
      <c r="NMS185" s="1332"/>
      <c r="NMT185" s="1332"/>
      <c r="NMU185" s="1332"/>
      <c r="NMV185" s="1332"/>
      <c r="NMW185" s="1332"/>
      <c r="NMX185" s="1332"/>
      <c r="NMY185" s="1332"/>
      <c r="NMZ185" s="1332"/>
      <c r="NNA185" s="1332"/>
      <c r="NNB185" s="1332"/>
      <c r="NNC185" s="1332"/>
      <c r="NND185" s="1332"/>
      <c r="NNE185" s="1332"/>
      <c r="NNF185" s="1332"/>
      <c r="NNG185" s="1332"/>
      <c r="NNH185" s="1332"/>
      <c r="NNI185" s="1332"/>
      <c r="NNJ185" s="1332"/>
      <c r="NNK185" s="1332"/>
      <c r="NNL185" s="1332"/>
      <c r="NNM185" s="1332"/>
      <c r="NNN185" s="1332"/>
      <c r="NNO185" s="1332"/>
      <c r="NNP185" s="1332"/>
      <c r="NNQ185" s="1332"/>
      <c r="NNR185" s="1332"/>
      <c r="NNS185" s="1332"/>
      <c r="NNT185" s="1332"/>
      <c r="NNU185" s="1332"/>
      <c r="NNV185" s="1332"/>
      <c r="NNW185" s="1332"/>
      <c r="NNX185" s="1332"/>
      <c r="NNY185" s="1332"/>
      <c r="NNZ185" s="1332"/>
      <c r="NOA185" s="1332"/>
      <c r="NOB185" s="1332"/>
      <c r="NOC185" s="1332"/>
      <c r="NOD185" s="1332"/>
      <c r="NOE185" s="1332"/>
      <c r="NOF185" s="1332"/>
      <c r="NOG185" s="1332"/>
      <c r="NOH185" s="1332"/>
      <c r="NOI185" s="1332"/>
      <c r="NOJ185" s="1332"/>
      <c r="NOK185" s="1332"/>
      <c r="NOL185" s="1332"/>
      <c r="NOM185" s="1332"/>
      <c r="NON185" s="1332"/>
      <c r="NOO185" s="1332"/>
      <c r="NOP185" s="1332"/>
      <c r="NOQ185" s="1332"/>
      <c r="NOR185" s="1332"/>
      <c r="NOS185" s="1332"/>
      <c r="NOT185" s="1332"/>
      <c r="NOU185" s="1332"/>
      <c r="NOV185" s="1332"/>
      <c r="NOW185" s="1332"/>
      <c r="NOX185" s="1332"/>
      <c r="NOY185" s="1332"/>
      <c r="NOZ185" s="1332"/>
      <c r="NPA185" s="1332"/>
      <c r="NPB185" s="1332"/>
      <c r="NPC185" s="1332"/>
      <c r="NPD185" s="1332"/>
      <c r="NPE185" s="1332"/>
      <c r="NPF185" s="1332"/>
      <c r="NPG185" s="1332"/>
      <c r="NPH185" s="1332"/>
      <c r="NPI185" s="1332"/>
      <c r="NPJ185" s="1332"/>
      <c r="NPK185" s="1332"/>
      <c r="NPL185" s="1332"/>
      <c r="NPM185" s="1332"/>
      <c r="NPN185" s="1332"/>
      <c r="NPO185" s="1332"/>
      <c r="NPP185" s="1332"/>
      <c r="NPQ185" s="1332"/>
      <c r="NPR185" s="1332"/>
      <c r="NPS185" s="1332"/>
      <c r="NPT185" s="1332"/>
      <c r="NPU185" s="1332"/>
      <c r="NPV185" s="1332"/>
      <c r="NPW185" s="1332"/>
      <c r="NPX185" s="1332"/>
      <c r="NPY185" s="1332"/>
      <c r="NPZ185" s="1332"/>
      <c r="NQA185" s="1332"/>
      <c r="NQB185" s="1332"/>
      <c r="NQC185" s="1332"/>
      <c r="NQD185" s="1332"/>
      <c r="NQE185" s="1332"/>
      <c r="NQF185" s="1332"/>
      <c r="NQG185" s="1332"/>
      <c r="NQH185" s="1332"/>
      <c r="NQI185" s="1332"/>
      <c r="NQJ185" s="1332"/>
      <c r="NQK185" s="1332"/>
      <c r="NQL185" s="1332"/>
      <c r="NQM185" s="1332"/>
      <c r="NQN185" s="1332"/>
      <c r="NQO185" s="1332"/>
      <c r="NQP185" s="1332"/>
      <c r="NQQ185" s="1332"/>
      <c r="NQR185" s="1332"/>
      <c r="NQS185" s="1332"/>
      <c r="NQT185" s="1332"/>
      <c r="NQU185" s="1332"/>
      <c r="NQV185" s="1332"/>
      <c r="NQW185" s="1332"/>
      <c r="NQX185" s="1332"/>
      <c r="NQY185" s="1332"/>
      <c r="NQZ185" s="1332"/>
      <c r="NRA185" s="1332"/>
      <c r="NRB185" s="1332"/>
      <c r="NRC185" s="1332"/>
      <c r="NRD185" s="1332"/>
      <c r="NRE185" s="1332"/>
      <c r="NRF185" s="1332"/>
      <c r="NRG185" s="1332"/>
      <c r="NRH185" s="1332"/>
      <c r="NRI185" s="1332"/>
      <c r="NRJ185" s="1332"/>
      <c r="NRK185" s="1332"/>
      <c r="NRL185" s="1332"/>
      <c r="NRM185" s="1332"/>
      <c r="NRN185" s="1332"/>
      <c r="NRO185" s="1332"/>
      <c r="NRP185" s="1332"/>
      <c r="NRQ185" s="1332"/>
      <c r="NRR185" s="1332"/>
      <c r="NRS185" s="1332"/>
      <c r="NRT185" s="1332"/>
      <c r="NRU185" s="1332"/>
      <c r="NRV185" s="1332"/>
      <c r="NRW185" s="1332"/>
      <c r="NRX185" s="1332"/>
      <c r="NRY185" s="1332"/>
      <c r="NRZ185" s="1332"/>
      <c r="NSA185" s="1332"/>
      <c r="NSB185" s="1332"/>
      <c r="NSC185" s="1332"/>
      <c r="NSD185" s="1332"/>
      <c r="NSE185" s="1332"/>
      <c r="NSF185" s="1332"/>
      <c r="NSG185" s="1332"/>
      <c r="NSH185" s="1332"/>
      <c r="NSI185" s="1332"/>
      <c r="NSJ185" s="1332"/>
      <c r="NSK185" s="1332"/>
      <c r="NSL185" s="1332"/>
      <c r="NSM185" s="1332"/>
      <c r="NSN185" s="1332"/>
      <c r="NSO185" s="1332"/>
      <c r="NSP185" s="1332"/>
      <c r="NSQ185" s="1332"/>
      <c r="NSR185" s="1332"/>
      <c r="NSS185" s="1332"/>
      <c r="NST185" s="1332"/>
      <c r="NSU185" s="1332"/>
      <c r="NSV185" s="1332"/>
      <c r="NSW185" s="1332"/>
      <c r="NSX185" s="1332"/>
      <c r="NSY185" s="1332"/>
      <c r="NSZ185" s="1332"/>
      <c r="NTA185" s="1332"/>
      <c r="NTB185" s="1332"/>
      <c r="NTC185" s="1332"/>
      <c r="NTD185" s="1332"/>
      <c r="NTE185" s="1332"/>
      <c r="NTF185" s="1332"/>
      <c r="NTG185" s="1332"/>
      <c r="NTH185" s="1332"/>
      <c r="NTI185" s="1332"/>
      <c r="NTJ185" s="1332"/>
      <c r="NTK185" s="1332"/>
      <c r="NTL185" s="1332"/>
      <c r="NTM185" s="1332"/>
      <c r="NTN185" s="1332"/>
      <c r="NTO185" s="1332"/>
      <c r="NTP185" s="1332"/>
      <c r="NTQ185" s="1332"/>
      <c r="NTR185" s="1332"/>
      <c r="NTS185" s="1332"/>
      <c r="NTT185" s="1332"/>
      <c r="NTU185" s="1332"/>
      <c r="NTV185" s="1332"/>
      <c r="NTW185" s="1332"/>
      <c r="NTX185" s="1332"/>
      <c r="NTY185" s="1332"/>
      <c r="NTZ185" s="1332"/>
      <c r="NUA185" s="1332"/>
      <c r="NUB185" s="1332"/>
      <c r="NUC185" s="1332"/>
      <c r="NUD185" s="1332"/>
      <c r="NUE185" s="1332"/>
      <c r="NUF185" s="1332"/>
      <c r="NUG185" s="1332"/>
      <c r="NUH185" s="1332"/>
      <c r="NUI185" s="1332"/>
      <c r="NUJ185" s="1332"/>
      <c r="NUK185" s="1332"/>
      <c r="NUL185" s="1332"/>
      <c r="NUM185" s="1332"/>
      <c r="NUN185" s="1332"/>
      <c r="NUO185" s="1332"/>
      <c r="NUP185" s="1332"/>
      <c r="NUQ185" s="1332"/>
      <c r="NUR185" s="1332"/>
      <c r="NUS185" s="1332"/>
      <c r="NUT185" s="1332"/>
      <c r="NUU185" s="1332"/>
      <c r="NUV185" s="1332"/>
      <c r="NUW185" s="1332"/>
      <c r="NUX185" s="1332"/>
      <c r="NUY185" s="1332"/>
      <c r="NUZ185" s="1332"/>
      <c r="NVA185" s="1332"/>
      <c r="NVB185" s="1332"/>
      <c r="NVC185" s="1332"/>
      <c r="NVD185" s="1332"/>
      <c r="NVE185" s="1332"/>
      <c r="NVF185" s="1332"/>
      <c r="NVG185" s="1332"/>
      <c r="NVH185" s="1332"/>
      <c r="NVI185" s="1332"/>
      <c r="NVJ185" s="1332"/>
      <c r="NVK185" s="1332"/>
      <c r="NVL185" s="1332"/>
      <c r="NVM185" s="1332"/>
      <c r="NVN185" s="1332"/>
      <c r="NVO185" s="1332"/>
      <c r="NVP185" s="1332"/>
      <c r="NVQ185" s="1332"/>
      <c r="NVR185" s="1332"/>
      <c r="NVS185" s="1332"/>
      <c r="NVT185" s="1332"/>
      <c r="NVU185" s="1332"/>
      <c r="NVV185" s="1332"/>
      <c r="NVW185" s="1332"/>
      <c r="NVX185" s="1332"/>
      <c r="NVY185" s="1332"/>
      <c r="NVZ185" s="1332"/>
      <c r="NWA185" s="1332"/>
      <c r="NWB185" s="1332"/>
      <c r="NWC185" s="1332"/>
      <c r="NWD185" s="1332"/>
      <c r="NWE185" s="1332"/>
      <c r="NWF185" s="1332"/>
      <c r="NWG185" s="1332"/>
      <c r="NWH185" s="1332"/>
      <c r="NWI185" s="1332"/>
      <c r="NWJ185" s="1332"/>
      <c r="NWK185" s="1332"/>
      <c r="NWL185" s="1332"/>
      <c r="NWM185" s="1332"/>
      <c r="NWN185" s="1332"/>
      <c r="NWO185" s="1332"/>
      <c r="NWP185" s="1332"/>
      <c r="NWQ185" s="1332"/>
      <c r="NWR185" s="1332"/>
      <c r="NWS185" s="1332"/>
      <c r="NWT185" s="1332"/>
      <c r="NWU185" s="1332"/>
      <c r="NWV185" s="1332"/>
      <c r="NWW185" s="1332"/>
      <c r="NWX185" s="1332"/>
      <c r="NWY185" s="1332"/>
      <c r="NWZ185" s="1332"/>
      <c r="NXA185" s="1332"/>
      <c r="NXB185" s="1332"/>
      <c r="NXC185" s="1332"/>
      <c r="NXD185" s="1332"/>
      <c r="NXE185" s="1332"/>
      <c r="NXF185" s="1332"/>
      <c r="NXG185" s="1332"/>
      <c r="NXH185" s="1332"/>
      <c r="NXI185" s="1332"/>
      <c r="NXJ185" s="1332"/>
      <c r="NXK185" s="1332"/>
      <c r="NXL185" s="1332"/>
      <c r="NXM185" s="1332"/>
      <c r="NXN185" s="1332"/>
      <c r="NXO185" s="1332"/>
      <c r="NXP185" s="1332"/>
      <c r="NXQ185" s="1332"/>
      <c r="NXR185" s="1332"/>
      <c r="NXS185" s="1332"/>
      <c r="NXT185" s="1332"/>
      <c r="NXU185" s="1332"/>
      <c r="NXV185" s="1332"/>
      <c r="NXW185" s="1332"/>
      <c r="NXX185" s="1332"/>
      <c r="NXY185" s="1332"/>
      <c r="NXZ185" s="1332"/>
      <c r="NYA185" s="1332"/>
      <c r="NYB185" s="1332"/>
      <c r="NYC185" s="1332"/>
      <c r="NYD185" s="1332"/>
      <c r="NYE185" s="1332"/>
      <c r="NYF185" s="1332"/>
      <c r="NYG185" s="1332"/>
      <c r="NYH185" s="1332"/>
      <c r="NYI185" s="1332"/>
      <c r="NYJ185" s="1332"/>
      <c r="NYK185" s="1332"/>
      <c r="NYL185" s="1332"/>
      <c r="NYM185" s="1332"/>
      <c r="NYN185" s="1332"/>
      <c r="NYO185" s="1332"/>
      <c r="NYP185" s="1332"/>
      <c r="NYQ185" s="1332"/>
      <c r="NYR185" s="1332"/>
      <c r="NYS185" s="1332"/>
      <c r="NYT185" s="1332"/>
      <c r="NYU185" s="1332"/>
      <c r="NYV185" s="1332"/>
      <c r="NYW185" s="1332"/>
      <c r="NYX185" s="1332"/>
      <c r="NYY185" s="1332"/>
      <c r="NYZ185" s="1332"/>
      <c r="NZA185" s="1332"/>
      <c r="NZB185" s="1332"/>
      <c r="NZC185" s="1332"/>
      <c r="NZD185" s="1332"/>
      <c r="NZE185" s="1332"/>
      <c r="NZF185" s="1332"/>
      <c r="NZG185" s="1332"/>
      <c r="NZH185" s="1332"/>
      <c r="NZI185" s="1332"/>
      <c r="NZJ185" s="1332"/>
      <c r="NZK185" s="1332"/>
      <c r="NZL185" s="1332"/>
      <c r="NZM185" s="1332"/>
      <c r="NZN185" s="1332"/>
      <c r="NZO185" s="1332"/>
      <c r="NZP185" s="1332"/>
      <c r="NZQ185" s="1332"/>
      <c r="NZR185" s="1332"/>
      <c r="NZS185" s="1332"/>
      <c r="NZT185" s="1332"/>
      <c r="NZU185" s="1332"/>
      <c r="NZV185" s="1332"/>
      <c r="NZW185" s="1332"/>
      <c r="NZX185" s="1332"/>
      <c r="NZY185" s="1332"/>
      <c r="NZZ185" s="1332"/>
      <c r="OAA185" s="1332"/>
      <c r="OAB185" s="1332"/>
      <c r="OAC185" s="1332"/>
      <c r="OAD185" s="1332"/>
      <c r="OAE185" s="1332"/>
      <c r="OAF185" s="1332"/>
      <c r="OAG185" s="1332"/>
      <c r="OAH185" s="1332"/>
      <c r="OAI185" s="1332"/>
      <c r="OAJ185" s="1332"/>
      <c r="OAK185" s="1332"/>
      <c r="OAL185" s="1332"/>
      <c r="OAM185" s="1332"/>
      <c r="OAN185" s="1332"/>
      <c r="OAO185" s="1332"/>
      <c r="OAP185" s="1332"/>
      <c r="OAQ185" s="1332"/>
      <c r="OAR185" s="1332"/>
      <c r="OAS185" s="1332"/>
      <c r="OAT185" s="1332"/>
      <c r="OAU185" s="1332"/>
      <c r="OAV185" s="1332"/>
      <c r="OAW185" s="1332"/>
      <c r="OAX185" s="1332"/>
      <c r="OAY185" s="1332"/>
      <c r="OAZ185" s="1332"/>
      <c r="OBA185" s="1332"/>
      <c r="OBB185" s="1332"/>
      <c r="OBC185" s="1332"/>
      <c r="OBD185" s="1332"/>
      <c r="OBE185" s="1332"/>
      <c r="OBF185" s="1332"/>
      <c r="OBG185" s="1332"/>
      <c r="OBH185" s="1332"/>
      <c r="OBI185" s="1332"/>
      <c r="OBJ185" s="1332"/>
      <c r="OBK185" s="1332"/>
      <c r="OBL185" s="1332"/>
      <c r="OBM185" s="1332"/>
      <c r="OBN185" s="1332"/>
      <c r="OBO185" s="1332"/>
      <c r="OBP185" s="1332"/>
      <c r="OBQ185" s="1332"/>
      <c r="OBR185" s="1332"/>
      <c r="OBS185" s="1332"/>
      <c r="OBT185" s="1332"/>
      <c r="OBU185" s="1332"/>
      <c r="OBV185" s="1332"/>
      <c r="OBW185" s="1332"/>
      <c r="OBX185" s="1332"/>
      <c r="OBY185" s="1332"/>
      <c r="OBZ185" s="1332"/>
      <c r="OCA185" s="1332"/>
      <c r="OCB185" s="1332"/>
      <c r="OCC185" s="1332"/>
      <c r="OCD185" s="1332"/>
      <c r="OCE185" s="1332"/>
      <c r="OCF185" s="1332"/>
      <c r="OCG185" s="1332"/>
      <c r="OCH185" s="1332"/>
      <c r="OCI185" s="1332"/>
      <c r="OCJ185" s="1332"/>
      <c r="OCK185" s="1332"/>
      <c r="OCL185" s="1332"/>
      <c r="OCM185" s="1332"/>
      <c r="OCN185" s="1332"/>
      <c r="OCO185" s="1332"/>
      <c r="OCP185" s="1332"/>
      <c r="OCQ185" s="1332"/>
      <c r="OCR185" s="1332"/>
      <c r="OCS185" s="1332"/>
      <c r="OCT185" s="1332"/>
      <c r="OCU185" s="1332"/>
      <c r="OCV185" s="1332"/>
      <c r="OCW185" s="1332"/>
      <c r="OCX185" s="1332"/>
      <c r="OCY185" s="1332"/>
      <c r="OCZ185" s="1332"/>
      <c r="ODA185" s="1332"/>
      <c r="ODB185" s="1332"/>
      <c r="ODC185" s="1332"/>
      <c r="ODD185" s="1332"/>
      <c r="ODE185" s="1332"/>
      <c r="ODF185" s="1332"/>
      <c r="ODG185" s="1332"/>
      <c r="ODH185" s="1332"/>
      <c r="ODI185" s="1332"/>
      <c r="ODJ185" s="1332"/>
      <c r="ODK185" s="1332"/>
      <c r="ODL185" s="1332"/>
      <c r="ODM185" s="1332"/>
      <c r="ODN185" s="1332"/>
      <c r="ODO185" s="1332"/>
      <c r="ODP185" s="1332"/>
      <c r="ODQ185" s="1332"/>
      <c r="ODR185" s="1332"/>
      <c r="ODS185" s="1332"/>
      <c r="ODT185" s="1332"/>
      <c r="ODU185" s="1332"/>
      <c r="ODV185" s="1332"/>
      <c r="ODW185" s="1332"/>
      <c r="ODX185" s="1332"/>
      <c r="ODY185" s="1332"/>
      <c r="ODZ185" s="1332"/>
      <c r="OEA185" s="1332"/>
      <c r="OEB185" s="1332"/>
      <c r="OEC185" s="1332"/>
      <c r="OED185" s="1332"/>
      <c r="OEE185" s="1332"/>
      <c r="OEF185" s="1332"/>
      <c r="OEG185" s="1332"/>
      <c r="OEH185" s="1332"/>
      <c r="OEI185" s="1332"/>
      <c r="OEJ185" s="1332"/>
      <c r="OEK185" s="1332"/>
      <c r="OEL185" s="1332"/>
      <c r="OEM185" s="1332"/>
      <c r="OEN185" s="1332"/>
      <c r="OEO185" s="1332"/>
      <c r="OEP185" s="1332"/>
      <c r="OEQ185" s="1332"/>
      <c r="OER185" s="1332"/>
      <c r="OES185" s="1332"/>
      <c r="OET185" s="1332"/>
      <c r="OEU185" s="1332"/>
      <c r="OEV185" s="1332"/>
      <c r="OEW185" s="1332"/>
      <c r="OEX185" s="1332"/>
      <c r="OEY185" s="1332"/>
      <c r="OEZ185" s="1332"/>
      <c r="OFA185" s="1332"/>
      <c r="OFB185" s="1332"/>
      <c r="OFC185" s="1332"/>
      <c r="OFD185" s="1332"/>
      <c r="OFE185" s="1332"/>
      <c r="OFF185" s="1332"/>
      <c r="OFG185" s="1332"/>
      <c r="OFH185" s="1332"/>
      <c r="OFI185" s="1332"/>
      <c r="OFJ185" s="1332"/>
      <c r="OFK185" s="1332"/>
      <c r="OFL185" s="1332"/>
      <c r="OFM185" s="1332"/>
      <c r="OFN185" s="1332"/>
      <c r="OFO185" s="1332"/>
      <c r="OFP185" s="1332"/>
      <c r="OFQ185" s="1332"/>
      <c r="OFR185" s="1332"/>
      <c r="OFS185" s="1332"/>
      <c r="OFT185" s="1332"/>
      <c r="OFU185" s="1332"/>
      <c r="OFV185" s="1332"/>
      <c r="OFW185" s="1332"/>
      <c r="OFX185" s="1332"/>
      <c r="OFY185" s="1332"/>
      <c r="OFZ185" s="1332"/>
      <c r="OGA185" s="1332"/>
      <c r="OGB185" s="1332"/>
      <c r="OGC185" s="1332"/>
      <c r="OGD185" s="1332"/>
      <c r="OGE185" s="1332"/>
      <c r="OGF185" s="1332"/>
      <c r="OGG185" s="1332"/>
      <c r="OGH185" s="1332"/>
      <c r="OGI185" s="1332"/>
      <c r="OGJ185" s="1332"/>
      <c r="OGK185" s="1332"/>
      <c r="OGL185" s="1332"/>
      <c r="OGM185" s="1332"/>
      <c r="OGN185" s="1332"/>
      <c r="OGO185" s="1332"/>
      <c r="OGP185" s="1332"/>
      <c r="OGQ185" s="1332"/>
      <c r="OGR185" s="1332"/>
      <c r="OGS185" s="1332"/>
      <c r="OGT185" s="1332"/>
      <c r="OGU185" s="1332"/>
      <c r="OGV185" s="1332"/>
      <c r="OGW185" s="1332"/>
      <c r="OGX185" s="1332"/>
      <c r="OGY185" s="1332"/>
      <c r="OGZ185" s="1332"/>
      <c r="OHA185" s="1332"/>
      <c r="OHB185" s="1332"/>
      <c r="OHC185" s="1332"/>
      <c r="OHD185" s="1332"/>
      <c r="OHE185" s="1332"/>
      <c r="OHF185" s="1332"/>
      <c r="OHG185" s="1332"/>
      <c r="OHH185" s="1332"/>
      <c r="OHI185" s="1332"/>
      <c r="OHJ185" s="1332"/>
      <c r="OHK185" s="1332"/>
      <c r="OHL185" s="1332"/>
      <c r="OHM185" s="1332"/>
      <c r="OHN185" s="1332"/>
      <c r="OHO185" s="1332"/>
      <c r="OHP185" s="1332"/>
      <c r="OHQ185" s="1332"/>
      <c r="OHR185" s="1332"/>
      <c r="OHS185" s="1332"/>
      <c r="OHT185" s="1332"/>
      <c r="OHU185" s="1332"/>
      <c r="OHV185" s="1332"/>
      <c r="OHW185" s="1332"/>
      <c r="OHX185" s="1332"/>
      <c r="OHY185" s="1332"/>
      <c r="OHZ185" s="1332"/>
      <c r="OIA185" s="1332"/>
      <c r="OIB185" s="1332"/>
      <c r="OIC185" s="1332"/>
      <c r="OID185" s="1332"/>
      <c r="OIE185" s="1332"/>
      <c r="OIF185" s="1332"/>
      <c r="OIG185" s="1332"/>
      <c r="OIH185" s="1332"/>
      <c r="OII185" s="1332"/>
      <c r="OIJ185" s="1332"/>
      <c r="OIK185" s="1332"/>
      <c r="OIL185" s="1332"/>
      <c r="OIM185" s="1332"/>
      <c r="OIN185" s="1332"/>
      <c r="OIO185" s="1332"/>
      <c r="OIP185" s="1332"/>
      <c r="OIQ185" s="1332"/>
      <c r="OIR185" s="1332"/>
      <c r="OIS185" s="1332"/>
      <c r="OIT185" s="1332"/>
      <c r="OIU185" s="1332"/>
      <c r="OIV185" s="1332"/>
      <c r="OIW185" s="1332"/>
      <c r="OIX185" s="1332"/>
      <c r="OIY185" s="1332"/>
      <c r="OIZ185" s="1332"/>
      <c r="OJA185" s="1332"/>
      <c r="OJB185" s="1332"/>
      <c r="OJC185" s="1332"/>
      <c r="OJD185" s="1332"/>
      <c r="OJE185" s="1332"/>
      <c r="OJF185" s="1332"/>
      <c r="OJG185" s="1332"/>
      <c r="OJH185" s="1332"/>
      <c r="OJI185" s="1332"/>
      <c r="OJJ185" s="1332"/>
      <c r="OJK185" s="1332"/>
      <c r="OJL185" s="1332"/>
      <c r="OJM185" s="1332"/>
      <c r="OJN185" s="1332"/>
      <c r="OJO185" s="1332"/>
      <c r="OJP185" s="1332"/>
      <c r="OJQ185" s="1332"/>
      <c r="OJR185" s="1332"/>
      <c r="OJS185" s="1332"/>
      <c r="OJT185" s="1332"/>
      <c r="OJU185" s="1332"/>
      <c r="OJV185" s="1332"/>
      <c r="OJW185" s="1332"/>
      <c r="OJX185" s="1332"/>
      <c r="OJY185" s="1332"/>
      <c r="OJZ185" s="1332"/>
      <c r="OKA185" s="1332"/>
      <c r="OKB185" s="1332"/>
      <c r="OKC185" s="1332"/>
      <c r="OKD185" s="1332"/>
      <c r="OKE185" s="1332"/>
      <c r="OKF185" s="1332"/>
      <c r="OKG185" s="1332"/>
      <c r="OKH185" s="1332"/>
      <c r="OKI185" s="1332"/>
      <c r="OKJ185" s="1332"/>
      <c r="OKK185" s="1332"/>
      <c r="OKL185" s="1332"/>
      <c r="OKM185" s="1332"/>
      <c r="OKN185" s="1332"/>
      <c r="OKO185" s="1332"/>
      <c r="OKP185" s="1332"/>
      <c r="OKQ185" s="1332"/>
      <c r="OKR185" s="1332"/>
      <c r="OKS185" s="1332"/>
      <c r="OKT185" s="1332"/>
      <c r="OKU185" s="1332"/>
      <c r="OKV185" s="1332"/>
      <c r="OKW185" s="1332"/>
      <c r="OKX185" s="1332"/>
      <c r="OKY185" s="1332"/>
      <c r="OKZ185" s="1332"/>
      <c r="OLA185" s="1332"/>
      <c r="OLB185" s="1332"/>
      <c r="OLC185" s="1332"/>
      <c r="OLD185" s="1332"/>
      <c r="OLE185" s="1332"/>
      <c r="OLF185" s="1332"/>
      <c r="OLG185" s="1332"/>
      <c r="OLH185" s="1332"/>
      <c r="OLI185" s="1332"/>
      <c r="OLJ185" s="1332"/>
      <c r="OLK185" s="1332"/>
      <c r="OLL185" s="1332"/>
      <c r="OLM185" s="1332"/>
      <c r="OLN185" s="1332"/>
      <c r="OLO185" s="1332"/>
      <c r="OLP185" s="1332"/>
      <c r="OLQ185" s="1332"/>
      <c r="OLR185" s="1332"/>
      <c r="OLS185" s="1332"/>
      <c r="OLT185" s="1332"/>
      <c r="OLU185" s="1332"/>
      <c r="OLV185" s="1332"/>
      <c r="OLW185" s="1332"/>
      <c r="OLX185" s="1332"/>
      <c r="OLY185" s="1332"/>
      <c r="OLZ185" s="1332"/>
      <c r="OMA185" s="1332"/>
      <c r="OMB185" s="1332"/>
      <c r="OMC185" s="1332"/>
      <c r="OMD185" s="1332"/>
      <c r="OME185" s="1332"/>
      <c r="OMF185" s="1332"/>
      <c r="OMG185" s="1332"/>
      <c r="OMH185" s="1332"/>
      <c r="OMI185" s="1332"/>
      <c r="OMJ185" s="1332"/>
      <c r="OMK185" s="1332"/>
      <c r="OML185" s="1332"/>
      <c r="OMM185" s="1332"/>
      <c r="OMN185" s="1332"/>
      <c r="OMO185" s="1332"/>
      <c r="OMP185" s="1332"/>
      <c r="OMQ185" s="1332"/>
      <c r="OMR185" s="1332"/>
      <c r="OMS185" s="1332"/>
      <c r="OMT185" s="1332"/>
      <c r="OMU185" s="1332"/>
      <c r="OMV185" s="1332"/>
      <c r="OMW185" s="1332"/>
      <c r="OMX185" s="1332"/>
      <c r="OMY185" s="1332"/>
      <c r="OMZ185" s="1332"/>
      <c r="ONA185" s="1332"/>
      <c r="ONB185" s="1332"/>
      <c r="ONC185" s="1332"/>
      <c r="OND185" s="1332"/>
      <c r="ONE185" s="1332"/>
      <c r="ONF185" s="1332"/>
      <c r="ONG185" s="1332"/>
      <c r="ONH185" s="1332"/>
      <c r="ONI185" s="1332"/>
      <c r="ONJ185" s="1332"/>
      <c r="ONK185" s="1332"/>
      <c r="ONL185" s="1332"/>
      <c r="ONM185" s="1332"/>
      <c r="ONN185" s="1332"/>
      <c r="ONO185" s="1332"/>
      <c r="ONP185" s="1332"/>
      <c r="ONQ185" s="1332"/>
      <c r="ONR185" s="1332"/>
      <c r="ONS185" s="1332"/>
      <c r="ONT185" s="1332"/>
      <c r="ONU185" s="1332"/>
      <c r="ONV185" s="1332"/>
      <c r="ONW185" s="1332"/>
      <c r="ONX185" s="1332"/>
      <c r="ONY185" s="1332"/>
      <c r="ONZ185" s="1332"/>
      <c r="OOA185" s="1332"/>
      <c r="OOB185" s="1332"/>
      <c r="OOC185" s="1332"/>
      <c r="OOD185" s="1332"/>
      <c r="OOE185" s="1332"/>
      <c r="OOF185" s="1332"/>
      <c r="OOG185" s="1332"/>
      <c r="OOH185" s="1332"/>
      <c r="OOI185" s="1332"/>
      <c r="OOJ185" s="1332"/>
      <c r="OOK185" s="1332"/>
      <c r="OOL185" s="1332"/>
      <c r="OOM185" s="1332"/>
      <c r="OON185" s="1332"/>
      <c r="OOO185" s="1332"/>
      <c r="OOP185" s="1332"/>
      <c r="OOQ185" s="1332"/>
      <c r="OOR185" s="1332"/>
      <c r="OOS185" s="1332"/>
      <c r="OOT185" s="1332"/>
      <c r="OOU185" s="1332"/>
      <c r="OOV185" s="1332"/>
      <c r="OOW185" s="1332"/>
      <c r="OOX185" s="1332"/>
      <c r="OOY185" s="1332"/>
      <c r="OOZ185" s="1332"/>
      <c r="OPA185" s="1332"/>
      <c r="OPB185" s="1332"/>
      <c r="OPC185" s="1332"/>
      <c r="OPD185" s="1332"/>
      <c r="OPE185" s="1332"/>
      <c r="OPF185" s="1332"/>
      <c r="OPG185" s="1332"/>
      <c r="OPH185" s="1332"/>
      <c r="OPI185" s="1332"/>
      <c r="OPJ185" s="1332"/>
      <c r="OPK185" s="1332"/>
      <c r="OPL185" s="1332"/>
      <c r="OPM185" s="1332"/>
      <c r="OPN185" s="1332"/>
      <c r="OPO185" s="1332"/>
      <c r="OPP185" s="1332"/>
      <c r="OPQ185" s="1332"/>
      <c r="OPR185" s="1332"/>
      <c r="OPS185" s="1332"/>
      <c r="OPT185" s="1332"/>
      <c r="OPU185" s="1332"/>
      <c r="OPV185" s="1332"/>
      <c r="OPW185" s="1332"/>
      <c r="OPX185" s="1332"/>
      <c r="OPY185" s="1332"/>
      <c r="OPZ185" s="1332"/>
      <c r="OQA185" s="1332"/>
      <c r="OQB185" s="1332"/>
      <c r="OQC185" s="1332"/>
      <c r="OQD185" s="1332"/>
      <c r="OQE185" s="1332"/>
      <c r="OQF185" s="1332"/>
      <c r="OQG185" s="1332"/>
      <c r="OQH185" s="1332"/>
      <c r="OQI185" s="1332"/>
      <c r="OQJ185" s="1332"/>
      <c r="OQK185" s="1332"/>
      <c r="OQL185" s="1332"/>
      <c r="OQM185" s="1332"/>
      <c r="OQN185" s="1332"/>
      <c r="OQO185" s="1332"/>
      <c r="OQP185" s="1332"/>
      <c r="OQQ185" s="1332"/>
      <c r="OQR185" s="1332"/>
      <c r="OQS185" s="1332"/>
      <c r="OQT185" s="1332"/>
      <c r="OQU185" s="1332"/>
      <c r="OQV185" s="1332"/>
      <c r="OQW185" s="1332"/>
      <c r="OQX185" s="1332"/>
      <c r="OQY185" s="1332"/>
      <c r="OQZ185" s="1332"/>
      <c r="ORA185" s="1332"/>
      <c r="ORB185" s="1332"/>
      <c r="ORC185" s="1332"/>
      <c r="ORD185" s="1332"/>
      <c r="ORE185" s="1332"/>
      <c r="ORF185" s="1332"/>
      <c r="ORG185" s="1332"/>
      <c r="ORH185" s="1332"/>
      <c r="ORI185" s="1332"/>
      <c r="ORJ185" s="1332"/>
      <c r="ORK185" s="1332"/>
      <c r="ORL185" s="1332"/>
      <c r="ORM185" s="1332"/>
      <c r="ORN185" s="1332"/>
      <c r="ORO185" s="1332"/>
      <c r="ORP185" s="1332"/>
      <c r="ORQ185" s="1332"/>
      <c r="ORR185" s="1332"/>
      <c r="ORS185" s="1332"/>
      <c r="ORT185" s="1332"/>
      <c r="ORU185" s="1332"/>
      <c r="ORV185" s="1332"/>
      <c r="ORW185" s="1332"/>
      <c r="ORX185" s="1332"/>
      <c r="ORY185" s="1332"/>
      <c r="ORZ185" s="1332"/>
      <c r="OSA185" s="1332"/>
      <c r="OSB185" s="1332"/>
      <c r="OSC185" s="1332"/>
      <c r="OSD185" s="1332"/>
      <c r="OSE185" s="1332"/>
      <c r="OSF185" s="1332"/>
      <c r="OSG185" s="1332"/>
      <c r="OSH185" s="1332"/>
      <c r="OSI185" s="1332"/>
      <c r="OSJ185" s="1332"/>
      <c r="OSK185" s="1332"/>
      <c r="OSL185" s="1332"/>
      <c r="OSM185" s="1332"/>
      <c r="OSN185" s="1332"/>
      <c r="OSO185" s="1332"/>
      <c r="OSP185" s="1332"/>
      <c r="OSQ185" s="1332"/>
      <c r="OSR185" s="1332"/>
      <c r="OSS185" s="1332"/>
      <c r="OST185" s="1332"/>
      <c r="OSU185" s="1332"/>
      <c r="OSV185" s="1332"/>
      <c r="OSW185" s="1332"/>
      <c r="OSX185" s="1332"/>
      <c r="OSY185" s="1332"/>
      <c r="OSZ185" s="1332"/>
      <c r="OTA185" s="1332"/>
      <c r="OTB185" s="1332"/>
      <c r="OTC185" s="1332"/>
      <c r="OTD185" s="1332"/>
      <c r="OTE185" s="1332"/>
      <c r="OTF185" s="1332"/>
      <c r="OTG185" s="1332"/>
      <c r="OTH185" s="1332"/>
      <c r="OTI185" s="1332"/>
      <c r="OTJ185" s="1332"/>
      <c r="OTK185" s="1332"/>
      <c r="OTL185" s="1332"/>
      <c r="OTM185" s="1332"/>
      <c r="OTN185" s="1332"/>
      <c r="OTO185" s="1332"/>
      <c r="OTP185" s="1332"/>
      <c r="OTQ185" s="1332"/>
      <c r="OTR185" s="1332"/>
      <c r="OTS185" s="1332"/>
      <c r="OTT185" s="1332"/>
      <c r="OTU185" s="1332"/>
      <c r="OTV185" s="1332"/>
      <c r="OTW185" s="1332"/>
      <c r="OTX185" s="1332"/>
      <c r="OTY185" s="1332"/>
      <c r="OTZ185" s="1332"/>
      <c r="OUA185" s="1332"/>
      <c r="OUB185" s="1332"/>
      <c r="OUC185" s="1332"/>
      <c r="OUD185" s="1332"/>
      <c r="OUE185" s="1332"/>
      <c r="OUF185" s="1332"/>
      <c r="OUG185" s="1332"/>
      <c r="OUH185" s="1332"/>
      <c r="OUI185" s="1332"/>
      <c r="OUJ185" s="1332"/>
      <c r="OUK185" s="1332"/>
      <c r="OUL185" s="1332"/>
      <c r="OUM185" s="1332"/>
      <c r="OUN185" s="1332"/>
      <c r="OUO185" s="1332"/>
      <c r="OUP185" s="1332"/>
      <c r="OUQ185" s="1332"/>
      <c r="OUR185" s="1332"/>
      <c r="OUS185" s="1332"/>
      <c r="OUT185" s="1332"/>
      <c r="OUU185" s="1332"/>
      <c r="OUV185" s="1332"/>
      <c r="OUW185" s="1332"/>
      <c r="OUX185" s="1332"/>
      <c r="OUY185" s="1332"/>
      <c r="OUZ185" s="1332"/>
      <c r="OVA185" s="1332"/>
      <c r="OVB185" s="1332"/>
      <c r="OVC185" s="1332"/>
      <c r="OVD185" s="1332"/>
      <c r="OVE185" s="1332"/>
      <c r="OVF185" s="1332"/>
      <c r="OVG185" s="1332"/>
      <c r="OVH185" s="1332"/>
      <c r="OVI185" s="1332"/>
      <c r="OVJ185" s="1332"/>
      <c r="OVK185" s="1332"/>
      <c r="OVL185" s="1332"/>
      <c r="OVM185" s="1332"/>
      <c r="OVN185" s="1332"/>
      <c r="OVO185" s="1332"/>
      <c r="OVP185" s="1332"/>
      <c r="OVQ185" s="1332"/>
      <c r="OVR185" s="1332"/>
      <c r="OVS185" s="1332"/>
      <c r="OVT185" s="1332"/>
      <c r="OVU185" s="1332"/>
      <c r="OVV185" s="1332"/>
      <c r="OVW185" s="1332"/>
      <c r="OVX185" s="1332"/>
      <c r="OVY185" s="1332"/>
      <c r="OVZ185" s="1332"/>
      <c r="OWA185" s="1332"/>
      <c r="OWB185" s="1332"/>
      <c r="OWC185" s="1332"/>
      <c r="OWD185" s="1332"/>
      <c r="OWE185" s="1332"/>
      <c r="OWF185" s="1332"/>
      <c r="OWG185" s="1332"/>
      <c r="OWH185" s="1332"/>
      <c r="OWI185" s="1332"/>
      <c r="OWJ185" s="1332"/>
      <c r="OWK185" s="1332"/>
      <c r="OWL185" s="1332"/>
      <c r="OWM185" s="1332"/>
      <c r="OWN185" s="1332"/>
      <c r="OWO185" s="1332"/>
      <c r="OWP185" s="1332"/>
      <c r="OWQ185" s="1332"/>
      <c r="OWR185" s="1332"/>
      <c r="OWS185" s="1332"/>
      <c r="OWT185" s="1332"/>
      <c r="OWU185" s="1332"/>
      <c r="OWV185" s="1332"/>
      <c r="OWW185" s="1332"/>
      <c r="OWX185" s="1332"/>
      <c r="OWY185" s="1332"/>
      <c r="OWZ185" s="1332"/>
      <c r="OXA185" s="1332"/>
      <c r="OXB185" s="1332"/>
      <c r="OXC185" s="1332"/>
      <c r="OXD185" s="1332"/>
      <c r="OXE185" s="1332"/>
      <c r="OXF185" s="1332"/>
      <c r="OXG185" s="1332"/>
      <c r="OXH185" s="1332"/>
      <c r="OXI185" s="1332"/>
      <c r="OXJ185" s="1332"/>
      <c r="OXK185" s="1332"/>
      <c r="OXL185" s="1332"/>
      <c r="OXM185" s="1332"/>
      <c r="OXN185" s="1332"/>
      <c r="OXO185" s="1332"/>
      <c r="OXP185" s="1332"/>
      <c r="OXQ185" s="1332"/>
      <c r="OXR185" s="1332"/>
      <c r="OXS185" s="1332"/>
      <c r="OXT185" s="1332"/>
      <c r="OXU185" s="1332"/>
      <c r="OXV185" s="1332"/>
      <c r="OXW185" s="1332"/>
      <c r="OXX185" s="1332"/>
      <c r="OXY185" s="1332"/>
      <c r="OXZ185" s="1332"/>
      <c r="OYA185" s="1332"/>
      <c r="OYB185" s="1332"/>
      <c r="OYC185" s="1332"/>
      <c r="OYD185" s="1332"/>
      <c r="OYE185" s="1332"/>
      <c r="OYF185" s="1332"/>
      <c r="OYG185" s="1332"/>
      <c r="OYH185" s="1332"/>
      <c r="OYI185" s="1332"/>
      <c r="OYJ185" s="1332"/>
      <c r="OYK185" s="1332"/>
      <c r="OYL185" s="1332"/>
      <c r="OYM185" s="1332"/>
      <c r="OYN185" s="1332"/>
      <c r="OYO185" s="1332"/>
      <c r="OYP185" s="1332"/>
      <c r="OYQ185" s="1332"/>
      <c r="OYR185" s="1332"/>
      <c r="OYS185" s="1332"/>
      <c r="OYT185" s="1332"/>
      <c r="OYU185" s="1332"/>
      <c r="OYV185" s="1332"/>
      <c r="OYW185" s="1332"/>
      <c r="OYX185" s="1332"/>
      <c r="OYY185" s="1332"/>
      <c r="OYZ185" s="1332"/>
      <c r="OZA185" s="1332"/>
      <c r="OZB185" s="1332"/>
      <c r="OZC185" s="1332"/>
      <c r="OZD185" s="1332"/>
      <c r="OZE185" s="1332"/>
      <c r="OZF185" s="1332"/>
      <c r="OZG185" s="1332"/>
      <c r="OZH185" s="1332"/>
      <c r="OZI185" s="1332"/>
      <c r="OZJ185" s="1332"/>
      <c r="OZK185" s="1332"/>
      <c r="OZL185" s="1332"/>
      <c r="OZM185" s="1332"/>
      <c r="OZN185" s="1332"/>
      <c r="OZO185" s="1332"/>
      <c r="OZP185" s="1332"/>
      <c r="OZQ185" s="1332"/>
      <c r="OZR185" s="1332"/>
      <c r="OZS185" s="1332"/>
      <c r="OZT185" s="1332"/>
      <c r="OZU185" s="1332"/>
      <c r="OZV185" s="1332"/>
      <c r="OZW185" s="1332"/>
      <c r="OZX185" s="1332"/>
      <c r="OZY185" s="1332"/>
      <c r="OZZ185" s="1332"/>
      <c r="PAA185" s="1332"/>
      <c r="PAB185" s="1332"/>
      <c r="PAC185" s="1332"/>
      <c r="PAD185" s="1332"/>
      <c r="PAE185" s="1332"/>
      <c r="PAF185" s="1332"/>
      <c r="PAG185" s="1332"/>
      <c r="PAH185" s="1332"/>
      <c r="PAI185" s="1332"/>
      <c r="PAJ185" s="1332"/>
      <c r="PAK185" s="1332"/>
      <c r="PAL185" s="1332"/>
      <c r="PAM185" s="1332"/>
      <c r="PAN185" s="1332"/>
      <c r="PAO185" s="1332"/>
      <c r="PAP185" s="1332"/>
      <c r="PAQ185" s="1332"/>
      <c r="PAR185" s="1332"/>
      <c r="PAS185" s="1332"/>
      <c r="PAT185" s="1332"/>
      <c r="PAU185" s="1332"/>
      <c r="PAV185" s="1332"/>
      <c r="PAW185" s="1332"/>
      <c r="PAX185" s="1332"/>
      <c r="PAY185" s="1332"/>
      <c r="PAZ185" s="1332"/>
      <c r="PBA185" s="1332"/>
      <c r="PBB185" s="1332"/>
      <c r="PBC185" s="1332"/>
      <c r="PBD185" s="1332"/>
      <c r="PBE185" s="1332"/>
      <c r="PBF185" s="1332"/>
      <c r="PBG185" s="1332"/>
      <c r="PBH185" s="1332"/>
      <c r="PBI185" s="1332"/>
      <c r="PBJ185" s="1332"/>
      <c r="PBK185" s="1332"/>
      <c r="PBL185" s="1332"/>
      <c r="PBM185" s="1332"/>
      <c r="PBN185" s="1332"/>
      <c r="PBO185" s="1332"/>
      <c r="PBP185" s="1332"/>
      <c r="PBQ185" s="1332"/>
      <c r="PBR185" s="1332"/>
      <c r="PBS185" s="1332"/>
      <c r="PBT185" s="1332"/>
      <c r="PBU185" s="1332"/>
      <c r="PBV185" s="1332"/>
      <c r="PBW185" s="1332"/>
      <c r="PBX185" s="1332"/>
      <c r="PBY185" s="1332"/>
      <c r="PBZ185" s="1332"/>
      <c r="PCA185" s="1332"/>
      <c r="PCB185" s="1332"/>
      <c r="PCC185" s="1332"/>
      <c r="PCD185" s="1332"/>
      <c r="PCE185" s="1332"/>
      <c r="PCF185" s="1332"/>
      <c r="PCG185" s="1332"/>
      <c r="PCH185" s="1332"/>
      <c r="PCI185" s="1332"/>
      <c r="PCJ185" s="1332"/>
      <c r="PCK185" s="1332"/>
      <c r="PCL185" s="1332"/>
      <c r="PCM185" s="1332"/>
      <c r="PCN185" s="1332"/>
      <c r="PCO185" s="1332"/>
      <c r="PCP185" s="1332"/>
      <c r="PCQ185" s="1332"/>
      <c r="PCR185" s="1332"/>
      <c r="PCS185" s="1332"/>
      <c r="PCT185" s="1332"/>
      <c r="PCU185" s="1332"/>
      <c r="PCV185" s="1332"/>
      <c r="PCW185" s="1332"/>
      <c r="PCX185" s="1332"/>
      <c r="PCY185" s="1332"/>
      <c r="PCZ185" s="1332"/>
      <c r="PDA185" s="1332"/>
      <c r="PDB185" s="1332"/>
      <c r="PDC185" s="1332"/>
      <c r="PDD185" s="1332"/>
      <c r="PDE185" s="1332"/>
      <c r="PDF185" s="1332"/>
      <c r="PDG185" s="1332"/>
      <c r="PDH185" s="1332"/>
      <c r="PDI185" s="1332"/>
      <c r="PDJ185" s="1332"/>
      <c r="PDK185" s="1332"/>
      <c r="PDL185" s="1332"/>
      <c r="PDM185" s="1332"/>
      <c r="PDN185" s="1332"/>
      <c r="PDO185" s="1332"/>
      <c r="PDP185" s="1332"/>
      <c r="PDQ185" s="1332"/>
      <c r="PDR185" s="1332"/>
      <c r="PDS185" s="1332"/>
      <c r="PDT185" s="1332"/>
      <c r="PDU185" s="1332"/>
      <c r="PDV185" s="1332"/>
      <c r="PDW185" s="1332"/>
      <c r="PDX185" s="1332"/>
      <c r="PDY185" s="1332"/>
      <c r="PDZ185" s="1332"/>
      <c r="PEA185" s="1332"/>
      <c r="PEB185" s="1332"/>
      <c r="PEC185" s="1332"/>
      <c r="PED185" s="1332"/>
      <c r="PEE185" s="1332"/>
      <c r="PEF185" s="1332"/>
      <c r="PEG185" s="1332"/>
      <c r="PEH185" s="1332"/>
      <c r="PEI185" s="1332"/>
      <c r="PEJ185" s="1332"/>
      <c r="PEK185" s="1332"/>
      <c r="PEL185" s="1332"/>
      <c r="PEM185" s="1332"/>
      <c r="PEN185" s="1332"/>
      <c r="PEO185" s="1332"/>
      <c r="PEP185" s="1332"/>
      <c r="PEQ185" s="1332"/>
      <c r="PER185" s="1332"/>
      <c r="PES185" s="1332"/>
      <c r="PET185" s="1332"/>
      <c r="PEU185" s="1332"/>
      <c r="PEV185" s="1332"/>
      <c r="PEW185" s="1332"/>
      <c r="PEX185" s="1332"/>
      <c r="PEY185" s="1332"/>
      <c r="PEZ185" s="1332"/>
      <c r="PFA185" s="1332"/>
      <c r="PFB185" s="1332"/>
      <c r="PFC185" s="1332"/>
      <c r="PFD185" s="1332"/>
      <c r="PFE185" s="1332"/>
      <c r="PFF185" s="1332"/>
      <c r="PFG185" s="1332"/>
      <c r="PFH185" s="1332"/>
      <c r="PFI185" s="1332"/>
      <c r="PFJ185" s="1332"/>
      <c r="PFK185" s="1332"/>
      <c r="PFL185" s="1332"/>
      <c r="PFM185" s="1332"/>
      <c r="PFN185" s="1332"/>
      <c r="PFO185" s="1332"/>
      <c r="PFP185" s="1332"/>
      <c r="PFQ185" s="1332"/>
      <c r="PFR185" s="1332"/>
      <c r="PFS185" s="1332"/>
      <c r="PFT185" s="1332"/>
      <c r="PFU185" s="1332"/>
      <c r="PFV185" s="1332"/>
      <c r="PFW185" s="1332"/>
      <c r="PFX185" s="1332"/>
      <c r="PFY185" s="1332"/>
      <c r="PFZ185" s="1332"/>
      <c r="PGA185" s="1332"/>
      <c r="PGB185" s="1332"/>
      <c r="PGC185" s="1332"/>
      <c r="PGD185" s="1332"/>
      <c r="PGE185" s="1332"/>
      <c r="PGF185" s="1332"/>
      <c r="PGG185" s="1332"/>
      <c r="PGH185" s="1332"/>
      <c r="PGI185" s="1332"/>
      <c r="PGJ185" s="1332"/>
      <c r="PGK185" s="1332"/>
      <c r="PGL185" s="1332"/>
      <c r="PGM185" s="1332"/>
      <c r="PGN185" s="1332"/>
      <c r="PGO185" s="1332"/>
      <c r="PGP185" s="1332"/>
      <c r="PGQ185" s="1332"/>
      <c r="PGR185" s="1332"/>
      <c r="PGS185" s="1332"/>
      <c r="PGT185" s="1332"/>
      <c r="PGU185" s="1332"/>
      <c r="PGV185" s="1332"/>
      <c r="PGW185" s="1332"/>
      <c r="PGX185" s="1332"/>
      <c r="PGY185" s="1332"/>
      <c r="PGZ185" s="1332"/>
      <c r="PHA185" s="1332"/>
      <c r="PHB185" s="1332"/>
      <c r="PHC185" s="1332"/>
      <c r="PHD185" s="1332"/>
      <c r="PHE185" s="1332"/>
      <c r="PHF185" s="1332"/>
      <c r="PHG185" s="1332"/>
      <c r="PHH185" s="1332"/>
      <c r="PHI185" s="1332"/>
      <c r="PHJ185" s="1332"/>
      <c r="PHK185" s="1332"/>
      <c r="PHL185" s="1332"/>
      <c r="PHM185" s="1332"/>
      <c r="PHN185" s="1332"/>
      <c r="PHO185" s="1332"/>
      <c r="PHP185" s="1332"/>
      <c r="PHQ185" s="1332"/>
      <c r="PHR185" s="1332"/>
      <c r="PHS185" s="1332"/>
      <c r="PHT185" s="1332"/>
      <c r="PHU185" s="1332"/>
      <c r="PHV185" s="1332"/>
      <c r="PHW185" s="1332"/>
      <c r="PHX185" s="1332"/>
      <c r="PHY185" s="1332"/>
      <c r="PHZ185" s="1332"/>
      <c r="PIA185" s="1332"/>
      <c r="PIB185" s="1332"/>
      <c r="PIC185" s="1332"/>
      <c r="PID185" s="1332"/>
      <c r="PIE185" s="1332"/>
      <c r="PIF185" s="1332"/>
      <c r="PIG185" s="1332"/>
      <c r="PIH185" s="1332"/>
      <c r="PII185" s="1332"/>
      <c r="PIJ185" s="1332"/>
      <c r="PIK185" s="1332"/>
      <c r="PIL185" s="1332"/>
      <c r="PIM185" s="1332"/>
      <c r="PIN185" s="1332"/>
      <c r="PIO185" s="1332"/>
      <c r="PIP185" s="1332"/>
      <c r="PIQ185" s="1332"/>
      <c r="PIR185" s="1332"/>
      <c r="PIS185" s="1332"/>
      <c r="PIT185" s="1332"/>
      <c r="PIU185" s="1332"/>
      <c r="PIV185" s="1332"/>
      <c r="PIW185" s="1332"/>
      <c r="PIX185" s="1332"/>
      <c r="PIY185" s="1332"/>
      <c r="PIZ185" s="1332"/>
      <c r="PJA185" s="1332"/>
      <c r="PJB185" s="1332"/>
      <c r="PJC185" s="1332"/>
      <c r="PJD185" s="1332"/>
      <c r="PJE185" s="1332"/>
      <c r="PJF185" s="1332"/>
      <c r="PJG185" s="1332"/>
      <c r="PJH185" s="1332"/>
      <c r="PJI185" s="1332"/>
      <c r="PJJ185" s="1332"/>
      <c r="PJK185" s="1332"/>
      <c r="PJL185" s="1332"/>
      <c r="PJM185" s="1332"/>
      <c r="PJN185" s="1332"/>
      <c r="PJO185" s="1332"/>
      <c r="PJP185" s="1332"/>
      <c r="PJQ185" s="1332"/>
      <c r="PJR185" s="1332"/>
      <c r="PJS185" s="1332"/>
      <c r="PJT185" s="1332"/>
      <c r="PJU185" s="1332"/>
      <c r="PJV185" s="1332"/>
      <c r="PJW185" s="1332"/>
      <c r="PJX185" s="1332"/>
      <c r="PJY185" s="1332"/>
      <c r="PJZ185" s="1332"/>
      <c r="PKA185" s="1332"/>
      <c r="PKB185" s="1332"/>
      <c r="PKC185" s="1332"/>
      <c r="PKD185" s="1332"/>
      <c r="PKE185" s="1332"/>
      <c r="PKF185" s="1332"/>
      <c r="PKG185" s="1332"/>
      <c r="PKH185" s="1332"/>
      <c r="PKI185" s="1332"/>
      <c r="PKJ185" s="1332"/>
      <c r="PKK185" s="1332"/>
      <c r="PKL185" s="1332"/>
      <c r="PKM185" s="1332"/>
      <c r="PKN185" s="1332"/>
      <c r="PKO185" s="1332"/>
      <c r="PKP185" s="1332"/>
      <c r="PKQ185" s="1332"/>
      <c r="PKR185" s="1332"/>
      <c r="PKS185" s="1332"/>
      <c r="PKT185" s="1332"/>
      <c r="PKU185" s="1332"/>
      <c r="PKV185" s="1332"/>
      <c r="PKW185" s="1332"/>
      <c r="PKX185" s="1332"/>
      <c r="PKY185" s="1332"/>
      <c r="PKZ185" s="1332"/>
      <c r="PLA185" s="1332"/>
      <c r="PLB185" s="1332"/>
      <c r="PLC185" s="1332"/>
      <c r="PLD185" s="1332"/>
      <c r="PLE185" s="1332"/>
      <c r="PLF185" s="1332"/>
      <c r="PLG185" s="1332"/>
      <c r="PLH185" s="1332"/>
      <c r="PLI185" s="1332"/>
      <c r="PLJ185" s="1332"/>
      <c r="PLK185" s="1332"/>
      <c r="PLL185" s="1332"/>
      <c r="PLM185" s="1332"/>
      <c r="PLN185" s="1332"/>
      <c r="PLO185" s="1332"/>
      <c r="PLP185" s="1332"/>
      <c r="PLQ185" s="1332"/>
      <c r="PLR185" s="1332"/>
      <c r="PLS185" s="1332"/>
      <c r="PLT185" s="1332"/>
      <c r="PLU185" s="1332"/>
      <c r="PLV185" s="1332"/>
      <c r="PLW185" s="1332"/>
      <c r="PLX185" s="1332"/>
      <c r="PLY185" s="1332"/>
      <c r="PLZ185" s="1332"/>
      <c r="PMA185" s="1332"/>
      <c r="PMB185" s="1332"/>
      <c r="PMC185" s="1332"/>
      <c r="PMD185" s="1332"/>
      <c r="PME185" s="1332"/>
      <c r="PMF185" s="1332"/>
      <c r="PMG185" s="1332"/>
      <c r="PMH185" s="1332"/>
      <c r="PMI185" s="1332"/>
      <c r="PMJ185" s="1332"/>
      <c r="PMK185" s="1332"/>
      <c r="PML185" s="1332"/>
      <c r="PMM185" s="1332"/>
      <c r="PMN185" s="1332"/>
      <c r="PMO185" s="1332"/>
      <c r="PMP185" s="1332"/>
      <c r="PMQ185" s="1332"/>
      <c r="PMR185" s="1332"/>
      <c r="PMS185" s="1332"/>
      <c r="PMT185" s="1332"/>
      <c r="PMU185" s="1332"/>
      <c r="PMV185" s="1332"/>
      <c r="PMW185" s="1332"/>
      <c r="PMX185" s="1332"/>
      <c r="PMY185" s="1332"/>
      <c r="PMZ185" s="1332"/>
      <c r="PNA185" s="1332"/>
      <c r="PNB185" s="1332"/>
      <c r="PNC185" s="1332"/>
      <c r="PND185" s="1332"/>
      <c r="PNE185" s="1332"/>
      <c r="PNF185" s="1332"/>
      <c r="PNG185" s="1332"/>
      <c r="PNH185" s="1332"/>
      <c r="PNI185" s="1332"/>
      <c r="PNJ185" s="1332"/>
      <c r="PNK185" s="1332"/>
      <c r="PNL185" s="1332"/>
      <c r="PNM185" s="1332"/>
      <c r="PNN185" s="1332"/>
      <c r="PNO185" s="1332"/>
      <c r="PNP185" s="1332"/>
      <c r="PNQ185" s="1332"/>
      <c r="PNR185" s="1332"/>
      <c r="PNS185" s="1332"/>
      <c r="PNT185" s="1332"/>
      <c r="PNU185" s="1332"/>
      <c r="PNV185" s="1332"/>
      <c r="PNW185" s="1332"/>
      <c r="PNX185" s="1332"/>
      <c r="PNY185" s="1332"/>
      <c r="PNZ185" s="1332"/>
      <c r="POA185" s="1332"/>
      <c r="POB185" s="1332"/>
      <c r="POC185" s="1332"/>
      <c r="POD185" s="1332"/>
      <c r="POE185" s="1332"/>
      <c r="POF185" s="1332"/>
      <c r="POG185" s="1332"/>
      <c r="POH185" s="1332"/>
      <c r="POI185" s="1332"/>
      <c r="POJ185" s="1332"/>
      <c r="POK185" s="1332"/>
      <c r="POL185" s="1332"/>
      <c r="POM185" s="1332"/>
      <c r="PON185" s="1332"/>
      <c r="POO185" s="1332"/>
      <c r="POP185" s="1332"/>
      <c r="POQ185" s="1332"/>
      <c r="POR185" s="1332"/>
      <c r="POS185" s="1332"/>
      <c r="POT185" s="1332"/>
      <c r="POU185" s="1332"/>
      <c r="POV185" s="1332"/>
      <c r="POW185" s="1332"/>
      <c r="POX185" s="1332"/>
      <c r="POY185" s="1332"/>
      <c r="POZ185" s="1332"/>
      <c r="PPA185" s="1332"/>
      <c r="PPB185" s="1332"/>
      <c r="PPC185" s="1332"/>
      <c r="PPD185" s="1332"/>
      <c r="PPE185" s="1332"/>
      <c r="PPF185" s="1332"/>
      <c r="PPG185" s="1332"/>
      <c r="PPH185" s="1332"/>
      <c r="PPI185" s="1332"/>
      <c r="PPJ185" s="1332"/>
      <c r="PPK185" s="1332"/>
      <c r="PPL185" s="1332"/>
      <c r="PPM185" s="1332"/>
      <c r="PPN185" s="1332"/>
      <c r="PPO185" s="1332"/>
      <c r="PPP185" s="1332"/>
      <c r="PPQ185" s="1332"/>
      <c r="PPR185" s="1332"/>
      <c r="PPS185" s="1332"/>
      <c r="PPT185" s="1332"/>
      <c r="PPU185" s="1332"/>
      <c r="PPV185" s="1332"/>
      <c r="PPW185" s="1332"/>
      <c r="PPX185" s="1332"/>
      <c r="PPY185" s="1332"/>
      <c r="PPZ185" s="1332"/>
      <c r="PQA185" s="1332"/>
      <c r="PQB185" s="1332"/>
      <c r="PQC185" s="1332"/>
      <c r="PQD185" s="1332"/>
      <c r="PQE185" s="1332"/>
      <c r="PQF185" s="1332"/>
      <c r="PQG185" s="1332"/>
      <c r="PQH185" s="1332"/>
      <c r="PQI185" s="1332"/>
      <c r="PQJ185" s="1332"/>
      <c r="PQK185" s="1332"/>
      <c r="PQL185" s="1332"/>
      <c r="PQM185" s="1332"/>
      <c r="PQN185" s="1332"/>
      <c r="PQO185" s="1332"/>
      <c r="PQP185" s="1332"/>
      <c r="PQQ185" s="1332"/>
      <c r="PQR185" s="1332"/>
      <c r="PQS185" s="1332"/>
      <c r="PQT185" s="1332"/>
      <c r="PQU185" s="1332"/>
      <c r="PQV185" s="1332"/>
      <c r="PQW185" s="1332"/>
      <c r="PQX185" s="1332"/>
      <c r="PQY185" s="1332"/>
      <c r="PQZ185" s="1332"/>
      <c r="PRA185" s="1332"/>
      <c r="PRB185" s="1332"/>
      <c r="PRC185" s="1332"/>
      <c r="PRD185" s="1332"/>
      <c r="PRE185" s="1332"/>
      <c r="PRF185" s="1332"/>
      <c r="PRG185" s="1332"/>
      <c r="PRH185" s="1332"/>
      <c r="PRI185" s="1332"/>
      <c r="PRJ185" s="1332"/>
      <c r="PRK185" s="1332"/>
      <c r="PRL185" s="1332"/>
      <c r="PRM185" s="1332"/>
      <c r="PRN185" s="1332"/>
      <c r="PRO185" s="1332"/>
      <c r="PRP185" s="1332"/>
      <c r="PRQ185" s="1332"/>
      <c r="PRR185" s="1332"/>
      <c r="PRS185" s="1332"/>
      <c r="PRT185" s="1332"/>
      <c r="PRU185" s="1332"/>
      <c r="PRV185" s="1332"/>
      <c r="PRW185" s="1332"/>
      <c r="PRX185" s="1332"/>
      <c r="PRY185" s="1332"/>
      <c r="PRZ185" s="1332"/>
      <c r="PSA185" s="1332"/>
      <c r="PSB185" s="1332"/>
      <c r="PSC185" s="1332"/>
      <c r="PSD185" s="1332"/>
      <c r="PSE185" s="1332"/>
      <c r="PSF185" s="1332"/>
      <c r="PSG185" s="1332"/>
      <c r="PSH185" s="1332"/>
      <c r="PSI185" s="1332"/>
      <c r="PSJ185" s="1332"/>
      <c r="PSK185" s="1332"/>
      <c r="PSL185" s="1332"/>
      <c r="PSM185" s="1332"/>
      <c r="PSN185" s="1332"/>
      <c r="PSO185" s="1332"/>
      <c r="PSP185" s="1332"/>
      <c r="PSQ185" s="1332"/>
      <c r="PSR185" s="1332"/>
      <c r="PSS185" s="1332"/>
      <c r="PST185" s="1332"/>
      <c r="PSU185" s="1332"/>
      <c r="PSV185" s="1332"/>
      <c r="PSW185" s="1332"/>
      <c r="PSX185" s="1332"/>
      <c r="PSY185" s="1332"/>
      <c r="PSZ185" s="1332"/>
      <c r="PTA185" s="1332"/>
      <c r="PTB185" s="1332"/>
      <c r="PTC185" s="1332"/>
      <c r="PTD185" s="1332"/>
      <c r="PTE185" s="1332"/>
      <c r="PTF185" s="1332"/>
      <c r="PTG185" s="1332"/>
      <c r="PTH185" s="1332"/>
      <c r="PTI185" s="1332"/>
      <c r="PTJ185" s="1332"/>
      <c r="PTK185" s="1332"/>
      <c r="PTL185" s="1332"/>
      <c r="PTM185" s="1332"/>
      <c r="PTN185" s="1332"/>
      <c r="PTO185" s="1332"/>
      <c r="PTP185" s="1332"/>
      <c r="PTQ185" s="1332"/>
      <c r="PTR185" s="1332"/>
      <c r="PTS185" s="1332"/>
      <c r="PTT185" s="1332"/>
      <c r="PTU185" s="1332"/>
      <c r="PTV185" s="1332"/>
      <c r="PTW185" s="1332"/>
      <c r="PTX185" s="1332"/>
      <c r="PTY185" s="1332"/>
      <c r="PTZ185" s="1332"/>
      <c r="PUA185" s="1332"/>
      <c r="PUB185" s="1332"/>
      <c r="PUC185" s="1332"/>
      <c r="PUD185" s="1332"/>
      <c r="PUE185" s="1332"/>
      <c r="PUF185" s="1332"/>
      <c r="PUG185" s="1332"/>
      <c r="PUH185" s="1332"/>
      <c r="PUI185" s="1332"/>
      <c r="PUJ185" s="1332"/>
      <c r="PUK185" s="1332"/>
      <c r="PUL185" s="1332"/>
      <c r="PUM185" s="1332"/>
      <c r="PUN185" s="1332"/>
      <c r="PUO185" s="1332"/>
      <c r="PUP185" s="1332"/>
      <c r="PUQ185" s="1332"/>
      <c r="PUR185" s="1332"/>
      <c r="PUS185" s="1332"/>
      <c r="PUT185" s="1332"/>
      <c r="PUU185" s="1332"/>
      <c r="PUV185" s="1332"/>
      <c r="PUW185" s="1332"/>
      <c r="PUX185" s="1332"/>
      <c r="PUY185" s="1332"/>
      <c r="PUZ185" s="1332"/>
      <c r="PVA185" s="1332"/>
      <c r="PVB185" s="1332"/>
      <c r="PVC185" s="1332"/>
      <c r="PVD185" s="1332"/>
      <c r="PVE185" s="1332"/>
      <c r="PVF185" s="1332"/>
      <c r="PVG185" s="1332"/>
      <c r="PVH185" s="1332"/>
      <c r="PVI185" s="1332"/>
      <c r="PVJ185" s="1332"/>
      <c r="PVK185" s="1332"/>
      <c r="PVL185" s="1332"/>
      <c r="PVM185" s="1332"/>
      <c r="PVN185" s="1332"/>
      <c r="PVO185" s="1332"/>
      <c r="PVP185" s="1332"/>
      <c r="PVQ185" s="1332"/>
      <c r="PVR185" s="1332"/>
      <c r="PVS185" s="1332"/>
      <c r="PVT185" s="1332"/>
      <c r="PVU185" s="1332"/>
      <c r="PVV185" s="1332"/>
      <c r="PVW185" s="1332"/>
      <c r="PVX185" s="1332"/>
      <c r="PVY185" s="1332"/>
      <c r="PVZ185" s="1332"/>
      <c r="PWA185" s="1332"/>
      <c r="PWB185" s="1332"/>
      <c r="PWC185" s="1332"/>
      <c r="PWD185" s="1332"/>
      <c r="PWE185" s="1332"/>
      <c r="PWF185" s="1332"/>
      <c r="PWG185" s="1332"/>
      <c r="PWH185" s="1332"/>
      <c r="PWI185" s="1332"/>
      <c r="PWJ185" s="1332"/>
      <c r="PWK185" s="1332"/>
      <c r="PWL185" s="1332"/>
      <c r="PWM185" s="1332"/>
      <c r="PWN185" s="1332"/>
      <c r="PWO185" s="1332"/>
      <c r="PWP185" s="1332"/>
      <c r="PWQ185" s="1332"/>
      <c r="PWR185" s="1332"/>
      <c r="PWS185" s="1332"/>
      <c r="PWT185" s="1332"/>
      <c r="PWU185" s="1332"/>
      <c r="PWV185" s="1332"/>
      <c r="PWW185" s="1332"/>
      <c r="PWX185" s="1332"/>
      <c r="PWY185" s="1332"/>
      <c r="PWZ185" s="1332"/>
      <c r="PXA185" s="1332"/>
      <c r="PXB185" s="1332"/>
      <c r="PXC185" s="1332"/>
      <c r="PXD185" s="1332"/>
      <c r="PXE185" s="1332"/>
      <c r="PXF185" s="1332"/>
      <c r="PXG185" s="1332"/>
      <c r="PXH185" s="1332"/>
      <c r="PXI185" s="1332"/>
      <c r="PXJ185" s="1332"/>
      <c r="PXK185" s="1332"/>
      <c r="PXL185" s="1332"/>
      <c r="PXM185" s="1332"/>
      <c r="PXN185" s="1332"/>
      <c r="PXO185" s="1332"/>
      <c r="PXP185" s="1332"/>
      <c r="PXQ185" s="1332"/>
      <c r="PXR185" s="1332"/>
      <c r="PXS185" s="1332"/>
      <c r="PXT185" s="1332"/>
      <c r="PXU185" s="1332"/>
      <c r="PXV185" s="1332"/>
      <c r="PXW185" s="1332"/>
      <c r="PXX185" s="1332"/>
      <c r="PXY185" s="1332"/>
      <c r="PXZ185" s="1332"/>
      <c r="PYA185" s="1332"/>
      <c r="PYB185" s="1332"/>
      <c r="PYC185" s="1332"/>
      <c r="PYD185" s="1332"/>
      <c r="PYE185" s="1332"/>
      <c r="PYF185" s="1332"/>
      <c r="PYG185" s="1332"/>
      <c r="PYH185" s="1332"/>
      <c r="PYI185" s="1332"/>
      <c r="PYJ185" s="1332"/>
      <c r="PYK185" s="1332"/>
      <c r="PYL185" s="1332"/>
      <c r="PYM185" s="1332"/>
      <c r="PYN185" s="1332"/>
      <c r="PYO185" s="1332"/>
      <c r="PYP185" s="1332"/>
      <c r="PYQ185" s="1332"/>
      <c r="PYR185" s="1332"/>
      <c r="PYS185" s="1332"/>
      <c r="PYT185" s="1332"/>
      <c r="PYU185" s="1332"/>
      <c r="PYV185" s="1332"/>
      <c r="PYW185" s="1332"/>
      <c r="PYX185" s="1332"/>
      <c r="PYY185" s="1332"/>
      <c r="PYZ185" s="1332"/>
      <c r="PZA185" s="1332"/>
      <c r="PZB185" s="1332"/>
      <c r="PZC185" s="1332"/>
      <c r="PZD185" s="1332"/>
      <c r="PZE185" s="1332"/>
      <c r="PZF185" s="1332"/>
      <c r="PZG185" s="1332"/>
      <c r="PZH185" s="1332"/>
      <c r="PZI185" s="1332"/>
      <c r="PZJ185" s="1332"/>
      <c r="PZK185" s="1332"/>
      <c r="PZL185" s="1332"/>
      <c r="PZM185" s="1332"/>
      <c r="PZN185" s="1332"/>
      <c r="PZO185" s="1332"/>
      <c r="PZP185" s="1332"/>
      <c r="PZQ185" s="1332"/>
      <c r="PZR185" s="1332"/>
      <c r="PZS185" s="1332"/>
      <c r="PZT185" s="1332"/>
      <c r="PZU185" s="1332"/>
      <c r="PZV185" s="1332"/>
      <c r="PZW185" s="1332"/>
      <c r="PZX185" s="1332"/>
      <c r="PZY185" s="1332"/>
      <c r="PZZ185" s="1332"/>
      <c r="QAA185" s="1332"/>
      <c r="QAB185" s="1332"/>
      <c r="QAC185" s="1332"/>
      <c r="QAD185" s="1332"/>
      <c r="QAE185" s="1332"/>
      <c r="QAF185" s="1332"/>
      <c r="QAG185" s="1332"/>
      <c r="QAH185" s="1332"/>
      <c r="QAI185" s="1332"/>
      <c r="QAJ185" s="1332"/>
      <c r="QAK185" s="1332"/>
      <c r="QAL185" s="1332"/>
      <c r="QAM185" s="1332"/>
      <c r="QAN185" s="1332"/>
      <c r="QAO185" s="1332"/>
      <c r="QAP185" s="1332"/>
      <c r="QAQ185" s="1332"/>
      <c r="QAR185" s="1332"/>
      <c r="QAS185" s="1332"/>
      <c r="QAT185" s="1332"/>
      <c r="QAU185" s="1332"/>
      <c r="QAV185" s="1332"/>
      <c r="QAW185" s="1332"/>
      <c r="QAX185" s="1332"/>
      <c r="QAY185" s="1332"/>
      <c r="QAZ185" s="1332"/>
      <c r="QBA185" s="1332"/>
      <c r="QBB185" s="1332"/>
      <c r="QBC185" s="1332"/>
      <c r="QBD185" s="1332"/>
      <c r="QBE185" s="1332"/>
      <c r="QBF185" s="1332"/>
      <c r="QBG185" s="1332"/>
      <c r="QBH185" s="1332"/>
      <c r="QBI185" s="1332"/>
      <c r="QBJ185" s="1332"/>
      <c r="QBK185" s="1332"/>
      <c r="QBL185" s="1332"/>
      <c r="QBM185" s="1332"/>
      <c r="QBN185" s="1332"/>
      <c r="QBO185" s="1332"/>
      <c r="QBP185" s="1332"/>
      <c r="QBQ185" s="1332"/>
      <c r="QBR185" s="1332"/>
      <c r="QBS185" s="1332"/>
      <c r="QBT185" s="1332"/>
      <c r="QBU185" s="1332"/>
      <c r="QBV185" s="1332"/>
      <c r="QBW185" s="1332"/>
      <c r="QBX185" s="1332"/>
      <c r="QBY185" s="1332"/>
      <c r="QBZ185" s="1332"/>
      <c r="QCA185" s="1332"/>
      <c r="QCB185" s="1332"/>
      <c r="QCC185" s="1332"/>
      <c r="QCD185" s="1332"/>
      <c r="QCE185" s="1332"/>
      <c r="QCF185" s="1332"/>
      <c r="QCG185" s="1332"/>
      <c r="QCH185" s="1332"/>
      <c r="QCI185" s="1332"/>
      <c r="QCJ185" s="1332"/>
      <c r="QCK185" s="1332"/>
      <c r="QCL185" s="1332"/>
      <c r="QCM185" s="1332"/>
      <c r="QCN185" s="1332"/>
      <c r="QCO185" s="1332"/>
      <c r="QCP185" s="1332"/>
      <c r="QCQ185" s="1332"/>
      <c r="QCR185" s="1332"/>
      <c r="QCS185" s="1332"/>
      <c r="QCT185" s="1332"/>
      <c r="QCU185" s="1332"/>
      <c r="QCV185" s="1332"/>
      <c r="QCW185" s="1332"/>
      <c r="QCX185" s="1332"/>
      <c r="QCY185" s="1332"/>
      <c r="QCZ185" s="1332"/>
      <c r="QDA185" s="1332"/>
      <c r="QDB185" s="1332"/>
      <c r="QDC185" s="1332"/>
      <c r="QDD185" s="1332"/>
      <c r="QDE185" s="1332"/>
      <c r="QDF185" s="1332"/>
      <c r="QDG185" s="1332"/>
      <c r="QDH185" s="1332"/>
      <c r="QDI185" s="1332"/>
      <c r="QDJ185" s="1332"/>
      <c r="QDK185" s="1332"/>
      <c r="QDL185" s="1332"/>
      <c r="QDM185" s="1332"/>
      <c r="QDN185" s="1332"/>
      <c r="QDO185" s="1332"/>
      <c r="QDP185" s="1332"/>
      <c r="QDQ185" s="1332"/>
      <c r="QDR185" s="1332"/>
      <c r="QDS185" s="1332"/>
      <c r="QDT185" s="1332"/>
      <c r="QDU185" s="1332"/>
      <c r="QDV185" s="1332"/>
      <c r="QDW185" s="1332"/>
      <c r="QDX185" s="1332"/>
      <c r="QDY185" s="1332"/>
      <c r="QDZ185" s="1332"/>
      <c r="QEA185" s="1332"/>
      <c r="QEB185" s="1332"/>
      <c r="QEC185" s="1332"/>
      <c r="QED185" s="1332"/>
      <c r="QEE185" s="1332"/>
      <c r="QEF185" s="1332"/>
      <c r="QEG185" s="1332"/>
      <c r="QEH185" s="1332"/>
      <c r="QEI185" s="1332"/>
      <c r="QEJ185" s="1332"/>
      <c r="QEK185" s="1332"/>
      <c r="QEL185" s="1332"/>
      <c r="QEM185" s="1332"/>
      <c r="QEN185" s="1332"/>
      <c r="QEO185" s="1332"/>
      <c r="QEP185" s="1332"/>
      <c r="QEQ185" s="1332"/>
      <c r="QER185" s="1332"/>
      <c r="QES185" s="1332"/>
      <c r="QET185" s="1332"/>
      <c r="QEU185" s="1332"/>
      <c r="QEV185" s="1332"/>
      <c r="QEW185" s="1332"/>
      <c r="QEX185" s="1332"/>
      <c r="QEY185" s="1332"/>
      <c r="QEZ185" s="1332"/>
      <c r="QFA185" s="1332"/>
      <c r="QFB185" s="1332"/>
      <c r="QFC185" s="1332"/>
      <c r="QFD185" s="1332"/>
      <c r="QFE185" s="1332"/>
      <c r="QFF185" s="1332"/>
      <c r="QFG185" s="1332"/>
      <c r="QFH185" s="1332"/>
      <c r="QFI185" s="1332"/>
      <c r="QFJ185" s="1332"/>
      <c r="QFK185" s="1332"/>
      <c r="QFL185" s="1332"/>
      <c r="QFM185" s="1332"/>
      <c r="QFN185" s="1332"/>
      <c r="QFO185" s="1332"/>
      <c r="QFP185" s="1332"/>
      <c r="QFQ185" s="1332"/>
      <c r="QFR185" s="1332"/>
      <c r="QFS185" s="1332"/>
      <c r="QFT185" s="1332"/>
      <c r="QFU185" s="1332"/>
      <c r="QFV185" s="1332"/>
      <c r="QFW185" s="1332"/>
      <c r="QFX185" s="1332"/>
      <c r="QFY185" s="1332"/>
      <c r="QFZ185" s="1332"/>
      <c r="QGA185" s="1332"/>
      <c r="QGB185" s="1332"/>
      <c r="QGC185" s="1332"/>
      <c r="QGD185" s="1332"/>
      <c r="QGE185" s="1332"/>
      <c r="QGF185" s="1332"/>
      <c r="QGG185" s="1332"/>
      <c r="QGH185" s="1332"/>
      <c r="QGI185" s="1332"/>
      <c r="QGJ185" s="1332"/>
      <c r="QGK185" s="1332"/>
      <c r="QGL185" s="1332"/>
      <c r="QGM185" s="1332"/>
      <c r="QGN185" s="1332"/>
      <c r="QGO185" s="1332"/>
      <c r="QGP185" s="1332"/>
      <c r="QGQ185" s="1332"/>
      <c r="QGR185" s="1332"/>
      <c r="QGS185" s="1332"/>
      <c r="QGT185" s="1332"/>
      <c r="QGU185" s="1332"/>
      <c r="QGV185" s="1332"/>
      <c r="QGW185" s="1332"/>
      <c r="QGX185" s="1332"/>
      <c r="QGY185" s="1332"/>
      <c r="QGZ185" s="1332"/>
      <c r="QHA185" s="1332"/>
      <c r="QHB185" s="1332"/>
      <c r="QHC185" s="1332"/>
      <c r="QHD185" s="1332"/>
      <c r="QHE185" s="1332"/>
      <c r="QHF185" s="1332"/>
      <c r="QHG185" s="1332"/>
      <c r="QHH185" s="1332"/>
      <c r="QHI185" s="1332"/>
      <c r="QHJ185" s="1332"/>
      <c r="QHK185" s="1332"/>
      <c r="QHL185" s="1332"/>
      <c r="QHM185" s="1332"/>
      <c r="QHN185" s="1332"/>
      <c r="QHO185" s="1332"/>
      <c r="QHP185" s="1332"/>
      <c r="QHQ185" s="1332"/>
      <c r="QHR185" s="1332"/>
      <c r="QHS185" s="1332"/>
      <c r="QHT185" s="1332"/>
      <c r="QHU185" s="1332"/>
      <c r="QHV185" s="1332"/>
      <c r="QHW185" s="1332"/>
      <c r="QHX185" s="1332"/>
      <c r="QHY185" s="1332"/>
      <c r="QHZ185" s="1332"/>
      <c r="QIA185" s="1332"/>
      <c r="QIB185" s="1332"/>
      <c r="QIC185" s="1332"/>
      <c r="QID185" s="1332"/>
      <c r="QIE185" s="1332"/>
      <c r="QIF185" s="1332"/>
      <c r="QIG185" s="1332"/>
      <c r="QIH185" s="1332"/>
      <c r="QII185" s="1332"/>
      <c r="QIJ185" s="1332"/>
      <c r="QIK185" s="1332"/>
      <c r="QIL185" s="1332"/>
      <c r="QIM185" s="1332"/>
      <c r="QIN185" s="1332"/>
      <c r="QIO185" s="1332"/>
      <c r="QIP185" s="1332"/>
      <c r="QIQ185" s="1332"/>
      <c r="QIR185" s="1332"/>
      <c r="QIS185" s="1332"/>
      <c r="QIT185" s="1332"/>
      <c r="QIU185" s="1332"/>
      <c r="QIV185" s="1332"/>
      <c r="QIW185" s="1332"/>
      <c r="QIX185" s="1332"/>
      <c r="QIY185" s="1332"/>
      <c r="QIZ185" s="1332"/>
      <c r="QJA185" s="1332"/>
      <c r="QJB185" s="1332"/>
      <c r="QJC185" s="1332"/>
      <c r="QJD185" s="1332"/>
      <c r="QJE185" s="1332"/>
      <c r="QJF185" s="1332"/>
      <c r="QJG185" s="1332"/>
      <c r="QJH185" s="1332"/>
      <c r="QJI185" s="1332"/>
      <c r="QJJ185" s="1332"/>
      <c r="QJK185" s="1332"/>
      <c r="QJL185" s="1332"/>
      <c r="QJM185" s="1332"/>
      <c r="QJN185" s="1332"/>
      <c r="QJO185" s="1332"/>
      <c r="QJP185" s="1332"/>
      <c r="QJQ185" s="1332"/>
      <c r="QJR185" s="1332"/>
      <c r="QJS185" s="1332"/>
      <c r="QJT185" s="1332"/>
      <c r="QJU185" s="1332"/>
      <c r="QJV185" s="1332"/>
      <c r="QJW185" s="1332"/>
      <c r="QJX185" s="1332"/>
      <c r="QJY185" s="1332"/>
      <c r="QJZ185" s="1332"/>
      <c r="QKA185" s="1332"/>
      <c r="QKB185" s="1332"/>
      <c r="QKC185" s="1332"/>
      <c r="QKD185" s="1332"/>
      <c r="QKE185" s="1332"/>
      <c r="QKF185" s="1332"/>
      <c r="QKG185" s="1332"/>
      <c r="QKH185" s="1332"/>
      <c r="QKI185" s="1332"/>
      <c r="QKJ185" s="1332"/>
      <c r="QKK185" s="1332"/>
      <c r="QKL185" s="1332"/>
      <c r="QKM185" s="1332"/>
      <c r="QKN185" s="1332"/>
      <c r="QKO185" s="1332"/>
      <c r="QKP185" s="1332"/>
      <c r="QKQ185" s="1332"/>
      <c r="QKR185" s="1332"/>
      <c r="QKS185" s="1332"/>
      <c r="QKT185" s="1332"/>
      <c r="QKU185" s="1332"/>
      <c r="QKV185" s="1332"/>
      <c r="QKW185" s="1332"/>
      <c r="QKX185" s="1332"/>
      <c r="QKY185" s="1332"/>
      <c r="QKZ185" s="1332"/>
      <c r="QLA185" s="1332"/>
      <c r="QLB185" s="1332"/>
      <c r="QLC185" s="1332"/>
      <c r="QLD185" s="1332"/>
      <c r="QLE185" s="1332"/>
      <c r="QLF185" s="1332"/>
      <c r="QLG185" s="1332"/>
      <c r="QLH185" s="1332"/>
      <c r="QLI185" s="1332"/>
      <c r="QLJ185" s="1332"/>
      <c r="QLK185" s="1332"/>
      <c r="QLL185" s="1332"/>
      <c r="QLM185" s="1332"/>
      <c r="QLN185" s="1332"/>
      <c r="QLO185" s="1332"/>
      <c r="QLP185" s="1332"/>
      <c r="QLQ185" s="1332"/>
      <c r="QLR185" s="1332"/>
      <c r="QLS185" s="1332"/>
      <c r="QLT185" s="1332"/>
      <c r="QLU185" s="1332"/>
      <c r="QLV185" s="1332"/>
      <c r="QLW185" s="1332"/>
      <c r="QLX185" s="1332"/>
      <c r="QLY185" s="1332"/>
      <c r="QLZ185" s="1332"/>
      <c r="QMA185" s="1332"/>
      <c r="QMB185" s="1332"/>
      <c r="QMC185" s="1332"/>
      <c r="QMD185" s="1332"/>
      <c r="QME185" s="1332"/>
      <c r="QMF185" s="1332"/>
      <c r="QMG185" s="1332"/>
      <c r="QMH185" s="1332"/>
      <c r="QMI185" s="1332"/>
      <c r="QMJ185" s="1332"/>
      <c r="QMK185" s="1332"/>
      <c r="QML185" s="1332"/>
      <c r="QMM185" s="1332"/>
      <c r="QMN185" s="1332"/>
      <c r="QMO185" s="1332"/>
      <c r="QMP185" s="1332"/>
      <c r="QMQ185" s="1332"/>
      <c r="QMR185" s="1332"/>
      <c r="QMS185" s="1332"/>
      <c r="QMT185" s="1332"/>
      <c r="QMU185" s="1332"/>
      <c r="QMV185" s="1332"/>
      <c r="QMW185" s="1332"/>
      <c r="QMX185" s="1332"/>
      <c r="QMY185" s="1332"/>
      <c r="QMZ185" s="1332"/>
      <c r="QNA185" s="1332"/>
      <c r="QNB185" s="1332"/>
      <c r="QNC185" s="1332"/>
      <c r="QND185" s="1332"/>
      <c r="QNE185" s="1332"/>
      <c r="QNF185" s="1332"/>
      <c r="QNG185" s="1332"/>
      <c r="QNH185" s="1332"/>
      <c r="QNI185" s="1332"/>
      <c r="QNJ185" s="1332"/>
      <c r="QNK185" s="1332"/>
      <c r="QNL185" s="1332"/>
      <c r="QNM185" s="1332"/>
      <c r="QNN185" s="1332"/>
      <c r="QNO185" s="1332"/>
      <c r="QNP185" s="1332"/>
      <c r="QNQ185" s="1332"/>
      <c r="QNR185" s="1332"/>
      <c r="QNS185" s="1332"/>
      <c r="QNT185" s="1332"/>
      <c r="QNU185" s="1332"/>
      <c r="QNV185" s="1332"/>
      <c r="QNW185" s="1332"/>
      <c r="QNX185" s="1332"/>
      <c r="QNY185" s="1332"/>
      <c r="QNZ185" s="1332"/>
      <c r="QOA185" s="1332"/>
      <c r="QOB185" s="1332"/>
      <c r="QOC185" s="1332"/>
      <c r="QOD185" s="1332"/>
      <c r="QOE185" s="1332"/>
      <c r="QOF185" s="1332"/>
      <c r="QOG185" s="1332"/>
      <c r="QOH185" s="1332"/>
      <c r="QOI185" s="1332"/>
      <c r="QOJ185" s="1332"/>
      <c r="QOK185" s="1332"/>
      <c r="QOL185" s="1332"/>
      <c r="QOM185" s="1332"/>
      <c r="QON185" s="1332"/>
      <c r="QOO185" s="1332"/>
      <c r="QOP185" s="1332"/>
      <c r="QOQ185" s="1332"/>
      <c r="QOR185" s="1332"/>
      <c r="QOS185" s="1332"/>
      <c r="QOT185" s="1332"/>
      <c r="QOU185" s="1332"/>
      <c r="QOV185" s="1332"/>
      <c r="QOW185" s="1332"/>
      <c r="QOX185" s="1332"/>
      <c r="QOY185" s="1332"/>
      <c r="QOZ185" s="1332"/>
      <c r="QPA185" s="1332"/>
      <c r="QPB185" s="1332"/>
      <c r="QPC185" s="1332"/>
      <c r="QPD185" s="1332"/>
      <c r="QPE185" s="1332"/>
      <c r="QPF185" s="1332"/>
      <c r="QPG185" s="1332"/>
      <c r="QPH185" s="1332"/>
      <c r="QPI185" s="1332"/>
      <c r="QPJ185" s="1332"/>
      <c r="QPK185" s="1332"/>
      <c r="QPL185" s="1332"/>
      <c r="QPM185" s="1332"/>
      <c r="QPN185" s="1332"/>
      <c r="QPO185" s="1332"/>
      <c r="QPP185" s="1332"/>
      <c r="QPQ185" s="1332"/>
      <c r="QPR185" s="1332"/>
      <c r="QPS185" s="1332"/>
      <c r="QPT185" s="1332"/>
      <c r="QPU185" s="1332"/>
      <c r="QPV185" s="1332"/>
      <c r="QPW185" s="1332"/>
      <c r="QPX185" s="1332"/>
      <c r="QPY185" s="1332"/>
      <c r="QPZ185" s="1332"/>
      <c r="QQA185" s="1332"/>
      <c r="QQB185" s="1332"/>
      <c r="QQC185" s="1332"/>
      <c r="QQD185" s="1332"/>
      <c r="QQE185" s="1332"/>
      <c r="QQF185" s="1332"/>
      <c r="QQG185" s="1332"/>
      <c r="QQH185" s="1332"/>
      <c r="QQI185" s="1332"/>
      <c r="QQJ185" s="1332"/>
      <c r="QQK185" s="1332"/>
      <c r="QQL185" s="1332"/>
      <c r="QQM185" s="1332"/>
      <c r="QQN185" s="1332"/>
      <c r="QQO185" s="1332"/>
      <c r="QQP185" s="1332"/>
      <c r="QQQ185" s="1332"/>
      <c r="QQR185" s="1332"/>
      <c r="QQS185" s="1332"/>
      <c r="QQT185" s="1332"/>
      <c r="QQU185" s="1332"/>
      <c r="QQV185" s="1332"/>
      <c r="QQW185" s="1332"/>
      <c r="QQX185" s="1332"/>
      <c r="QQY185" s="1332"/>
      <c r="QQZ185" s="1332"/>
      <c r="QRA185" s="1332"/>
      <c r="QRB185" s="1332"/>
      <c r="QRC185" s="1332"/>
      <c r="QRD185" s="1332"/>
      <c r="QRE185" s="1332"/>
      <c r="QRF185" s="1332"/>
      <c r="QRG185" s="1332"/>
      <c r="QRH185" s="1332"/>
      <c r="QRI185" s="1332"/>
      <c r="QRJ185" s="1332"/>
      <c r="QRK185" s="1332"/>
      <c r="QRL185" s="1332"/>
      <c r="QRM185" s="1332"/>
      <c r="QRN185" s="1332"/>
      <c r="QRO185" s="1332"/>
      <c r="QRP185" s="1332"/>
      <c r="QRQ185" s="1332"/>
      <c r="QRR185" s="1332"/>
      <c r="QRS185" s="1332"/>
      <c r="QRT185" s="1332"/>
      <c r="QRU185" s="1332"/>
      <c r="QRV185" s="1332"/>
      <c r="QRW185" s="1332"/>
      <c r="QRX185" s="1332"/>
      <c r="QRY185" s="1332"/>
      <c r="QRZ185" s="1332"/>
      <c r="QSA185" s="1332"/>
      <c r="QSB185" s="1332"/>
      <c r="QSC185" s="1332"/>
      <c r="QSD185" s="1332"/>
      <c r="QSE185" s="1332"/>
      <c r="QSF185" s="1332"/>
      <c r="QSG185" s="1332"/>
      <c r="QSH185" s="1332"/>
      <c r="QSI185" s="1332"/>
      <c r="QSJ185" s="1332"/>
      <c r="QSK185" s="1332"/>
      <c r="QSL185" s="1332"/>
      <c r="QSM185" s="1332"/>
      <c r="QSN185" s="1332"/>
      <c r="QSO185" s="1332"/>
      <c r="QSP185" s="1332"/>
      <c r="QSQ185" s="1332"/>
      <c r="QSR185" s="1332"/>
      <c r="QSS185" s="1332"/>
      <c r="QST185" s="1332"/>
      <c r="QSU185" s="1332"/>
      <c r="QSV185" s="1332"/>
      <c r="QSW185" s="1332"/>
      <c r="QSX185" s="1332"/>
      <c r="QSY185" s="1332"/>
      <c r="QSZ185" s="1332"/>
      <c r="QTA185" s="1332"/>
      <c r="QTB185" s="1332"/>
      <c r="QTC185" s="1332"/>
      <c r="QTD185" s="1332"/>
      <c r="QTE185" s="1332"/>
      <c r="QTF185" s="1332"/>
      <c r="QTG185" s="1332"/>
      <c r="QTH185" s="1332"/>
      <c r="QTI185" s="1332"/>
      <c r="QTJ185" s="1332"/>
      <c r="QTK185" s="1332"/>
      <c r="QTL185" s="1332"/>
      <c r="QTM185" s="1332"/>
      <c r="QTN185" s="1332"/>
      <c r="QTO185" s="1332"/>
      <c r="QTP185" s="1332"/>
      <c r="QTQ185" s="1332"/>
      <c r="QTR185" s="1332"/>
      <c r="QTS185" s="1332"/>
      <c r="QTT185" s="1332"/>
      <c r="QTU185" s="1332"/>
      <c r="QTV185" s="1332"/>
      <c r="QTW185" s="1332"/>
      <c r="QTX185" s="1332"/>
      <c r="QTY185" s="1332"/>
      <c r="QTZ185" s="1332"/>
      <c r="QUA185" s="1332"/>
      <c r="QUB185" s="1332"/>
      <c r="QUC185" s="1332"/>
      <c r="QUD185" s="1332"/>
      <c r="QUE185" s="1332"/>
      <c r="QUF185" s="1332"/>
      <c r="QUG185" s="1332"/>
      <c r="QUH185" s="1332"/>
      <c r="QUI185" s="1332"/>
      <c r="QUJ185" s="1332"/>
      <c r="QUK185" s="1332"/>
      <c r="QUL185" s="1332"/>
      <c r="QUM185" s="1332"/>
      <c r="QUN185" s="1332"/>
      <c r="QUO185" s="1332"/>
      <c r="QUP185" s="1332"/>
      <c r="QUQ185" s="1332"/>
      <c r="QUR185" s="1332"/>
      <c r="QUS185" s="1332"/>
      <c r="QUT185" s="1332"/>
      <c r="QUU185" s="1332"/>
      <c r="QUV185" s="1332"/>
      <c r="QUW185" s="1332"/>
      <c r="QUX185" s="1332"/>
      <c r="QUY185" s="1332"/>
      <c r="QUZ185" s="1332"/>
      <c r="QVA185" s="1332"/>
      <c r="QVB185" s="1332"/>
      <c r="QVC185" s="1332"/>
      <c r="QVD185" s="1332"/>
      <c r="QVE185" s="1332"/>
      <c r="QVF185" s="1332"/>
      <c r="QVG185" s="1332"/>
      <c r="QVH185" s="1332"/>
      <c r="QVI185" s="1332"/>
      <c r="QVJ185" s="1332"/>
      <c r="QVK185" s="1332"/>
      <c r="QVL185" s="1332"/>
      <c r="QVM185" s="1332"/>
      <c r="QVN185" s="1332"/>
      <c r="QVO185" s="1332"/>
      <c r="QVP185" s="1332"/>
      <c r="QVQ185" s="1332"/>
      <c r="QVR185" s="1332"/>
      <c r="QVS185" s="1332"/>
      <c r="QVT185" s="1332"/>
      <c r="QVU185" s="1332"/>
      <c r="QVV185" s="1332"/>
      <c r="QVW185" s="1332"/>
      <c r="QVX185" s="1332"/>
      <c r="QVY185" s="1332"/>
      <c r="QVZ185" s="1332"/>
      <c r="QWA185" s="1332"/>
      <c r="QWB185" s="1332"/>
      <c r="QWC185" s="1332"/>
      <c r="QWD185" s="1332"/>
      <c r="QWE185" s="1332"/>
      <c r="QWF185" s="1332"/>
      <c r="QWG185" s="1332"/>
      <c r="QWH185" s="1332"/>
      <c r="QWI185" s="1332"/>
      <c r="QWJ185" s="1332"/>
      <c r="QWK185" s="1332"/>
      <c r="QWL185" s="1332"/>
      <c r="QWM185" s="1332"/>
      <c r="QWN185" s="1332"/>
      <c r="QWO185" s="1332"/>
      <c r="QWP185" s="1332"/>
      <c r="QWQ185" s="1332"/>
      <c r="QWR185" s="1332"/>
      <c r="QWS185" s="1332"/>
      <c r="QWT185" s="1332"/>
      <c r="QWU185" s="1332"/>
      <c r="QWV185" s="1332"/>
      <c r="QWW185" s="1332"/>
      <c r="QWX185" s="1332"/>
      <c r="QWY185" s="1332"/>
      <c r="QWZ185" s="1332"/>
      <c r="QXA185" s="1332"/>
      <c r="QXB185" s="1332"/>
      <c r="QXC185" s="1332"/>
      <c r="QXD185" s="1332"/>
      <c r="QXE185" s="1332"/>
      <c r="QXF185" s="1332"/>
      <c r="QXG185" s="1332"/>
      <c r="QXH185" s="1332"/>
      <c r="QXI185" s="1332"/>
      <c r="QXJ185" s="1332"/>
      <c r="QXK185" s="1332"/>
      <c r="QXL185" s="1332"/>
      <c r="QXM185" s="1332"/>
      <c r="QXN185" s="1332"/>
      <c r="QXO185" s="1332"/>
      <c r="QXP185" s="1332"/>
      <c r="QXQ185" s="1332"/>
      <c r="QXR185" s="1332"/>
      <c r="QXS185" s="1332"/>
      <c r="QXT185" s="1332"/>
      <c r="QXU185" s="1332"/>
      <c r="QXV185" s="1332"/>
      <c r="QXW185" s="1332"/>
      <c r="QXX185" s="1332"/>
      <c r="QXY185" s="1332"/>
      <c r="QXZ185" s="1332"/>
      <c r="QYA185" s="1332"/>
      <c r="QYB185" s="1332"/>
      <c r="QYC185" s="1332"/>
      <c r="QYD185" s="1332"/>
      <c r="QYE185" s="1332"/>
      <c r="QYF185" s="1332"/>
      <c r="QYG185" s="1332"/>
      <c r="QYH185" s="1332"/>
      <c r="QYI185" s="1332"/>
      <c r="QYJ185" s="1332"/>
      <c r="QYK185" s="1332"/>
      <c r="QYL185" s="1332"/>
      <c r="QYM185" s="1332"/>
      <c r="QYN185" s="1332"/>
      <c r="QYO185" s="1332"/>
      <c r="QYP185" s="1332"/>
      <c r="QYQ185" s="1332"/>
      <c r="QYR185" s="1332"/>
      <c r="QYS185" s="1332"/>
      <c r="QYT185" s="1332"/>
      <c r="QYU185" s="1332"/>
      <c r="QYV185" s="1332"/>
      <c r="QYW185" s="1332"/>
      <c r="QYX185" s="1332"/>
      <c r="QYY185" s="1332"/>
      <c r="QYZ185" s="1332"/>
      <c r="QZA185" s="1332"/>
      <c r="QZB185" s="1332"/>
      <c r="QZC185" s="1332"/>
      <c r="QZD185" s="1332"/>
      <c r="QZE185" s="1332"/>
      <c r="QZF185" s="1332"/>
      <c r="QZG185" s="1332"/>
      <c r="QZH185" s="1332"/>
      <c r="QZI185" s="1332"/>
      <c r="QZJ185" s="1332"/>
      <c r="QZK185" s="1332"/>
      <c r="QZL185" s="1332"/>
      <c r="QZM185" s="1332"/>
      <c r="QZN185" s="1332"/>
      <c r="QZO185" s="1332"/>
      <c r="QZP185" s="1332"/>
      <c r="QZQ185" s="1332"/>
      <c r="QZR185" s="1332"/>
      <c r="QZS185" s="1332"/>
      <c r="QZT185" s="1332"/>
      <c r="QZU185" s="1332"/>
      <c r="QZV185" s="1332"/>
      <c r="QZW185" s="1332"/>
      <c r="QZX185" s="1332"/>
      <c r="QZY185" s="1332"/>
      <c r="QZZ185" s="1332"/>
      <c r="RAA185" s="1332"/>
      <c r="RAB185" s="1332"/>
      <c r="RAC185" s="1332"/>
      <c r="RAD185" s="1332"/>
      <c r="RAE185" s="1332"/>
      <c r="RAF185" s="1332"/>
      <c r="RAG185" s="1332"/>
      <c r="RAH185" s="1332"/>
      <c r="RAI185" s="1332"/>
      <c r="RAJ185" s="1332"/>
      <c r="RAK185" s="1332"/>
      <c r="RAL185" s="1332"/>
      <c r="RAM185" s="1332"/>
      <c r="RAN185" s="1332"/>
      <c r="RAO185" s="1332"/>
      <c r="RAP185" s="1332"/>
      <c r="RAQ185" s="1332"/>
      <c r="RAR185" s="1332"/>
      <c r="RAS185" s="1332"/>
      <c r="RAT185" s="1332"/>
      <c r="RAU185" s="1332"/>
      <c r="RAV185" s="1332"/>
      <c r="RAW185" s="1332"/>
      <c r="RAX185" s="1332"/>
      <c r="RAY185" s="1332"/>
      <c r="RAZ185" s="1332"/>
      <c r="RBA185" s="1332"/>
      <c r="RBB185" s="1332"/>
      <c r="RBC185" s="1332"/>
      <c r="RBD185" s="1332"/>
      <c r="RBE185" s="1332"/>
      <c r="RBF185" s="1332"/>
      <c r="RBG185" s="1332"/>
      <c r="RBH185" s="1332"/>
      <c r="RBI185" s="1332"/>
      <c r="RBJ185" s="1332"/>
      <c r="RBK185" s="1332"/>
      <c r="RBL185" s="1332"/>
      <c r="RBM185" s="1332"/>
      <c r="RBN185" s="1332"/>
      <c r="RBO185" s="1332"/>
      <c r="RBP185" s="1332"/>
      <c r="RBQ185" s="1332"/>
      <c r="RBR185" s="1332"/>
      <c r="RBS185" s="1332"/>
      <c r="RBT185" s="1332"/>
      <c r="RBU185" s="1332"/>
      <c r="RBV185" s="1332"/>
      <c r="RBW185" s="1332"/>
      <c r="RBX185" s="1332"/>
      <c r="RBY185" s="1332"/>
      <c r="RBZ185" s="1332"/>
      <c r="RCA185" s="1332"/>
      <c r="RCB185" s="1332"/>
      <c r="RCC185" s="1332"/>
      <c r="RCD185" s="1332"/>
      <c r="RCE185" s="1332"/>
      <c r="RCF185" s="1332"/>
      <c r="RCG185" s="1332"/>
      <c r="RCH185" s="1332"/>
      <c r="RCI185" s="1332"/>
      <c r="RCJ185" s="1332"/>
      <c r="RCK185" s="1332"/>
      <c r="RCL185" s="1332"/>
      <c r="RCM185" s="1332"/>
      <c r="RCN185" s="1332"/>
      <c r="RCO185" s="1332"/>
      <c r="RCP185" s="1332"/>
      <c r="RCQ185" s="1332"/>
      <c r="RCR185" s="1332"/>
      <c r="RCS185" s="1332"/>
      <c r="RCT185" s="1332"/>
      <c r="RCU185" s="1332"/>
      <c r="RCV185" s="1332"/>
      <c r="RCW185" s="1332"/>
      <c r="RCX185" s="1332"/>
      <c r="RCY185" s="1332"/>
      <c r="RCZ185" s="1332"/>
      <c r="RDA185" s="1332"/>
      <c r="RDB185" s="1332"/>
      <c r="RDC185" s="1332"/>
      <c r="RDD185" s="1332"/>
      <c r="RDE185" s="1332"/>
      <c r="RDF185" s="1332"/>
      <c r="RDG185" s="1332"/>
      <c r="RDH185" s="1332"/>
      <c r="RDI185" s="1332"/>
      <c r="RDJ185" s="1332"/>
      <c r="RDK185" s="1332"/>
      <c r="RDL185" s="1332"/>
      <c r="RDM185" s="1332"/>
      <c r="RDN185" s="1332"/>
      <c r="RDO185" s="1332"/>
      <c r="RDP185" s="1332"/>
      <c r="RDQ185" s="1332"/>
      <c r="RDR185" s="1332"/>
      <c r="RDS185" s="1332"/>
      <c r="RDT185" s="1332"/>
      <c r="RDU185" s="1332"/>
      <c r="RDV185" s="1332"/>
      <c r="RDW185" s="1332"/>
      <c r="RDX185" s="1332"/>
      <c r="RDY185" s="1332"/>
      <c r="RDZ185" s="1332"/>
      <c r="REA185" s="1332"/>
      <c r="REB185" s="1332"/>
      <c r="REC185" s="1332"/>
      <c r="RED185" s="1332"/>
      <c r="REE185" s="1332"/>
      <c r="REF185" s="1332"/>
      <c r="REG185" s="1332"/>
      <c r="REH185" s="1332"/>
      <c r="REI185" s="1332"/>
      <c r="REJ185" s="1332"/>
      <c r="REK185" s="1332"/>
      <c r="REL185" s="1332"/>
      <c r="REM185" s="1332"/>
      <c r="REN185" s="1332"/>
      <c r="REO185" s="1332"/>
      <c r="REP185" s="1332"/>
      <c r="REQ185" s="1332"/>
      <c r="RER185" s="1332"/>
      <c r="RES185" s="1332"/>
      <c r="RET185" s="1332"/>
      <c r="REU185" s="1332"/>
      <c r="REV185" s="1332"/>
      <c r="REW185" s="1332"/>
      <c r="REX185" s="1332"/>
      <c r="REY185" s="1332"/>
      <c r="REZ185" s="1332"/>
      <c r="RFA185" s="1332"/>
      <c r="RFB185" s="1332"/>
      <c r="RFC185" s="1332"/>
      <c r="RFD185" s="1332"/>
      <c r="RFE185" s="1332"/>
      <c r="RFF185" s="1332"/>
      <c r="RFG185" s="1332"/>
      <c r="RFH185" s="1332"/>
      <c r="RFI185" s="1332"/>
      <c r="RFJ185" s="1332"/>
      <c r="RFK185" s="1332"/>
      <c r="RFL185" s="1332"/>
      <c r="RFM185" s="1332"/>
      <c r="RFN185" s="1332"/>
      <c r="RFO185" s="1332"/>
      <c r="RFP185" s="1332"/>
      <c r="RFQ185" s="1332"/>
      <c r="RFR185" s="1332"/>
      <c r="RFS185" s="1332"/>
      <c r="RFT185" s="1332"/>
      <c r="RFU185" s="1332"/>
      <c r="RFV185" s="1332"/>
      <c r="RFW185" s="1332"/>
      <c r="RFX185" s="1332"/>
      <c r="RFY185" s="1332"/>
      <c r="RFZ185" s="1332"/>
      <c r="RGA185" s="1332"/>
      <c r="RGB185" s="1332"/>
      <c r="RGC185" s="1332"/>
      <c r="RGD185" s="1332"/>
      <c r="RGE185" s="1332"/>
      <c r="RGF185" s="1332"/>
      <c r="RGG185" s="1332"/>
      <c r="RGH185" s="1332"/>
      <c r="RGI185" s="1332"/>
      <c r="RGJ185" s="1332"/>
      <c r="RGK185" s="1332"/>
      <c r="RGL185" s="1332"/>
      <c r="RGM185" s="1332"/>
      <c r="RGN185" s="1332"/>
      <c r="RGO185" s="1332"/>
      <c r="RGP185" s="1332"/>
      <c r="RGQ185" s="1332"/>
      <c r="RGR185" s="1332"/>
      <c r="RGS185" s="1332"/>
      <c r="RGT185" s="1332"/>
      <c r="RGU185" s="1332"/>
      <c r="RGV185" s="1332"/>
      <c r="RGW185" s="1332"/>
      <c r="RGX185" s="1332"/>
      <c r="RGY185" s="1332"/>
      <c r="RGZ185" s="1332"/>
      <c r="RHA185" s="1332"/>
      <c r="RHB185" s="1332"/>
      <c r="RHC185" s="1332"/>
      <c r="RHD185" s="1332"/>
      <c r="RHE185" s="1332"/>
      <c r="RHF185" s="1332"/>
      <c r="RHG185" s="1332"/>
      <c r="RHH185" s="1332"/>
      <c r="RHI185" s="1332"/>
      <c r="RHJ185" s="1332"/>
      <c r="RHK185" s="1332"/>
      <c r="RHL185" s="1332"/>
      <c r="RHM185" s="1332"/>
      <c r="RHN185" s="1332"/>
      <c r="RHO185" s="1332"/>
      <c r="RHP185" s="1332"/>
      <c r="RHQ185" s="1332"/>
      <c r="RHR185" s="1332"/>
      <c r="RHS185" s="1332"/>
      <c r="RHT185" s="1332"/>
      <c r="RHU185" s="1332"/>
      <c r="RHV185" s="1332"/>
      <c r="RHW185" s="1332"/>
      <c r="RHX185" s="1332"/>
      <c r="RHY185" s="1332"/>
      <c r="RHZ185" s="1332"/>
      <c r="RIA185" s="1332"/>
      <c r="RIB185" s="1332"/>
      <c r="RIC185" s="1332"/>
      <c r="RID185" s="1332"/>
      <c r="RIE185" s="1332"/>
      <c r="RIF185" s="1332"/>
      <c r="RIG185" s="1332"/>
      <c r="RIH185" s="1332"/>
      <c r="RII185" s="1332"/>
      <c r="RIJ185" s="1332"/>
      <c r="RIK185" s="1332"/>
      <c r="RIL185" s="1332"/>
      <c r="RIM185" s="1332"/>
      <c r="RIN185" s="1332"/>
      <c r="RIO185" s="1332"/>
      <c r="RIP185" s="1332"/>
      <c r="RIQ185" s="1332"/>
      <c r="RIR185" s="1332"/>
      <c r="RIS185" s="1332"/>
      <c r="RIT185" s="1332"/>
      <c r="RIU185" s="1332"/>
      <c r="RIV185" s="1332"/>
      <c r="RIW185" s="1332"/>
      <c r="RIX185" s="1332"/>
      <c r="RIY185" s="1332"/>
      <c r="RIZ185" s="1332"/>
      <c r="RJA185" s="1332"/>
      <c r="RJB185" s="1332"/>
      <c r="RJC185" s="1332"/>
      <c r="RJD185" s="1332"/>
      <c r="RJE185" s="1332"/>
      <c r="RJF185" s="1332"/>
      <c r="RJG185" s="1332"/>
      <c r="RJH185" s="1332"/>
      <c r="RJI185" s="1332"/>
      <c r="RJJ185" s="1332"/>
      <c r="RJK185" s="1332"/>
      <c r="RJL185" s="1332"/>
      <c r="RJM185" s="1332"/>
      <c r="RJN185" s="1332"/>
      <c r="RJO185" s="1332"/>
      <c r="RJP185" s="1332"/>
      <c r="RJQ185" s="1332"/>
      <c r="RJR185" s="1332"/>
      <c r="RJS185" s="1332"/>
      <c r="RJT185" s="1332"/>
      <c r="RJU185" s="1332"/>
      <c r="RJV185" s="1332"/>
      <c r="RJW185" s="1332"/>
      <c r="RJX185" s="1332"/>
      <c r="RJY185" s="1332"/>
      <c r="RJZ185" s="1332"/>
      <c r="RKA185" s="1332"/>
      <c r="RKB185" s="1332"/>
      <c r="RKC185" s="1332"/>
      <c r="RKD185" s="1332"/>
      <c r="RKE185" s="1332"/>
      <c r="RKF185" s="1332"/>
      <c r="RKG185" s="1332"/>
      <c r="RKH185" s="1332"/>
      <c r="RKI185" s="1332"/>
      <c r="RKJ185" s="1332"/>
      <c r="RKK185" s="1332"/>
      <c r="RKL185" s="1332"/>
      <c r="RKM185" s="1332"/>
      <c r="RKN185" s="1332"/>
      <c r="RKO185" s="1332"/>
      <c r="RKP185" s="1332"/>
      <c r="RKQ185" s="1332"/>
      <c r="RKR185" s="1332"/>
      <c r="RKS185" s="1332"/>
      <c r="RKT185" s="1332"/>
      <c r="RKU185" s="1332"/>
      <c r="RKV185" s="1332"/>
      <c r="RKW185" s="1332"/>
      <c r="RKX185" s="1332"/>
      <c r="RKY185" s="1332"/>
      <c r="RKZ185" s="1332"/>
      <c r="RLA185" s="1332"/>
      <c r="RLB185" s="1332"/>
      <c r="RLC185" s="1332"/>
      <c r="RLD185" s="1332"/>
      <c r="RLE185" s="1332"/>
      <c r="RLF185" s="1332"/>
      <c r="RLG185" s="1332"/>
      <c r="RLH185" s="1332"/>
      <c r="RLI185" s="1332"/>
      <c r="RLJ185" s="1332"/>
      <c r="RLK185" s="1332"/>
      <c r="RLL185" s="1332"/>
      <c r="RLM185" s="1332"/>
      <c r="RLN185" s="1332"/>
      <c r="RLO185" s="1332"/>
      <c r="RLP185" s="1332"/>
      <c r="RLQ185" s="1332"/>
      <c r="RLR185" s="1332"/>
      <c r="RLS185" s="1332"/>
      <c r="RLT185" s="1332"/>
      <c r="RLU185" s="1332"/>
      <c r="RLV185" s="1332"/>
      <c r="RLW185" s="1332"/>
      <c r="RLX185" s="1332"/>
      <c r="RLY185" s="1332"/>
      <c r="RLZ185" s="1332"/>
      <c r="RMA185" s="1332"/>
      <c r="RMB185" s="1332"/>
      <c r="RMC185" s="1332"/>
      <c r="RMD185" s="1332"/>
      <c r="RME185" s="1332"/>
      <c r="RMF185" s="1332"/>
      <c r="RMG185" s="1332"/>
      <c r="RMH185" s="1332"/>
      <c r="RMI185" s="1332"/>
      <c r="RMJ185" s="1332"/>
      <c r="RMK185" s="1332"/>
      <c r="RML185" s="1332"/>
      <c r="RMM185" s="1332"/>
      <c r="RMN185" s="1332"/>
      <c r="RMO185" s="1332"/>
      <c r="RMP185" s="1332"/>
      <c r="RMQ185" s="1332"/>
      <c r="RMR185" s="1332"/>
      <c r="RMS185" s="1332"/>
      <c r="RMT185" s="1332"/>
      <c r="RMU185" s="1332"/>
      <c r="RMV185" s="1332"/>
      <c r="RMW185" s="1332"/>
      <c r="RMX185" s="1332"/>
      <c r="RMY185" s="1332"/>
      <c r="RMZ185" s="1332"/>
      <c r="RNA185" s="1332"/>
      <c r="RNB185" s="1332"/>
      <c r="RNC185" s="1332"/>
      <c r="RND185" s="1332"/>
      <c r="RNE185" s="1332"/>
      <c r="RNF185" s="1332"/>
      <c r="RNG185" s="1332"/>
      <c r="RNH185" s="1332"/>
      <c r="RNI185" s="1332"/>
      <c r="RNJ185" s="1332"/>
      <c r="RNK185" s="1332"/>
      <c r="RNL185" s="1332"/>
      <c r="RNM185" s="1332"/>
      <c r="RNN185" s="1332"/>
      <c r="RNO185" s="1332"/>
      <c r="RNP185" s="1332"/>
      <c r="RNQ185" s="1332"/>
      <c r="RNR185" s="1332"/>
      <c r="RNS185" s="1332"/>
      <c r="RNT185" s="1332"/>
      <c r="RNU185" s="1332"/>
      <c r="RNV185" s="1332"/>
      <c r="RNW185" s="1332"/>
      <c r="RNX185" s="1332"/>
      <c r="RNY185" s="1332"/>
      <c r="RNZ185" s="1332"/>
      <c r="ROA185" s="1332"/>
      <c r="ROB185" s="1332"/>
      <c r="ROC185" s="1332"/>
      <c r="ROD185" s="1332"/>
      <c r="ROE185" s="1332"/>
      <c r="ROF185" s="1332"/>
      <c r="ROG185" s="1332"/>
      <c r="ROH185" s="1332"/>
      <c r="ROI185" s="1332"/>
      <c r="ROJ185" s="1332"/>
      <c r="ROK185" s="1332"/>
      <c r="ROL185" s="1332"/>
      <c r="ROM185" s="1332"/>
      <c r="RON185" s="1332"/>
      <c r="ROO185" s="1332"/>
      <c r="ROP185" s="1332"/>
      <c r="ROQ185" s="1332"/>
      <c r="ROR185" s="1332"/>
      <c r="ROS185" s="1332"/>
      <c r="ROT185" s="1332"/>
      <c r="ROU185" s="1332"/>
      <c r="ROV185" s="1332"/>
      <c r="ROW185" s="1332"/>
      <c r="ROX185" s="1332"/>
      <c r="ROY185" s="1332"/>
      <c r="ROZ185" s="1332"/>
      <c r="RPA185" s="1332"/>
      <c r="RPB185" s="1332"/>
      <c r="RPC185" s="1332"/>
      <c r="RPD185" s="1332"/>
      <c r="RPE185" s="1332"/>
      <c r="RPF185" s="1332"/>
      <c r="RPG185" s="1332"/>
      <c r="RPH185" s="1332"/>
      <c r="RPI185" s="1332"/>
      <c r="RPJ185" s="1332"/>
      <c r="RPK185" s="1332"/>
      <c r="RPL185" s="1332"/>
      <c r="RPM185" s="1332"/>
      <c r="RPN185" s="1332"/>
      <c r="RPO185" s="1332"/>
      <c r="RPP185" s="1332"/>
      <c r="RPQ185" s="1332"/>
      <c r="RPR185" s="1332"/>
      <c r="RPS185" s="1332"/>
      <c r="RPT185" s="1332"/>
      <c r="RPU185" s="1332"/>
      <c r="RPV185" s="1332"/>
      <c r="RPW185" s="1332"/>
      <c r="RPX185" s="1332"/>
      <c r="RPY185" s="1332"/>
      <c r="RPZ185" s="1332"/>
      <c r="RQA185" s="1332"/>
      <c r="RQB185" s="1332"/>
      <c r="RQC185" s="1332"/>
      <c r="RQD185" s="1332"/>
      <c r="RQE185" s="1332"/>
      <c r="RQF185" s="1332"/>
      <c r="RQG185" s="1332"/>
      <c r="RQH185" s="1332"/>
      <c r="RQI185" s="1332"/>
      <c r="RQJ185" s="1332"/>
      <c r="RQK185" s="1332"/>
      <c r="RQL185" s="1332"/>
      <c r="RQM185" s="1332"/>
      <c r="RQN185" s="1332"/>
      <c r="RQO185" s="1332"/>
      <c r="RQP185" s="1332"/>
      <c r="RQQ185" s="1332"/>
      <c r="RQR185" s="1332"/>
      <c r="RQS185" s="1332"/>
      <c r="RQT185" s="1332"/>
      <c r="RQU185" s="1332"/>
      <c r="RQV185" s="1332"/>
      <c r="RQW185" s="1332"/>
      <c r="RQX185" s="1332"/>
      <c r="RQY185" s="1332"/>
      <c r="RQZ185" s="1332"/>
      <c r="RRA185" s="1332"/>
      <c r="RRB185" s="1332"/>
      <c r="RRC185" s="1332"/>
      <c r="RRD185" s="1332"/>
      <c r="RRE185" s="1332"/>
      <c r="RRF185" s="1332"/>
      <c r="RRG185" s="1332"/>
      <c r="RRH185" s="1332"/>
      <c r="RRI185" s="1332"/>
      <c r="RRJ185" s="1332"/>
      <c r="RRK185" s="1332"/>
      <c r="RRL185" s="1332"/>
      <c r="RRM185" s="1332"/>
      <c r="RRN185" s="1332"/>
      <c r="RRO185" s="1332"/>
      <c r="RRP185" s="1332"/>
      <c r="RRQ185" s="1332"/>
      <c r="RRR185" s="1332"/>
      <c r="RRS185" s="1332"/>
      <c r="RRT185" s="1332"/>
      <c r="RRU185" s="1332"/>
      <c r="RRV185" s="1332"/>
      <c r="RRW185" s="1332"/>
      <c r="RRX185" s="1332"/>
      <c r="RRY185" s="1332"/>
      <c r="RRZ185" s="1332"/>
      <c r="RSA185" s="1332"/>
      <c r="RSB185" s="1332"/>
      <c r="RSC185" s="1332"/>
      <c r="RSD185" s="1332"/>
      <c r="RSE185" s="1332"/>
      <c r="RSF185" s="1332"/>
      <c r="RSG185" s="1332"/>
      <c r="RSH185" s="1332"/>
      <c r="RSI185" s="1332"/>
      <c r="RSJ185" s="1332"/>
      <c r="RSK185" s="1332"/>
      <c r="RSL185" s="1332"/>
      <c r="RSM185" s="1332"/>
      <c r="RSN185" s="1332"/>
      <c r="RSO185" s="1332"/>
      <c r="RSP185" s="1332"/>
      <c r="RSQ185" s="1332"/>
      <c r="RSR185" s="1332"/>
      <c r="RSS185" s="1332"/>
      <c r="RST185" s="1332"/>
      <c r="RSU185" s="1332"/>
      <c r="RSV185" s="1332"/>
      <c r="RSW185" s="1332"/>
      <c r="RSX185" s="1332"/>
      <c r="RSY185" s="1332"/>
      <c r="RSZ185" s="1332"/>
      <c r="RTA185" s="1332"/>
      <c r="RTB185" s="1332"/>
      <c r="RTC185" s="1332"/>
      <c r="RTD185" s="1332"/>
      <c r="RTE185" s="1332"/>
      <c r="RTF185" s="1332"/>
      <c r="RTG185" s="1332"/>
      <c r="RTH185" s="1332"/>
      <c r="RTI185" s="1332"/>
      <c r="RTJ185" s="1332"/>
      <c r="RTK185" s="1332"/>
      <c r="RTL185" s="1332"/>
      <c r="RTM185" s="1332"/>
      <c r="RTN185" s="1332"/>
      <c r="RTO185" s="1332"/>
      <c r="RTP185" s="1332"/>
      <c r="RTQ185" s="1332"/>
      <c r="RTR185" s="1332"/>
      <c r="RTS185" s="1332"/>
      <c r="RTT185" s="1332"/>
      <c r="RTU185" s="1332"/>
      <c r="RTV185" s="1332"/>
      <c r="RTW185" s="1332"/>
      <c r="RTX185" s="1332"/>
      <c r="RTY185" s="1332"/>
      <c r="RTZ185" s="1332"/>
      <c r="RUA185" s="1332"/>
      <c r="RUB185" s="1332"/>
      <c r="RUC185" s="1332"/>
      <c r="RUD185" s="1332"/>
      <c r="RUE185" s="1332"/>
      <c r="RUF185" s="1332"/>
      <c r="RUG185" s="1332"/>
      <c r="RUH185" s="1332"/>
      <c r="RUI185" s="1332"/>
      <c r="RUJ185" s="1332"/>
      <c r="RUK185" s="1332"/>
      <c r="RUL185" s="1332"/>
      <c r="RUM185" s="1332"/>
      <c r="RUN185" s="1332"/>
      <c r="RUO185" s="1332"/>
      <c r="RUP185" s="1332"/>
      <c r="RUQ185" s="1332"/>
      <c r="RUR185" s="1332"/>
      <c r="RUS185" s="1332"/>
      <c r="RUT185" s="1332"/>
      <c r="RUU185" s="1332"/>
      <c r="RUV185" s="1332"/>
      <c r="RUW185" s="1332"/>
      <c r="RUX185" s="1332"/>
      <c r="RUY185" s="1332"/>
      <c r="RUZ185" s="1332"/>
      <c r="RVA185" s="1332"/>
      <c r="RVB185" s="1332"/>
      <c r="RVC185" s="1332"/>
      <c r="RVD185" s="1332"/>
      <c r="RVE185" s="1332"/>
      <c r="RVF185" s="1332"/>
      <c r="RVG185" s="1332"/>
      <c r="RVH185" s="1332"/>
      <c r="RVI185" s="1332"/>
      <c r="RVJ185" s="1332"/>
      <c r="RVK185" s="1332"/>
      <c r="RVL185" s="1332"/>
      <c r="RVM185" s="1332"/>
      <c r="RVN185" s="1332"/>
      <c r="RVO185" s="1332"/>
      <c r="RVP185" s="1332"/>
      <c r="RVQ185" s="1332"/>
      <c r="RVR185" s="1332"/>
      <c r="RVS185" s="1332"/>
      <c r="RVT185" s="1332"/>
      <c r="RVU185" s="1332"/>
      <c r="RVV185" s="1332"/>
      <c r="RVW185" s="1332"/>
      <c r="RVX185" s="1332"/>
      <c r="RVY185" s="1332"/>
      <c r="RVZ185" s="1332"/>
      <c r="RWA185" s="1332"/>
      <c r="RWB185" s="1332"/>
      <c r="RWC185" s="1332"/>
      <c r="RWD185" s="1332"/>
      <c r="RWE185" s="1332"/>
      <c r="RWF185" s="1332"/>
      <c r="RWG185" s="1332"/>
      <c r="RWH185" s="1332"/>
      <c r="RWI185" s="1332"/>
      <c r="RWJ185" s="1332"/>
      <c r="RWK185" s="1332"/>
      <c r="RWL185" s="1332"/>
      <c r="RWM185" s="1332"/>
      <c r="RWN185" s="1332"/>
      <c r="RWO185" s="1332"/>
      <c r="RWP185" s="1332"/>
      <c r="RWQ185" s="1332"/>
      <c r="RWR185" s="1332"/>
      <c r="RWS185" s="1332"/>
      <c r="RWT185" s="1332"/>
      <c r="RWU185" s="1332"/>
      <c r="RWV185" s="1332"/>
      <c r="RWW185" s="1332"/>
      <c r="RWX185" s="1332"/>
      <c r="RWY185" s="1332"/>
      <c r="RWZ185" s="1332"/>
      <c r="RXA185" s="1332"/>
      <c r="RXB185" s="1332"/>
      <c r="RXC185" s="1332"/>
      <c r="RXD185" s="1332"/>
      <c r="RXE185" s="1332"/>
      <c r="RXF185" s="1332"/>
      <c r="RXG185" s="1332"/>
      <c r="RXH185" s="1332"/>
      <c r="RXI185" s="1332"/>
      <c r="RXJ185" s="1332"/>
      <c r="RXK185" s="1332"/>
      <c r="RXL185" s="1332"/>
      <c r="RXM185" s="1332"/>
      <c r="RXN185" s="1332"/>
      <c r="RXO185" s="1332"/>
      <c r="RXP185" s="1332"/>
      <c r="RXQ185" s="1332"/>
      <c r="RXR185" s="1332"/>
      <c r="RXS185" s="1332"/>
      <c r="RXT185" s="1332"/>
      <c r="RXU185" s="1332"/>
      <c r="RXV185" s="1332"/>
      <c r="RXW185" s="1332"/>
      <c r="RXX185" s="1332"/>
      <c r="RXY185" s="1332"/>
      <c r="RXZ185" s="1332"/>
      <c r="RYA185" s="1332"/>
      <c r="RYB185" s="1332"/>
      <c r="RYC185" s="1332"/>
      <c r="RYD185" s="1332"/>
      <c r="RYE185" s="1332"/>
      <c r="RYF185" s="1332"/>
      <c r="RYG185" s="1332"/>
      <c r="RYH185" s="1332"/>
      <c r="RYI185" s="1332"/>
      <c r="RYJ185" s="1332"/>
      <c r="RYK185" s="1332"/>
      <c r="RYL185" s="1332"/>
      <c r="RYM185" s="1332"/>
      <c r="RYN185" s="1332"/>
      <c r="RYO185" s="1332"/>
      <c r="RYP185" s="1332"/>
      <c r="RYQ185" s="1332"/>
      <c r="RYR185" s="1332"/>
      <c r="RYS185" s="1332"/>
      <c r="RYT185" s="1332"/>
      <c r="RYU185" s="1332"/>
      <c r="RYV185" s="1332"/>
      <c r="RYW185" s="1332"/>
      <c r="RYX185" s="1332"/>
      <c r="RYY185" s="1332"/>
      <c r="RYZ185" s="1332"/>
      <c r="RZA185" s="1332"/>
      <c r="RZB185" s="1332"/>
      <c r="RZC185" s="1332"/>
      <c r="RZD185" s="1332"/>
      <c r="RZE185" s="1332"/>
      <c r="RZF185" s="1332"/>
      <c r="RZG185" s="1332"/>
      <c r="RZH185" s="1332"/>
      <c r="RZI185" s="1332"/>
      <c r="RZJ185" s="1332"/>
      <c r="RZK185" s="1332"/>
      <c r="RZL185" s="1332"/>
      <c r="RZM185" s="1332"/>
      <c r="RZN185" s="1332"/>
      <c r="RZO185" s="1332"/>
      <c r="RZP185" s="1332"/>
      <c r="RZQ185" s="1332"/>
      <c r="RZR185" s="1332"/>
      <c r="RZS185" s="1332"/>
      <c r="RZT185" s="1332"/>
      <c r="RZU185" s="1332"/>
      <c r="RZV185" s="1332"/>
      <c r="RZW185" s="1332"/>
      <c r="RZX185" s="1332"/>
      <c r="RZY185" s="1332"/>
      <c r="RZZ185" s="1332"/>
      <c r="SAA185" s="1332"/>
      <c r="SAB185" s="1332"/>
      <c r="SAC185" s="1332"/>
      <c r="SAD185" s="1332"/>
      <c r="SAE185" s="1332"/>
      <c r="SAF185" s="1332"/>
      <c r="SAG185" s="1332"/>
      <c r="SAH185" s="1332"/>
      <c r="SAI185" s="1332"/>
      <c r="SAJ185" s="1332"/>
      <c r="SAK185" s="1332"/>
      <c r="SAL185" s="1332"/>
      <c r="SAM185" s="1332"/>
      <c r="SAN185" s="1332"/>
      <c r="SAO185" s="1332"/>
      <c r="SAP185" s="1332"/>
      <c r="SAQ185" s="1332"/>
      <c r="SAR185" s="1332"/>
      <c r="SAS185" s="1332"/>
      <c r="SAT185" s="1332"/>
      <c r="SAU185" s="1332"/>
      <c r="SAV185" s="1332"/>
      <c r="SAW185" s="1332"/>
      <c r="SAX185" s="1332"/>
      <c r="SAY185" s="1332"/>
      <c r="SAZ185" s="1332"/>
      <c r="SBA185" s="1332"/>
      <c r="SBB185" s="1332"/>
      <c r="SBC185" s="1332"/>
      <c r="SBD185" s="1332"/>
      <c r="SBE185" s="1332"/>
      <c r="SBF185" s="1332"/>
      <c r="SBG185" s="1332"/>
      <c r="SBH185" s="1332"/>
      <c r="SBI185" s="1332"/>
      <c r="SBJ185" s="1332"/>
      <c r="SBK185" s="1332"/>
      <c r="SBL185" s="1332"/>
      <c r="SBM185" s="1332"/>
      <c r="SBN185" s="1332"/>
      <c r="SBO185" s="1332"/>
      <c r="SBP185" s="1332"/>
      <c r="SBQ185" s="1332"/>
      <c r="SBR185" s="1332"/>
      <c r="SBS185" s="1332"/>
      <c r="SBT185" s="1332"/>
      <c r="SBU185" s="1332"/>
      <c r="SBV185" s="1332"/>
      <c r="SBW185" s="1332"/>
      <c r="SBX185" s="1332"/>
      <c r="SBY185" s="1332"/>
      <c r="SBZ185" s="1332"/>
      <c r="SCA185" s="1332"/>
      <c r="SCB185" s="1332"/>
      <c r="SCC185" s="1332"/>
      <c r="SCD185" s="1332"/>
      <c r="SCE185" s="1332"/>
      <c r="SCF185" s="1332"/>
      <c r="SCG185" s="1332"/>
      <c r="SCH185" s="1332"/>
      <c r="SCI185" s="1332"/>
      <c r="SCJ185" s="1332"/>
      <c r="SCK185" s="1332"/>
      <c r="SCL185" s="1332"/>
      <c r="SCM185" s="1332"/>
      <c r="SCN185" s="1332"/>
      <c r="SCO185" s="1332"/>
      <c r="SCP185" s="1332"/>
      <c r="SCQ185" s="1332"/>
      <c r="SCR185" s="1332"/>
      <c r="SCS185" s="1332"/>
      <c r="SCT185" s="1332"/>
      <c r="SCU185" s="1332"/>
      <c r="SCV185" s="1332"/>
      <c r="SCW185" s="1332"/>
      <c r="SCX185" s="1332"/>
      <c r="SCY185" s="1332"/>
      <c r="SCZ185" s="1332"/>
      <c r="SDA185" s="1332"/>
      <c r="SDB185" s="1332"/>
      <c r="SDC185" s="1332"/>
      <c r="SDD185" s="1332"/>
      <c r="SDE185" s="1332"/>
      <c r="SDF185" s="1332"/>
      <c r="SDG185" s="1332"/>
      <c r="SDH185" s="1332"/>
      <c r="SDI185" s="1332"/>
      <c r="SDJ185" s="1332"/>
      <c r="SDK185" s="1332"/>
      <c r="SDL185" s="1332"/>
      <c r="SDM185" s="1332"/>
      <c r="SDN185" s="1332"/>
      <c r="SDO185" s="1332"/>
      <c r="SDP185" s="1332"/>
      <c r="SDQ185" s="1332"/>
      <c r="SDR185" s="1332"/>
      <c r="SDS185" s="1332"/>
      <c r="SDT185" s="1332"/>
      <c r="SDU185" s="1332"/>
      <c r="SDV185" s="1332"/>
      <c r="SDW185" s="1332"/>
      <c r="SDX185" s="1332"/>
      <c r="SDY185" s="1332"/>
      <c r="SDZ185" s="1332"/>
      <c r="SEA185" s="1332"/>
      <c r="SEB185" s="1332"/>
      <c r="SEC185" s="1332"/>
      <c r="SED185" s="1332"/>
      <c r="SEE185" s="1332"/>
      <c r="SEF185" s="1332"/>
      <c r="SEG185" s="1332"/>
      <c r="SEH185" s="1332"/>
      <c r="SEI185" s="1332"/>
      <c r="SEJ185" s="1332"/>
      <c r="SEK185" s="1332"/>
      <c r="SEL185" s="1332"/>
      <c r="SEM185" s="1332"/>
      <c r="SEN185" s="1332"/>
      <c r="SEO185" s="1332"/>
      <c r="SEP185" s="1332"/>
      <c r="SEQ185" s="1332"/>
      <c r="SER185" s="1332"/>
      <c r="SES185" s="1332"/>
      <c r="SET185" s="1332"/>
      <c r="SEU185" s="1332"/>
      <c r="SEV185" s="1332"/>
      <c r="SEW185" s="1332"/>
      <c r="SEX185" s="1332"/>
      <c r="SEY185" s="1332"/>
      <c r="SEZ185" s="1332"/>
      <c r="SFA185" s="1332"/>
      <c r="SFB185" s="1332"/>
      <c r="SFC185" s="1332"/>
      <c r="SFD185" s="1332"/>
      <c r="SFE185" s="1332"/>
      <c r="SFF185" s="1332"/>
      <c r="SFG185" s="1332"/>
      <c r="SFH185" s="1332"/>
      <c r="SFI185" s="1332"/>
      <c r="SFJ185" s="1332"/>
      <c r="SFK185" s="1332"/>
      <c r="SFL185" s="1332"/>
      <c r="SFM185" s="1332"/>
      <c r="SFN185" s="1332"/>
      <c r="SFO185" s="1332"/>
      <c r="SFP185" s="1332"/>
      <c r="SFQ185" s="1332"/>
      <c r="SFR185" s="1332"/>
      <c r="SFS185" s="1332"/>
      <c r="SFT185" s="1332"/>
      <c r="SFU185" s="1332"/>
      <c r="SFV185" s="1332"/>
      <c r="SFW185" s="1332"/>
      <c r="SFX185" s="1332"/>
      <c r="SFY185" s="1332"/>
      <c r="SFZ185" s="1332"/>
      <c r="SGA185" s="1332"/>
      <c r="SGB185" s="1332"/>
      <c r="SGC185" s="1332"/>
      <c r="SGD185" s="1332"/>
      <c r="SGE185" s="1332"/>
      <c r="SGF185" s="1332"/>
      <c r="SGG185" s="1332"/>
      <c r="SGH185" s="1332"/>
      <c r="SGI185" s="1332"/>
      <c r="SGJ185" s="1332"/>
      <c r="SGK185" s="1332"/>
      <c r="SGL185" s="1332"/>
      <c r="SGM185" s="1332"/>
      <c r="SGN185" s="1332"/>
      <c r="SGO185" s="1332"/>
      <c r="SGP185" s="1332"/>
      <c r="SGQ185" s="1332"/>
      <c r="SGR185" s="1332"/>
      <c r="SGS185" s="1332"/>
      <c r="SGT185" s="1332"/>
      <c r="SGU185" s="1332"/>
      <c r="SGV185" s="1332"/>
      <c r="SGW185" s="1332"/>
      <c r="SGX185" s="1332"/>
      <c r="SGY185" s="1332"/>
      <c r="SGZ185" s="1332"/>
      <c r="SHA185" s="1332"/>
      <c r="SHB185" s="1332"/>
      <c r="SHC185" s="1332"/>
      <c r="SHD185" s="1332"/>
      <c r="SHE185" s="1332"/>
      <c r="SHF185" s="1332"/>
      <c r="SHG185" s="1332"/>
      <c r="SHH185" s="1332"/>
      <c r="SHI185" s="1332"/>
      <c r="SHJ185" s="1332"/>
      <c r="SHK185" s="1332"/>
      <c r="SHL185" s="1332"/>
      <c r="SHM185" s="1332"/>
      <c r="SHN185" s="1332"/>
      <c r="SHO185" s="1332"/>
      <c r="SHP185" s="1332"/>
      <c r="SHQ185" s="1332"/>
      <c r="SHR185" s="1332"/>
      <c r="SHS185" s="1332"/>
      <c r="SHT185" s="1332"/>
      <c r="SHU185" s="1332"/>
      <c r="SHV185" s="1332"/>
      <c r="SHW185" s="1332"/>
      <c r="SHX185" s="1332"/>
      <c r="SHY185" s="1332"/>
      <c r="SHZ185" s="1332"/>
      <c r="SIA185" s="1332"/>
      <c r="SIB185" s="1332"/>
      <c r="SIC185" s="1332"/>
      <c r="SID185" s="1332"/>
      <c r="SIE185" s="1332"/>
      <c r="SIF185" s="1332"/>
      <c r="SIG185" s="1332"/>
      <c r="SIH185" s="1332"/>
      <c r="SII185" s="1332"/>
      <c r="SIJ185" s="1332"/>
      <c r="SIK185" s="1332"/>
      <c r="SIL185" s="1332"/>
      <c r="SIM185" s="1332"/>
      <c r="SIN185" s="1332"/>
      <c r="SIO185" s="1332"/>
      <c r="SIP185" s="1332"/>
      <c r="SIQ185" s="1332"/>
      <c r="SIR185" s="1332"/>
      <c r="SIS185" s="1332"/>
      <c r="SIT185" s="1332"/>
      <c r="SIU185" s="1332"/>
      <c r="SIV185" s="1332"/>
      <c r="SIW185" s="1332"/>
      <c r="SIX185" s="1332"/>
      <c r="SIY185" s="1332"/>
      <c r="SIZ185" s="1332"/>
      <c r="SJA185" s="1332"/>
      <c r="SJB185" s="1332"/>
      <c r="SJC185" s="1332"/>
      <c r="SJD185" s="1332"/>
      <c r="SJE185" s="1332"/>
      <c r="SJF185" s="1332"/>
      <c r="SJG185" s="1332"/>
      <c r="SJH185" s="1332"/>
      <c r="SJI185" s="1332"/>
      <c r="SJJ185" s="1332"/>
      <c r="SJK185" s="1332"/>
      <c r="SJL185" s="1332"/>
      <c r="SJM185" s="1332"/>
      <c r="SJN185" s="1332"/>
      <c r="SJO185" s="1332"/>
      <c r="SJP185" s="1332"/>
      <c r="SJQ185" s="1332"/>
      <c r="SJR185" s="1332"/>
      <c r="SJS185" s="1332"/>
      <c r="SJT185" s="1332"/>
      <c r="SJU185" s="1332"/>
      <c r="SJV185" s="1332"/>
      <c r="SJW185" s="1332"/>
      <c r="SJX185" s="1332"/>
      <c r="SJY185" s="1332"/>
      <c r="SJZ185" s="1332"/>
      <c r="SKA185" s="1332"/>
      <c r="SKB185" s="1332"/>
      <c r="SKC185" s="1332"/>
      <c r="SKD185" s="1332"/>
      <c r="SKE185" s="1332"/>
      <c r="SKF185" s="1332"/>
      <c r="SKG185" s="1332"/>
      <c r="SKH185" s="1332"/>
      <c r="SKI185" s="1332"/>
      <c r="SKJ185" s="1332"/>
      <c r="SKK185" s="1332"/>
      <c r="SKL185" s="1332"/>
      <c r="SKM185" s="1332"/>
      <c r="SKN185" s="1332"/>
      <c r="SKO185" s="1332"/>
      <c r="SKP185" s="1332"/>
      <c r="SKQ185" s="1332"/>
      <c r="SKR185" s="1332"/>
      <c r="SKS185" s="1332"/>
      <c r="SKT185" s="1332"/>
      <c r="SKU185" s="1332"/>
      <c r="SKV185" s="1332"/>
      <c r="SKW185" s="1332"/>
      <c r="SKX185" s="1332"/>
      <c r="SKY185" s="1332"/>
      <c r="SKZ185" s="1332"/>
      <c r="SLA185" s="1332"/>
      <c r="SLB185" s="1332"/>
      <c r="SLC185" s="1332"/>
      <c r="SLD185" s="1332"/>
      <c r="SLE185" s="1332"/>
      <c r="SLF185" s="1332"/>
      <c r="SLG185" s="1332"/>
      <c r="SLH185" s="1332"/>
      <c r="SLI185" s="1332"/>
      <c r="SLJ185" s="1332"/>
      <c r="SLK185" s="1332"/>
      <c r="SLL185" s="1332"/>
      <c r="SLM185" s="1332"/>
      <c r="SLN185" s="1332"/>
      <c r="SLO185" s="1332"/>
      <c r="SLP185" s="1332"/>
      <c r="SLQ185" s="1332"/>
      <c r="SLR185" s="1332"/>
      <c r="SLS185" s="1332"/>
      <c r="SLT185" s="1332"/>
      <c r="SLU185" s="1332"/>
      <c r="SLV185" s="1332"/>
      <c r="SLW185" s="1332"/>
      <c r="SLX185" s="1332"/>
      <c r="SLY185" s="1332"/>
      <c r="SLZ185" s="1332"/>
      <c r="SMA185" s="1332"/>
      <c r="SMB185" s="1332"/>
      <c r="SMC185" s="1332"/>
      <c r="SMD185" s="1332"/>
      <c r="SME185" s="1332"/>
      <c r="SMF185" s="1332"/>
      <c r="SMG185" s="1332"/>
      <c r="SMH185" s="1332"/>
      <c r="SMI185" s="1332"/>
      <c r="SMJ185" s="1332"/>
      <c r="SMK185" s="1332"/>
      <c r="SML185" s="1332"/>
      <c r="SMM185" s="1332"/>
      <c r="SMN185" s="1332"/>
      <c r="SMO185" s="1332"/>
      <c r="SMP185" s="1332"/>
      <c r="SMQ185" s="1332"/>
      <c r="SMR185" s="1332"/>
      <c r="SMS185" s="1332"/>
      <c r="SMT185" s="1332"/>
      <c r="SMU185" s="1332"/>
      <c r="SMV185" s="1332"/>
      <c r="SMW185" s="1332"/>
      <c r="SMX185" s="1332"/>
      <c r="SMY185" s="1332"/>
      <c r="SMZ185" s="1332"/>
      <c r="SNA185" s="1332"/>
      <c r="SNB185" s="1332"/>
      <c r="SNC185" s="1332"/>
      <c r="SND185" s="1332"/>
      <c r="SNE185" s="1332"/>
      <c r="SNF185" s="1332"/>
      <c r="SNG185" s="1332"/>
      <c r="SNH185" s="1332"/>
      <c r="SNI185" s="1332"/>
      <c r="SNJ185" s="1332"/>
      <c r="SNK185" s="1332"/>
      <c r="SNL185" s="1332"/>
      <c r="SNM185" s="1332"/>
      <c r="SNN185" s="1332"/>
      <c r="SNO185" s="1332"/>
      <c r="SNP185" s="1332"/>
      <c r="SNQ185" s="1332"/>
      <c r="SNR185" s="1332"/>
      <c r="SNS185" s="1332"/>
      <c r="SNT185" s="1332"/>
      <c r="SNU185" s="1332"/>
      <c r="SNV185" s="1332"/>
      <c r="SNW185" s="1332"/>
      <c r="SNX185" s="1332"/>
      <c r="SNY185" s="1332"/>
      <c r="SNZ185" s="1332"/>
      <c r="SOA185" s="1332"/>
      <c r="SOB185" s="1332"/>
      <c r="SOC185" s="1332"/>
      <c r="SOD185" s="1332"/>
      <c r="SOE185" s="1332"/>
      <c r="SOF185" s="1332"/>
      <c r="SOG185" s="1332"/>
      <c r="SOH185" s="1332"/>
      <c r="SOI185" s="1332"/>
      <c r="SOJ185" s="1332"/>
      <c r="SOK185" s="1332"/>
      <c r="SOL185" s="1332"/>
      <c r="SOM185" s="1332"/>
      <c r="SON185" s="1332"/>
      <c r="SOO185" s="1332"/>
      <c r="SOP185" s="1332"/>
      <c r="SOQ185" s="1332"/>
      <c r="SOR185" s="1332"/>
      <c r="SOS185" s="1332"/>
      <c r="SOT185" s="1332"/>
      <c r="SOU185" s="1332"/>
      <c r="SOV185" s="1332"/>
      <c r="SOW185" s="1332"/>
      <c r="SOX185" s="1332"/>
      <c r="SOY185" s="1332"/>
      <c r="SOZ185" s="1332"/>
      <c r="SPA185" s="1332"/>
      <c r="SPB185" s="1332"/>
      <c r="SPC185" s="1332"/>
      <c r="SPD185" s="1332"/>
      <c r="SPE185" s="1332"/>
      <c r="SPF185" s="1332"/>
      <c r="SPG185" s="1332"/>
      <c r="SPH185" s="1332"/>
      <c r="SPI185" s="1332"/>
      <c r="SPJ185" s="1332"/>
      <c r="SPK185" s="1332"/>
      <c r="SPL185" s="1332"/>
      <c r="SPM185" s="1332"/>
      <c r="SPN185" s="1332"/>
      <c r="SPO185" s="1332"/>
      <c r="SPP185" s="1332"/>
      <c r="SPQ185" s="1332"/>
      <c r="SPR185" s="1332"/>
      <c r="SPS185" s="1332"/>
      <c r="SPT185" s="1332"/>
      <c r="SPU185" s="1332"/>
      <c r="SPV185" s="1332"/>
      <c r="SPW185" s="1332"/>
      <c r="SPX185" s="1332"/>
      <c r="SPY185" s="1332"/>
      <c r="SPZ185" s="1332"/>
      <c r="SQA185" s="1332"/>
      <c r="SQB185" s="1332"/>
      <c r="SQC185" s="1332"/>
      <c r="SQD185" s="1332"/>
      <c r="SQE185" s="1332"/>
      <c r="SQF185" s="1332"/>
      <c r="SQG185" s="1332"/>
      <c r="SQH185" s="1332"/>
      <c r="SQI185" s="1332"/>
      <c r="SQJ185" s="1332"/>
      <c r="SQK185" s="1332"/>
      <c r="SQL185" s="1332"/>
      <c r="SQM185" s="1332"/>
      <c r="SQN185" s="1332"/>
      <c r="SQO185" s="1332"/>
      <c r="SQP185" s="1332"/>
      <c r="SQQ185" s="1332"/>
      <c r="SQR185" s="1332"/>
      <c r="SQS185" s="1332"/>
      <c r="SQT185" s="1332"/>
      <c r="SQU185" s="1332"/>
      <c r="SQV185" s="1332"/>
      <c r="SQW185" s="1332"/>
      <c r="SQX185" s="1332"/>
      <c r="SQY185" s="1332"/>
      <c r="SQZ185" s="1332"/>
      <c r="SRA185" s="1332"/>
      <c r="SRB185" s="1332"/>
      <c r="SRC185" s="1332"/>
      <c r="SRD185" s="1332"/>
      <c r="SRE185" s="1332"/>
      <c r="SRF185" s="1332"/>
      <c r="SRG185" s="1332"/>
      <c r="SRH185" s="1332"/>
      <c r="SRI185" s="1332"/>
      <c r="SRJ185" s="1332"/>
      <c r="SRK185" s="1332"/>
      <c r="SRL185" s="1332"/>
      <c r="SRM185" s="1332"/>
      <c r="SRN185" s="1332"/>
      <c r="SRO185" s="1332"/>
      <c r="SRP185" s="1332"/>
      <c r="SRQ185" s="1332"/>
      <c r="SRR185" s="1332"/>
      <c r="SRS185" s="1332"/>
      <c r="SRT185" s="1332"/>
      <c r="SRU185" s="1332"/>
      <c r="SRV185" s="1332"/>
      <c r="SRW185" s="1332"/>
      <c r="SRX185" s="1332"/>
      <c r="SRY185" s="1332"/>
      <c r="SRZ185" s="1332"/>
      <c r="SSA185" s="1332"/>
      <c r="SSB185" s="1332"/>
      <c r="SSC185" s="1332"/>
      <c r="SSD185" s="1332"/>
      <c r="SSE185" s="1332"/>
      <c r="SSF185" s="1332"/>
      <c r="SSG185" s="1332"/>
      <c r="SSH185" s="1332"/>
      <c r="SSI185" s="1332"/>
      <c r="SSJ185" s="1332"/>
      <c r="SSK185" s="1332"/>
      <c r="SSL185" s="1332"/>
      <c r="SSM185" s="1332"/>
      <c r="SSN185" s="1332"/>
      <c r="SSO185" s="1332"/>
      <c r="SSP185" s="1332"/>
      <c r="SSQ185" s="1332"/>
      <c r="SSR185" s="1332"/>
      <c r="SSS185" s="1332"/>
      <c r="SST185" s="1332"/>
      <c r="SSU185" s="1332"/>
      <c r="SSV185" s="1332"/>
      <c r="SSW185" s="1332"/>
      <c r="SSX185" s="1332"/>
      <c r="SSY185" s="1332"/>
      <c r="SSZ185" s="1332"/>
      <c r="STA185" s="1332"/>
      <c r="STB185" s="1332"/>
      <c r="STC185" s="1332"/>
      <c r="STD185" s="1332"/>
      <c r="STE185" s="1332"/>
      <c r="STF185" s="1332"/>
      <c r="STG185" s="1332"/>
      <c r="STH185" s="1332"/>
      <c r="STI185" s="1332"/>
      <c r="STJ185" s="1332"/>
      <c r="STK185" s="1332"/>
      <c r="STL185" s="1332"/>
      <c r="STM185" s="1332"/>
      <c r="STN185" s="1332"/>
      <c r="STO185" s="1332"/>
      <c r="STP185" s="1332"/>
      <c r="STQ185" s="1332"/>
      <c r="STR185" s="1332"/>
      <c r="STS185" s="1332"/>
      <c r="STT185" s="1332"/>
      <c r="STU185" s="1332"/>
      <c r="STV185" s="1332"/>
      <c r="STW185" s="1332"/>
      <c r="STX185" s="1332"/>
      <c r="STY185" s="1332"/>
      <c r="STZ185" s="1332"/>
      <c r="SUA185" s="1332"/>
      <c r="SUB185" s="1332"/>
      <c r="SUC185" s="1332"/>
      <c r="SUD185" s="1332"/>
      <c r="SUE185" s="1332"/>
      <c r="SUF185" s="1332"/>
      <c r="SUG185" s="1332"/>
      <c r="SUH185" s="1332"/>
      <c r="SUI185" s="1332"/>
      <c r="SUJ185" s="1332"/>
      <c r="SUK185" s="1332"/>
      <c r="SUL185" s="1332"/>
      <c r="SUM185" s="1332"/>
      <c r="SUN185" s="1332"/>
      <c r="SUO185" s="1332"/>
      <c r="SUP185" s="1332"/>
      <c r="SUQ185" s="1332"/>
      <c r="SUR185" s="1332"/>
      <c r="SUS185" s="1332"/>
      <c r="SUT185" s="1332"/>
      <c r="SUU185" s="1332"/>
      <c r="SUV185" s="1332"/>
      <c r="SUW185" s="1332"/>
      <c r="SUX185" s="1332"/>
      <c r="SUY185" s="1332"/>
      <c r="SUZ185" s="1332"/>
      <c r="SVA185" s="1332"/>
      <c r="SVB185" s="1332"/>
      <c r="SVC185" s="1332"/>
      <c r="SVD185" s="1332"/>
      <c r="SVE185" s="1332"/>
      <c r="SVF185" s="1332"/>
      <c r="SVG185" s="1332"/>
      <c r="SVH185" s="1332"/>
      <c r="SVI185" s="1332"/>
      <c r="SVJ185" s="1332"/>
      <c r="SVK185" s="1332"/>
      <c r="SVL185" s="1332"/>
      <c r="SVM185" s="1332"/>
      <c r="SVN185" s="1332"/>
      <c r="SVO185" s="1332"/>
      <c r="SVP185" s="1332"/>
      <c r="SVQ185" s="1332"/>
      <c r="SVR185" s="1332"/>
      <c r="SVS185" s="1332"/>
      <c r="SVT185" s="1332"/>
      <c r="SVU185" s="1332"/>
      <c r="SVV185" s="1332"/>
      <c r="SVW185" s="1332"/>
      <c r="SVX185" s="1332"/>
      <c r="SVY185" s="1332"/>
      <c r="SVZ185" s="1332"/>
      <c r="SWA185" s="1332"/>
      <c r="SWB185" s="1332"/>
      <c r="SWC185" s="1332"/>
      <c r="SWD185" s="1332"/>
      <c r="SWE185" s="1332"/>
      <c r="SWF185" s="1332"/>
      <c r="SWG185" s="1332"/>
      <c r="SWH185" s="1332"/>
      <c r="SWI185" s="1332"/>
      <c r="SWJ185" s="1332"/>
      <c r="SWK185" s="1332"/>
      <c r="SWL185" s="1332"/>
      <c r="SWM185" s="1332"/>
      <c r="SWN185" s="1332"/>
      <c r="SWO185" s="1332"/>
      <c r="SWP185" s="1332"/>
      <c r="SWQ185" s="1332"/>
      <c r="SWR185" s="1332"/>
      <c r="SWS185" s="1332"/>
      <c r="SWT185" s="1332"/>
      <c r="SWU185" s="1332"/>
      <c r="SWV185" s="1332"/>
      <c r="SWW185" s="1332"/>
      <c r="SWX185" s="1332"/>
      <c r="SWY185" s="1332"/>
      <c r="SWZ185" s="1332"/>
      <c r="SXA185" s="1332"/>
      <c r="SXB185" s="1332"/>
      <c r="SXC185" s="1332"/>
      <c r="SXD185" s="1332"/>
      <c r="SXE185" s="1332"/>
      <c r="SXF185" s="1332"/>
      <c r="SXG185" s="1332"/>
      <c r="SXH185" s="1332"/>
      <c r="SXI185" s="1332"/>
      <c r="SXJ185" s="1332"/>
      <c r="SXK185" s="1332"/>
      <c r="SXL185" s="1332"/>
      <c r="SXM185" s="1332"/>
      <c r="SXN185" s="1332"/>
      <c r="SXO185" s="1332"/>
      <c r="SXP185" s="1332"/>
      <c r="SXQ185" s="1332"/>
      <c r="SXR185" s="1332"/>
      <c r="SXS185" s="1332"/>
      <c r="SXT185" s="1332"/>
      <c r="SXU185" s="1332"/>
      <c r="SXV185" s="1332"/>
      <c r="SXW185" s="1332"/>
      <c r="SXX185" s="1332"/>
      <c r="SXY185" s="1332"/>
      <c r="SXZ185" s="1332"/>
      <c r="SYA185" s="1332"/>
      <c r="SYB185" s="1332"/>
      <c r="SYC185" s="1332"/>
      <c r="SYD185" s="1332"/>
      <c r="SYE185" s="1332"/>
      <c r="SYF185" s="1332"/>
      <c r="SYG185" s="1332"/>
      <c r="SYH185" s="1332"/>
      <c r="SYI185" s="1332"/>
      <c r="SYJ185" s="1332"/>
      <c r="SYK185" s="1332"/>
      <c r="SYL185" s="1332"/>
      <c r="SYM185" s="1332"/>
      <c r="SYN185" s="1332"/>
      <c r="SYO185" s="1332"/>
      <c r="SYP185" s="1332"/>
      <c r="SYQ185" s="1332"/>
      <c r="SYR185" s="1332"/>
      <c r="SYS185" s="1332"/>
      <c r="SYT185" s="1332"/>
      <c r="SYU185" s="1332"/>
      <c r="SYV185" s="1332"/>
      <c r="SYW185" s="1332"/>
      <c r="SYX185" s="1332"/>
      <c r="SYY185" s="1332"/>
      <c r="SYZ185" s="1332"/>
      <c r="SZA185" s="1332"/>
      <c r="SZB185" s="1332"/>
      <c r="SZC185" s="1332"/>
      <c r="SZD185" s="1332"/>
      <c r="SZE185" s="1332"/>
      <c r="SZF185" s="1332"/>
      <c r="SZG185" s="1332"/>
      <c r="SZH185" s="1332"/>
      <c r="SZI185" s="1332"/>
      <c r="SZJ185" s="1332"/>
      <c r="SZK185" s="1332"/>
      <c r="SZL185" s="1332"/>
      <c r="SZM185" s="1332"/>
      <c r="SZN185" s="1332"/>
      <c r="SZO185" s="1332"/>
      <c r="SZP185" s="1332"/>
      <c r="SZQ185" s="1332"/>
      <c r="SZR185" s="1332"/>
      <c r="SZS185" s="1332"/>
      <c r="SZT185" s="1332"/>
      <c r="SZU185" s="1332"/>
      <c r="SZV185" s="1332"/>
      <c r="SZW185" s="1332"/>
      <c r="SZX185" s="1332"/>
      <c r="SZY185" s="1332"/>
      <c r="SZZ185" s="1332"/>
      <c r="TAA185" s="1332"/>
      <c r="TAB185" s="1332"/>
      <c r="TAC185" s="1332"/>
      <c r="TAD185" s="1332"/>
      <c r="TAE185" s="1332"/>
      <c r="TAF185" s="1332"/>
      <c r="TAG185" s="1332"/>
      <c r="TAH185" s="1332"/>
      <c r="TAI185" s="1332"/>
      <c r="TAJ185" s="1332"/>
      <c r="TAK185" s="1332"/>
      <c r="TAL185" s="1332"/>
      <c r="TAM185" s="1332"/>
      <c r="TAN185" s="1332"/>
      <c r="TAO185" s="1332"/>
      <c r="TAP185" s="1332"/>
      <c r="TAQ185" s="1332"/>
      <c r="TAR185" s="1332"/>
      <c r="TAS185" s="1332"/>
      <c r="TAT185" s="1332"/>
      <c r="TAU185" s="1332"/>
      <c r="TAV185" s="1332"/>
      <c r="TAW185" s="1332"/>
      <c r="TAX185" s="1332"/>
      <c r="TAY185" s="1332"/>
      <c r="TAZ185" s="1332"/>
      <c r="TBA185" s="1332"/>
      <c r="TBB185" s="1332"/>
      <c r="TBC185" s="1332"/>
      <c r="TBD185" s="1332"/>
      <c r="TBE185" s="1332"/>
      <c r="TBF185" s="1332"/>
      <c r="TBG185" s="1332"/>
      <c r="TBH185" s="1332"/>
      <c r="TBI185" s="1332"/>
      <c r="TBJ185" s="1332"/>
      <c r="TBK185" s="1332"/>
      <c r="TBL185" s="1332"/>
      <c r="TBM185" s="1332"/>
      <c r="TBN185" s="1332"/>
      <c r="TBO185" s="1332"/>
      <c r="TBP185" s="1332"/>
      <c r="TBQ185" s="1332"/>
      <c r="TBR185" s="1332"/>
      <c r="TBS185" s="1332"/>
      <c r="TBT185" s="1332"/>
      <c r="TBU185" s="1332"/>
      <c r="TBV185" s="1332"/>
      <c r="TBW185" s="1332"/>
      <c r="TBX185" s="1332"/>
      <c r="TBY185" s="1332"/>
      <c r="TBZ185" s="1332"/>
      <c r="TCA185" s="1332"/>
      <c r="TCB185" s="1332"/>
      <c r="TCC185" s="1332"/>
      <c r="TCD185" s="1332"/>
      <c r="TCE185" s="1332"/>
      <c r="TCF185" s="1332"/>
      <c r="TCG185" s="1332"/>
      <c r="TCH185" s="1332"/>
      <c r="TCI185" s="1332"/>
      <c r="TCJ185" s="1332"/>
      <c r="TCK185" s="1332"/>
      <c r="TCL185" s="1332"/>
      <c r="TCM185" s="1332"/>
      <c r="TCN185" s="1332"/>
      <c r="TCO185" s="1332"/>
      <c r="TCP185" s="1332"/>
      <c r="TCQ185" s="1332"/>
      <c r="TCR185" s="1332"/>
      <c r="TCS185" s="1332"/>
      <c r="TCT185" s="1332"/>
      <c r="TCU185" s="1332"/>
      <c r="TCV185" s="1332"/>
      <c r="TCW185" s="1332"/>
      <c r="TCX185" s="1332"/>
      <c r="TCY185" s="1332"/>
      <c r="TCZ185" s="1332"/>
      <c r="TDA185" s="1332"/>
      <c r="TDB185" s="1332"/>
      <c r="TDC185" s="1332"/>
      <c r="TDD185" s="1332"/>
      <c r="TDE185" s="1332"/>
      <c r="TDF185" s="1332"/>
      <c r="TDG185" s="1332"/>
      <c r="TDH185" s="1332"/>
      <c r="TDI185" s="1332"/>
      <c r="TDJ185" s="1332"/>
      <c r="TDK185" s="1332"/>
      <c r="TDL185" s="1332"/>
      <c r="TDM185" s="1332"/>
      <c r="TDN185" s="1332"/>
      <c r="TDO185" s="1332"/>
      <c r="TDP185" s="1332"/>
      <c r="TDQ185" s="1332"/>
      <c r="TDR185" s="1332"/>
      <c r="TDS185" s="1332"/>
      <c r="TDT185" s="1332"/>
      <c r="TDU185" s="1332"/>
      <c r="TDV185" s="1332"/>
      <c r="TDW185" s="1332"/>
      <c r="TDX185" s="1332"/>
      <c r="TDY185" s="1332"/>
      <c r="TDZ185" s="1332"/>
      <c r="TEA185" s="1332"/>
      <c r="TEB185" s="1332"/>
      <c r="TEC185" s="1332"/>
      <c r="TED185" s="1332"/>
      <c r="TEE185" s="1332"/>
      <c r="TEF185" s="1332"/>
      <c r="TEG185" s="1332"/>
      <c r="TEH185" s="1332"/>
      <c r="TEI185" s="1332"/>
      <c r="TEJ185" s="1332"/>
      <c r="TEK185" s="1332"/>
      <c r="TEL185" s="1332"/>
      <c r="TEM185" s="1332"/>
      <c r="TEN185" s="1332"/>
      <c r="TEO185" s="1332"/>
      <c r="TEP185" s="1332"/>
      <c r="TEQ185" s="1332"/>
      <c r="TER185" s="1332"/>
      <c r="TES185" s="1332"/>
      <c r="TET185" s="1332"/>
      <c r="TEU185" s="1332"/>
      <c r="TEV185" s="1332"/>
      <c r="TEW185" s="1332"/>
      <c r="TEX185" s="1332"/>
      <c r="TEY185" s="1332"/>
      <c r="TEZ185" s="1332"/>
      <c r="TFA185" s="1332"/>
      <c r="TFB185" s="1332"/>
      <c r="TFC185" s="1332"/>
      <c r="TFD185" s="1332"/>
      <c r="TFE185" s="1332"/>
      <c r="TFF185" s="1332"/>
      <c r="TFG185" s="1332"/>
      <c r="TFH185" s="1332"/>
      <c r="TFI185" s="1332"/>
      <c r="TFJ185" s="1332"/>
      <c r="TFK185" s="1332"/>
      <c r="TFL185" s="1332"/>
      <c r="TFM185" s="1332"/>
      <c r="TFN185" s="1332"/>
      <c r="TFO185" s="1332"/>
      <c r="TFP185" s="1332"/>
      <c r="TFQ185" s="1332"/>
      <c r="TFR185" s="1332"/>
      <c r="TFS185" s="1332"/>
      <c r="TFT185" s="1332"/>
      <c r="TFU185" s="1332"/>
      <c r="TFV185" s="1332"/>
      <c r="TFW185" s="1332"/>
      <c r="TFX185" s="1332"/>
      <c r="TFY185" s="1332"/>
      <c r="TFZ185" s="1332"/>
      <c r="TGA185" s="1332"/>
      <c r="TGB185" s="1332"/>
      <c r="TGC185" s="1332"/>
      <c r="TGD185" s="1332"/>
      <c r="TGE185" s="1332"/>
      <c r="TGF185" s="1332"/>
      <c r="TGG185" s="1332"/>
      <c r="TGH185" s="1332"/>
      <c r="TGI185" s="1332"/>
      <c r="TGJ185" s="1332"/>
      <c r="TGK185" s="1332"/>
      <c r="TGL185" s="1332"/>
      <c r="TGM185" s="1332"/>
      <c r="TGN185" s="1332"/>
      <c r="TGO185" s="1332"/>
      <c r="TGP185" s="1332"/>
      <c r="TGQ185" s="1332"/>
      <c r="TGR185" s="1332"/>
      <c r="TGS185" s="1332"/>
      <c r="TGT185" s="1332"/>
      <c r="TGU185" s="1332"/>
      <c r="TGV185" s="1332"/>
      <c r="TGW185" s="1332"/>
      <c r="TGX185" s="1332"/>
      <c r="TGY185" s="1332"/>
      <c r="TGZ185" s="1332"/>
      <c r="THA185" s="1332"/>
      <c r="THB185" s="1332"/>
      <c r="THC185" s="1332"/>
      <c r="THD185" s="1332"/>
      <c r="THE185" s="1332"/>
      <c r="THF185" s="1332"/>
      <c r="THG185" s="1332"/>
      <c r="THH185" s="1332"/>
      <c r="THI185" s="1332"/>
      <c r="THJ185" s="1332"/>
      <c r="THK185" s="1332"/>
      <c r="THL185" s="1332"/>
      <c r="THM185" s="1332"/>
      <c r="THN185" s="1332"/>
      <c r="THO185" s="1332"/>
      <c r="THP185" s="1332"/>
      <c r="THQ185" s="1332"/>
      <c r="THR185" s="1332"/>
      <c r="THS185" s="1332"/>
      <c r="THT185" s="1332"/>
      <c r="THU185" s="1332"/>
      <c r="THV185" s="1332"/>
      <c r="THW185" s="1332"/>
      <c r="THX185" s="1332"/>
      <c r="THY185" s="1332"/>
      <c r="THZ185" s="1332"/>
      <c r="TIA185" s="1332"/>
      <c r="TIB185" s="1332"/>
      <c r="TIC185" s="1332"/>
      <c r="TID185" s="1332"/>
      <c r="TIE185" s="1332"/>
      <c r="TIF185" s="1332"/>
      <c r="TIG185" s="1332"/>
      <c r="TIH185" s="1332"/>
      <c r="TII185" s="1332"/>
      <c r="TIJ185" s="1332"/>
      <c r="TIK185" s="1332"/>
      <c r="TIL185" s="1332"/>
      <c r="TIM185" s="1332"/>
      <c r="TIN185" s="1332"/>
      <c r="TIO185" s="1332"/>
      <c r="TIP185" s="1332"/>
      <c r="TIQ185" s="1332"/>
      <c r="TIR185" s="1332"/>
      <c r="TIS185" s="1332"/>
      <c r="TIT185" s="1332"/>
      <c r="TIU185" s="1332"/>
      <c r="TIV185" s="1332"/>
      <c r="TIW185" s="1332"/>
      <c r="TIX185" s="1332"/>
      <c r="TIY185" s="1332"/>
      <c r="TIZ185" s="1332"/>
      <c r="TJA185" s="1332"/>
      <c r="TJB185" s="1332"/>
      <c r="TJC185" s="1332"/>
      <c r="TJD185" s="1332"/>
      <c r="TJE185" s="1332"/>
      <c r="TJF185" s="1332"/>
      <c r="TJG185" s="1332"/>
      <c r="TJH185" s="1332"/>
      <c r="TJI185" s="1332"/>
      <c r="TJJ185" s="1332"/>
      <c r="TJK185" s="1332"/>
      <c r="TJL185" s="1332"/>
      <c r="TJM185" s="1332"/>
      <c r="TJN185" s="1332"/>
      <c r="TJO185" s="1332"/>
      <c r="TJP185" s="1332"/>
      <c r="TJQ185" s="1332"/>
      <c r="TJR185" s="1332"/>
      <c r="TJS185" s="1332"/>
      <c r="TJT185" s="1332"/>
      <c r="TJU185" s="1332"/>
      <c r="TJV185" s="1332"/>
      <c r="TJW185" s="1332"/>
      <c r="TJX185" s="1332"/>
      <c r="TJY185" s="1332"/>
      <c r="TJZ185" s="1332"/>
      <c r="TKA185" s="1332"/>
      <c r="TKB185" s="1332"/>
      <c r="TKC185" s="1332"/>
      <c r="TKD185" s="1332"/>
      <c r="TKE185" s="1332"/>
      <c r="TKF185" s="1332"/>
      <c r="TKG185" s="1332"/>
      <c r="TKH185" s="1332"/>
      <c r="TKI185" s="1332"/>
      <c r="TKJ185" s="1332"/>
      <c r="TKK185" s="1332"/>
      <c r="TKL185" s="1332"/>
      <c r="TKM185" s="1332"/>
      <c r="TKN185" s="1332"/>
      <c r="TKO185" s="1332"/>
      <c r="TKP185" s="1332"/>
      <c r="TKQ185" s="1332"/>
      <c r="TKR185" s="1332"/>
      <c r="TKS185" s="1332"/>
      <c r="TKT185" s="1332"/>
      <c r="TKU185" s="1332"/>
      <c r="TKV185" s="1332"/>
      <c r="TKW185" s="1332"/>
      <c r="TKX185" s="1332"/>
      <c r="TKY185" s="1332"/>
      <c r="TKZ185" s="1332"/>
      <c r="TLA185" s="1332"/>
      <c r="TLB185" s="1332"/>
      <c r="TLC185" s="1332"/>
      <c r="TLD185" s="1332"/>
      <c r="TLE185" s="1332"/>
      <c r="TLF185" s="1332"/>
      <c r="TLG185" s="1332"/>
      <c r="TLH185" s="1332"/>
      <c r="TLI185" s="1332"/>
      <c r="TLJ185" s="1332"/>
      <c r="TLK185" s="1332"/>
      <c r="TLL185" s="1332"/>
      <c r="TLM185" s="1332"/>
      <c r="TLN185" s="1332"/>
      <c r="TLO185" s="1332"/>
      <c r="TLP185" s="1332"/>
      <c r="TLQ185" s="1332"/>
      <c r="TLR185" s="1332"/>
      <c r="TLS185" s="1332"/>
      <c r="TLT185" s="1332"/>
      <c r="TLU185" s="1332"/>
      <c r="TLV185" s="1332"/>
      <c r="TLW185" s="1332"/>
      <c r="TLX185" s="1332"/>
      <c r="TLY185" s="1332"/>
      <c r="TLZ185" s="1332"/>
      <c r="TMA185" s="1332"/>
      <c r="TMB185" s="1332"/>
      <c r="TMC185" s="1332"/>
      <c r="TMD185" s="1332"/>
      <c r="TME185" s="1332"/>
      <c r="TMF185" s="1332"/>
      <c r="TMG185" s="1332"/>
      <c r="TMH185" s="1332"/>
      <c r="TMI185" s="1332"/>
      <c r="TMJ185" s="1332"/>
      <c r="TMK185" s="1332"/>
      <c r="TML185" s="1332"/>
      <c r="TMM185" s="1332"/>
      <c r="TMN185" s="1332"/>
      <c r="TMO185" s="1332"/>
      <c r="TMP185" s="1332"/>
      <c r="TMQ185" s="1332"/>
      <c r="TMR185" s="1332"/>
      <c r="TMS185" s="1332"/>
      <c r="TMT185" s="1332"/>
      <c r="TMU185" s="1332"/>
      <c r="TMV185" s="1332"/>
      <c r="TMW185" s="1332"/>
      <c r="TMX185" s="1332"/>
      <c r="TMY185" s="1332"/>
      <c r="TMZ185" s="1332"/>
      <c r="TNA185" s="1332"/>
      <c r="TNB185" s="1332"/>
      <c r="TNC185" s="1332"/>
      <c r="TND185" s="1332"/>
      <c r="TNE185" s="1332"/>
      <c r="TNF185" s="1332"/>
      <c r="TNG185" s="1332"/>
      <c r="TNH185" s="1332"/>
      <c r="TNI185" s="1332"/>
      <c r="TNJ185" s="1332"/>
      <c r="TNK185" s="1332"/>
      <c r="TNL185" s="1332"/>
      <c r="TNM185" s="1332"/>
      <c r="TNN185" s="1332"/>
      <c r="TNO185" s="1332"/>
      <c r="TNP185" s="1332"/>
      <c r="TNQ185" s="1332"/>
      <c r="TNR185" s="1332"/>
      <c r="TNS185" s="1332"/>
      <c r="TNT185" s="1332"/>
      <c r="TNU185" s="1332"/>
      <c r="TNV185" s="1332"/>
      <c r="TNW185" s="1332"/>
      <c r="TNX185" s="1332"/>
      <c r="TNY185" s="1332"/>
      <c r="TNZ185" s="1332"/>
      <c r="TOA185" s="1332"/>
      <c r="TOB185" s="1332"/>
      <c r="TOC185" s="1332"/>
      <c r="TOD185" s="1332"/>
      <c r="TOE185" s="1332"/>
      <c r="TOF185" s="1332"/>
      <c r="TOG185" s="1332"/>
      <c r="TOH185" s="1332"/>
      <c r="TOI185" s="1332"/>
      <c r="TOJ185" s="1332"/>
      <c r="TOK185" s="1332"/>
      <c r="TOL185" s="1332"/>
      <c r="TOM185" s="1332"/>
      <c r="TON185" s="1332"/>
      <c r="TOO185" s="1332"/>
      <c r="TOP185" s="1332"/>
      <c r="TOQ185" s="1332"/>
      <c r="TOR185" s="1332"/>
      <c r="TOS185" s="1332"/>
      <c r="TOT185" s="1332"/>
      <c r="TOU185" s="1332"/>
      <c r="TOV185" s="1332"/>
      <c r="TOW185" s="1332"/>
      <c r="TOX185" s="1332"/>
      <c r="TOY185" s="1332"/>
      <c r="TOZ185" s="1332"/>
      <c r="TPA185" s="1332"/>
      <c r="TPB185" s="1332"/>
      <c r="TPC185" s="1332"/>
      <c r="TPD185" s="1332"/>
      <c r="TPE185" s="1332"/>
      <c r="TPF185" s="1332"/>
      <c r="TPG185" s="1332"/>
      <c r="TPH185" s="1332"/>
      <c r="TPI185" s="1332"/>
      <c r="TPJ185" s="1332"/>
      <c r="TPK185" s="1332"/>
      <c r="TPL185" s="1332"/>
      <c r="TPM185" s="1332"/>
      <c r="TPN185" s="1332"/>
      <c r="TPO185" s="1332"/>
      <c r="TPP185" s="1332"/>
      <c r="TPQ185" s="1332"/>
      <c r="TPR185" s="1332"/>
      <c r="TPS185" s="1332"/>
      <c r="TPT185" s="1332"/>
      <c r="TPU185" s="1332"/>
      <c r="TPV185" s="1332"/>
      <c r="TPW185" s="1332"/>
      <c r="TPX185" s="1332"/>
      <c r="TPY185" s="1332"/>
      <c r="TPZ185" s="1332"/>
      <c r="TQA185" s="1332"/>
      <c r="TQB185" s="1332"/>
      <c r="TQC185" s="1332"/>
      <c r="TQD185" s="1332"/>
      <c r="TQE185" s="1332"/>
      <c r="TQF185" s="1332"/>
      <c r="TQG185" s="1332"/>
      <c r="TQH185" s="1332"/>
      <c r="TQI185" s="1332"/>
      <c r="TQJ185" s="1332"/>
      <c r="TQK185" s="1332"/>
      <c r="TQL185" s="1332"/>
      <c r="TQM185" s="1332"/>
      <c r="TQN185" s="1332"/>
      <c r="TQO185" s="1332"/>
      <c r="TQP185" s="1332"/>
      <c r="TQQ185" s="1332"/>
      <c r="TQR185" s="1332"/>
      <c r="TQS185" s="1332"/>
      <c r="TQT185" s="1332"/>
      <c r="TQU185" s="1332"/>
      <c r="TQV185" s="1332"/>
      <c r="TQW185" s="1332"/>
      <c r="TQX185" s="1332"/>
      <c r="TQY185" s="1332"/>
      <c r="TQZ185" s="1332"/>
      <c r="TRA185" s="1332"/>
      <c r="TRB185" s="1332"/>
      <c r="TRC185" s="1332"/>
      <c r="TRD185" s="1332"/>
      <c r="TRE185" s="1332"/>
      <c r="TRF185" s="1332"/>
      <c r="TRG185" s="1332"/>
      <c r="TRH185" s="1332"/>
      <c r="TRI185" s="1332"/>
      <c r="TRJ185" s="1332"/>
      <c r="TRK185" s="1332"/>
      <c r="TRL185" s="1332"/>
      <c r="TRM185" s="1332"/>
      <c r="TRN185" s="1332"/>
      <c r="TRO185" s="1332"/>
      <c r="TRP185" s="1332"/>
      <c r="TRQ185" s="1332"/>
      <c r="TRR185" s="1332"/>
      <c r="TRS185" s="1332"/>
      <c r="TRT185" s="1332"/>
      <c r="TRU185" s="1332"/>
      <c r="TRV185" s="1332"/>
      <c r="TRW185" s="1332"/>
      <c r="TRX185" s="1332"/>
      <c r="TRY185" s="1332"/>
      <c r="TRZ185" s="1332"/>
      <c r="TSA185" s="1332"/>
      <c r="TSB185" s="1332"/>
      <c r="TSC185" s="1332"/>
      <c r="TSD185" s="1332"/>
      <c r="TSE185" s="1332"/>
      <c r="TSF185" s="1332"/>
      <c r="TSG185" s="1332"/>
      <c r="TSH185" s="1332"/>
      <c r="TSI185" s="1332"/>
      <c r="TSJ185" s="1332"/>
      <c r="TSK185" s="1332"/>
      <c r="TSL185" s="1332"/>
      <c r="TSM185" s="1332"/>
      <c r="TSN185" s="1332"/>
      <c r="TSO185" s="1332"/>
      <c r="TSP185" s="1332"/>
      <c r="TSQ185" s="1332"/>
      <c r="TSR185" s="1332"/>
      <c r="TSS185" s="1332"/>
      <c r="TST185" s="1332"/>
      <c r="TSU185" s="1332"/>
      <c r="TSV185" s="1332"/>
      <c r="TSW185" s="1332"/>
      <c r="TSX185" s="1332"/>
      <c r="TSY185" s="1332"/>
      <c r="TSZ185" s="1332"/>
      <c r="TTA185" s="1332"/>
      <c r="TTB185" s="1332"/>
      <c r="TTC185" s="1332"/>
      <c r="TTD185" s="1332"/>
      <c r="TTE185" s="1332"/>
      <c r="TTF185" s="1332"/>
      <c r="TTG185" s="1332"/>
      <c r="TTH185" s="1332"/>
      <c r="TTI185" s="1332"/>
      <c r="TTJ185" s="1332"/>
      <c r="TTK185" s="1332"/>
      <c r="TTL185" s="1332"/>
      <c r="TTM185" s="1332"/>
      <c r="TTN185" s="1332"/>
      <c r="TTO185" s="1332"/>
      <c r="TTP185" s="1332"/>
      <c r="TTQ185" s="1332"/>
      <c r="TTR185" s="1332"/>
      <c r="TTS185" s="1332"/>
      <c r="TTT185" s="1332"/>
      <c r="TTU185" s="1332"/>
      <c r="TTV185" s="1332"/>
      <c r="TTW185" s="1332"/>
      <c r="TTX185" s="1332"/>
      <c r="TTY185" s="1332"/>
      <c r="TTZ185" s="1332"/>
      <c r="TUA185" s="1332"/>
      <c r="TUB185" s="1332"/>
      <c r="TUC185" s="1332"/>
      <c r="TUD185" s="1332"/>
      <c r="TUE185" s="1332"/>
      <c r="TUF185" s="1332"/>
      <c r="TUG185" s="1332"/>
      <c r="TUH185" s="1332"/>
      <c r="TUI185" s="1332"/>
      <c r="TUJ185" s="1332"/>
      <c r="TUK185" s="1332"/>
      <c r="TUL185" s="1332"/>
      <c r="TUM185" s="1332"/>
      <c r="TUN185" s="1332"/>
      <c r="TUO185" s="1332"/>
      <c r="TUP185" s="1332"/>
      <c r="TUQ185" s="1332"/>
      <c r="TUR185" s="1332"/>
      <c r="TUS185" s="1332"/>
      <c r="TUT185" s="1332"/>
      <c r="TUU185" s="1332"/>
      <c r="TUV185" s="1332"/>
      <c r="TUW185" s="1332"/>
      <c r="TUX185" s="1332"/>
      <c r="TUY185" s="1332"/>
      <c r="TUZ185" s="1332"/>
      <c r="TVA185" s="1332"/>
      <c r="TVB185" s="1332"/>
      <c r="TVC185" s="1332"/>
      <c r="TVD185" s="1332"/>
      <c r="TVE185" s="1332"/>
      <c r="TVF185" s="1332"/>
      <c r="TVG185" s="1332"/>
      <c r="TVH185" s="1332"/>
      <c r="TVI185" s="1332"/>
      <c r="TVJ185" s="1332"/>
      <c r="TVK185" s="1332"/>
      <c r="TVL185" s="1332"/>
      <c r="TVM185" s="1332"/>
      <c r="TVN185" s="1332"/>
      <c r="TVO185" s="1332"/>
      <c r="TVP185" s="1332"/>
      <c r="TVQ185" s="1332"/>
      <c r="TVR185" s="1332"/>
      <c r="TVS185" s="1332"/>
      <c r="TVT185" s="1332"/>
      <c r="TVU185" s="1332"/>
      <c r="TVV185" s="1332"/>
      <c r="TVW185" s="1332"/>
      <c r="TVX185" s="1332"/>
      <c r="TVY185" s="1332"/>
      <c r="TVZ185" s="1332"/>
      <c r="TWA185" s="1332"/>
      <c r="TWB185" s="1332"/>
      <c r="TWC185" s="1332"/>
      <c r="TWD185" s="1332"/>
      <c r="TWE185" s="1332"/>
      <c r="TWF185" s="1332"/>
      <c r="TWG185" s="1332"/>
      <c r="TWH185" s="1332"/>
      <c r="TWI185" s="1332"/>
      <c r="TWJ185" s="1332"/>
      <c r="TWK185" s="1332"/>
      <c r="TWL185" s="1332"/>
      <c r="TWM185" s="1332"/>
      <c r="TWN185" s="1332"/>
      <c r="TWO185" s="1332"/>
      <c r="TWP185" s="1332"/>
      <c r="TWQ185" s="1332"/>
      <c r="TWR185" s="1332"/>
      <c r="TWS185" s="1332"/>
      <c r="TWT185" s="1332"/>
      <c r="TWU185" s="1332"/>
      <c r="TWV185" s="1332"/>
      <c r="TWW185" s="1332"/>
      <c r="TWX185" s="1332"/>
      <c r="TWY185" s="1332"/>
      <c r="TWZ185" s="1332"/>
      <c r="TXA185" s="1332"/>
      <c r="TXB185" s="1332"/>
      <c r="TXC185" s="1332"/>
      <c r="TXD185" s="1332"/>
      <c r="TXE185" s="1332"/>
      <c r="TXF185" s="1332"/>
      <c r="TXG185" s="1332"/>
      <c r="TXH185" s="1332"/>
      <c r="TXI185" s="1332"/>
      <c r="TXJ185" s="1332"/>
      <c r="TXK185" s="1332"/>
      <c r="TXL185" s="1332"/>
      <c r="TXM185" s="1332"/>
      <c r="TXN185" s="1332"/>
      <c r="TXO185" s="1332"/>
      <c r="TXP185" s="1332"/>
      <c r="TXQ185" s="1332"/>
      <c r="TXR185" s="1332"/>
      <c r="TXS185" s="1332"/>
      <c r="TXT185" s="1332"/>
      <c r="TXU185" s="1332"/>
      <c r="TXV185" s="1332"/>
      <c r="TXW185" s="1332"/>
      <c r="TXX185" s="1332"/>
      <c r="TXY185" s="1332"/>
      <c r="TXZ185" s="1332"/>
      <c r="TYA185" s="1332"/>
      <c r="TYB185" s="1332"/>
      <c r="TYC185" s="1332"/>
      <c r="TYD185" s="1332"/>
      <c r="TYE185" s="1332"/>
      <c r="TYF185" s="1332"/>
      <c r="TYG185" s="1332"/>
      <c r="TYH185" s="1332"/>
      <c r="TYI185" s="1332"/>
      <c r="TYJ185" s="1332"/>
      <c r="TYK185" s="1332"/>
      <c r="TYL185" s="1332"/>
      <c r="TYM185" s="1332"/>
      <c r="TYN185" s="1332"/>
      <c r="TYO185" s="1332"/>
      <c r="TYP185" s="1332"/>
      <c r="TYQ185" s="1332"/>
      <c r="TYR185" s="1332"/>
      <c r="TYS185" s="1332"/>
      <c r="TYT185" s="1332"/>
      <c r="TYU185" s="1332"/>
      <c r="TYV185" s="1332"/>
      <c r="TYW185" s="1332"/>
      <c r="TYX185" s="1332"/>
      <c r="TYY185" s="1332"/>
      <c r="TYZ185" s="1332"/>
      <c r="TZA185" s="1332"/>
      <c r="TZB185" s="1332"/>
      <c r="TZC185" s="1332"/>
      <c r="TZD185" s="1332"/>
      <c r="TZE185" s="1332"/>
      <c r="TZF185" s="1332"/>
      <c r="TZG185" s="1332"/>
      <c r="TZH185" s="1332"/>
      <c r="TZI185" s="1332"/>
      <c r="TZJ185" s="1332"/>
      <c r="TZK185" s="1332"/>
      <c r="TZL185" s="1332"/>
      <c r="TZM185" s="1332"/>
      <c r="TZN185" s="1332"/>
      <c r="TZO185" s="1332"/>
      <c r="TZP185" s="1332"/>
      <c r="TZQ185" s="1332"/>
      <c r="TZR185" s="1332"/>
      <c r="TZS185" s="1332"/>
      <c r="TZT185" s="1332"/>
      <c r="TZU185" s="1332"/>
      <c r="TZV185" s="1332"/>
      <c r="TZW185" s="1332"/>
      <c r="TZX185" s="1332"/>
      <c r="TZY185" s="1332"/>
      <c r="TZZ185" s="1332"/>
      <c r="UAA185" s="1332"/>
      <c r="UAB185" s="1332"/>
      <c r="UAC185" s="1332"/>
      <c r="UAD185" s="1332"/>
      <c r="UAE185" s="1332"/>
      <c r="UAF185" s="1332"/>
      <c r="UAG185" s="1332"/>
      <c r="UAH185" s="1332"/>
      <c r="UAI185" s="1332"/>
      <c r="UAJ185" s="1332"/>
      <c r="UAK185" s="1332"/>
      <c r="UAL185" s="1332"/>
      <c r="UAM185" s="1332"/>
      <c r="UAN185" s="1332"/>
      <c r="UAO185" s="1332"/>
      <c r="UAP185" s="1332"/>
      <c r="UAQ185" s="1332"/>
      <c r="UAR185" s="1332"/>
      <c r="UAS185" s="1332"/>
      <c r="UAT185" s="1332"/>
      <c r="UAU185" s="1332"/>
      <c r="UAV185" s="1332"/>
      <c r="UAW185" s="1332"/>
      <c r="UAX185" s="1332"/>
      <c r="UAY185" s="1332"/>
      <c r="UAZ185" s="1332"/>
      <c r="UBA185" s="1332"/>
      <c r="UBB185" s="1332"/>
      <c r="UBC185" s="1332"/>
      <c r="UBD185" s="1332"/>
      <c r="UBE185" s="1332"/>
      <c r="UBF185" s="1332"/>
      <c r="UBG185" s="1332"/>
      <c r="UBH185" s="1332"/>
      <c r="UBI185" s="1332"/>
      <c r="UBJ185" s="1332"/>
      <c r="UBK185" s="1332"/>
      <c r="UBL185" s="1332"/>
      <c r="UBM185" s="1332"/>
      <c r="UBN185" s="1332"/>
      <c r="UBO185" s="1332"/>
      <c r="UBP185" s="1332"/>
      <c r="UBQ185" s="1332"/>
      <c r="UBR185" s="1332"/>
      <c r="UBS185" s="1332"/>
      <c r="UBT185" s="1332"/>
      <c r="UBU185" s="1332"/>
      <c r="UBV185" s="1332"/>
      <c r="UBW185" s="1332"/>
      <c r="UBX185" s="1332"/>
      <c r="UBY185" s="1332"/>
      <c r="UBZ185" s="1332"/>
      <c r="UCA185" s="1332"/>
      <c r="UCB185" s="1332"/>
      <c r="UCC185" s="1332"/>
      <c r="UCD185" s="1332"/>
      <c r="UCE185" s="1332"/>
      <c r="UCF185" s="1332"/>
      <c r="UCG185" s="1332"/>
      <c r="UCH185" s="1332"/>
      <c r="UCI185" s="1332"/>
      <c r="UCJ185" s="1332"/>
      <c r="UCK185" s="1332"/>
      <c r="UCL185" s="1332"/>
      <c r="UCM185" s="1332"/>
      <c r="UCN185" s="1332"/>
      <c r="UCO185" s="1332"/>
      <c r="UCP185" s="1332"/>
      <c r="UCQ185" s="1332"/>
      <c r="UCR185" s="1332"/>
      <c r="UCS185" s="1332"/>
      <c r="UCT185" s="1332"/>
      <c r="UCU185" s="1332"/>
      <c r="UCV185" s="1332"/>
      <c r="UCW185" s="1332"/>
      <c r="UCX185" s="1332"/>
      <c r="UCY185" s="1332"/>
      <c r="UCZ185" s="1332"/>
      <c r="UDA185" s="1332"/>
      <c r="UDB185" s="1332"/>
      <c r="UDC185" s="1332"/>
      <c r="UDD185" s="1332"/>
      <c r="UDE185" s="1332"/>
      <c r="UDF185" s="1332"/>
      <c r="UDG185" s="1332"/>
      <c r="UDH185" s="1332"/>
      <c r="UDI185" s="1332"/>
      <c r="UDJ185" s="1332"/>
      <c r="UDK185" s="1332"/>
      <c r="UDL185" s="1332"/>
      <c r="UDM185" s="1332"/>
      <c r="UDN185" s="1332"/>
      <c r="UDO185" s="1332"/>
      <c r="UDP185" s="1332"/>
      <c r="UDQ185" s="1332"/>
      <c r="UDR185" s="1332"/>
      <c r="UDS185" s="1332"/>
      <c r="UDT185" s="1332"/>
      <c r="UDU185" s="1332"/>
      <c r="UDV185" s="1332"/>
      <c r="UDW185" s="1332"/>
      <c r="UDX185" s="1332"/>
      <c r="UDY185" s="1332"/>
      <c r="UDZ185" s="1332"/>
      <c r="UEA185" s="1332"/>
      <c r="UEB185" s="1332"/>
      <c r="UEC185" s="1332"/>
      <c r="UED185" s="1332"/>
      <c r="UEE185" s="1332"/>
      <c r="UEF185" s="1332"/>
      <c r="UEG185" s="1332"/>
      <c r="UEH185" s="1332"/>
      <c r="UEI185" s="1332"/>
      <c r="UEJ185" s="1332"/>
      <c r="UEK185" s="1332"/>
      <c r="UEL185" s="1332"/>
      <c r="UEM185" s="1332"/>
      <c r="UEN185" s="1332"/>
      <c r="UEO185" s="1332"/>
      <c r="UEP185" s="1332"/>
      <c r="UEQ185" s="1332"/>
      <c r="UER185" s="1332"/>
      <c r="UES185" s="1332"/>
      <c r="UET185" s="1332"/>
      <c r="UEU185" s="1332"/>
      <c r="UEV185" s="1332"/>
      <c r="UEW185" s="1332"/>
      <c r="UEX185" s="1332"/>
      <c r="UEY185" s="1332"/>
      <c r="UEZ185" s="1332"/>
      <c r="UFA185" s="1332"/>
      <c r="UFB185" s="1332"/>
      <c r="UFC185" s="1332"/>
      <c r="UFD185" s="1332"/>
      <c r="UFE185" s="1332"/>
      <c r="UFF185" s="1332"/>
      <c r="UFG185" s="1332"/>
      <c r="UFH185" s="1332"/>
      <c r="UFI185" s="1332"/>
      <c r="UFJ185" s="1332"/>
      <c r="UFK185" s="1332"/>
      <c r="UFL185" s="1332"/>
      <c r="UFM185" s="1332"/>
      <c r="UFN185" s="1332"/>
      <c r="UFO185" s="1332"/>
      <c r="UFP185" s="1332"/>
      <c r="UFQ185" s="1332"/>
      <c r="UFR185" s="1332"/>
      <c r="UFS185" s="1332"/>
      <c r="UFT185" s="1332"/>
      <c r="UFU185" s="1332"/>
      <c r="UFV185" s="1332"/>
      <c r="UFW185" s="1332"/>
      <c r="UFX185" s="1332"/>
      <c r="UFY185" s="1332"/>
      <c r="UFZ185" s="1332"/>
      <c r="UGA185" s="1332"/>
      <c r="UGB185" s="1332"/>
      <c r="UGC185" s="1332"/>
      <c r="UGD185" s="1332"/>
      <c r="UGE185" s="1332"/>
      <c r="UGF185" s="1332"/>
      <c r="UGG185" s="1332"/>
      <c r="UGH185" s="1332"/>
      <c r="UGI185" s="1332"/>
      <c r="UGJ185" s="1332"/>
      <c r="UGK185" s="1332"/>
      <c r="UGL185" s="1332"/>
      <c r="UGM185" s="1332"/>
      <c r="UGN185" s="1332"/>
      <c r="UGO185" s="1332"/>
      <c r="UGP185" s="1332"/>
      <c r="UGQ185" s="1332"/>
      <c r="UGR185" s="1332"/>
      <c r="UGS185" s="1332"/>
      <c r="UGT185" s="1332"/>
      <c r="UGU185" s="1332"/>
      <c r="UGV185" s="1332"/>
      <c r="UGW185" s="1332"/>
      <c r="UGX185" s="1332"/>
      <c r="UGY185" s="1332"/>
      <c r="UGZ185" s="1332"/>
      <c r="UHA185" s="1332"/>
      <c r="UHB185" s="1332"/>
      <c r="UHC185" s="1332"/>
      <c r="UHD185" s="1332"/>
      <c r="UHE185" s="1332"/>
      <c r="UHF185" s="1332"/>
      <c r="UHG185" s="1332"/>
      <c r="UHH185" s="1332"/>
      <c r="UHI185" s="1332"/>
      <c r="UHJ185" s="1332"/>
      <c r="UHK185" s="1332"/>
      <c r="UHL185" s="1332"/>
      <c r="UHM185" s="1332"/>
      <c r="UHN185" s="1332"/>
      <c r="UHO185" s="1332"/>
      <c r="UHP185" s="1332"/>
      <c r="UHQ185" s="1332"/>
      <c r="UHR185" s="1332"/>
      <c r="UHS185" s="1332"/>
      <c r="UHT185" s="1332"/>
      <c r="UHU185" s="1332"/>
      <c r="UHV185" s="1332"/>
      <c r="UHW185" s="1332"/>
      <c r="UHX185" s="1332"/>
      <c r="UHY185" s="1332"/>
      <c r="UHZ185" s="1332"/>
      <c r="UIA185" s="1332"/>
      <c r="UIB185" s="1332"/>
      <c r="UIC185" s="1332"/>
      <c r="UID185" s="1332"/>
      <c r="UIE185" s="1332"/>
      <c r="UIF185" s="1332"/>
      <c r="UIG185" s="1332"/>
      <c r="UIH185" s="1332"/>
      <c r="UII185" s="1332"/>
      <c r="UIJ185" s="1332"/>
      <c r="UIK185" s="1332"/>
      <c r="UIL185" s="1332"/>
      <c r="UIM185" s="1332"/>
      <c r="UIN185" s="1332"/>
      <c r="UIO185" s="1332"/>
      <c r="UIP185" s="1332"/>
      <c r="UIQ185" s="1332"/>
      <c r="UIR185" s="1332"/>
      <c r="UIS185" s="1332"/>
      <c r="UIT185" s="1332"/>
      <c r="UIU185" s="1332"/>
      <c r="UIV185" s="1332"/>
      <c r="UIW185" s="1332"/>
      <c r="UIX185" s="1332"/>
      <c r="UIY185" s="1332"/>
      <c r="UIZ185" s="1332"/>
      <c r="UJA185" s="1332"/>
      <c r="UJB185" s="1332"/>
      <c r="UJC185" s="1332"/>
      <c r="UJD185" s="1332"/>
      <c r="UJE185" s="1332"/>
      <c r="UJF185" s="1332"/>
      <c r="UJG185" s="1332"/>
      <c r="UJH185" s="1332"/>
      <c r="UJI185" s="1332"/>
      <c r="UJJ185" s="1332"/>
      <c r="UJK185" s="1332"/>
      <c r="UJL185" s="1332"/>
      <c r="UJM185" s="1332"/>
      <c r="UJN185" s="1332"/>
      <c r="UJO185" s="1332"/>
      <c r="UJP185" s="1332"/>
      <c r="UJQ185" s="1332"/>
      <c r="UJR185" s="1332"/>
      <c r="UJS185" s="1332"/>
      <c r="UJT185" s="1332"/>
      <c r="UJU185" s="1332"/>
      <c r="UJV185" s="1332"/>
      <c r="UJW185" s="1332"/>
      <c r="UJX185" s="1332"/>
      <c r="UJY185" s="1332"/>
      <c r="UJZ185" s="1332"/>
      <c r="UKA185" s="1332"/>
      <c r="UKB185" s="1332"/>
      <c r="UKC185" s="1332"/>
      <c r="UKD185" s="1332"/>
      <c r="UKE185" s="1332"/>
      <c r="UKF185" s="1332"/>
      <c r="UKG185" s="1332"/>
      <c r="UKH185" s="1332"/>
      <c r="UKI185" s="1332"/>
      <c r="UKJ185" s="1332"/>
      <c r="UKK185" s="1332"/>
      <c r="UKL185" s="1332"/>
      <c r="UKM185" s="1332"/>
      <c r="UKN185" s="1332"/>
      <c r="UKO185" s="1332"/>
      <c r="UKP185" s="1332"/>
      <c r="UKQ185" s="1332"/>
      <c r="UKR185" s="1332"/>
      <c r="UKS185" s="1332"/>
      <c r="UKT185" s="1332"/>
      <c r="UKU185" s="1332"/>
      <c r="UKV185" s="1332"/>
      <c r="UKW185" s="1332"/>
      <c r="UKX185" s="1332"/>
      <c r="UKY185" s="1332"/>
      <c r="UKZ185" s="1332"/>
      <c r="ULA185" s="1332"/>
      <c r="ULB185" s="1332"/>
      <c r="ULC185" s="1332"/>
      <c r="ULD185" s="1332"/>
      <c r="ULE185" s="1332"/>
      <c r="ULF185" s="1332"/>
      <c r="ULG185" s="1332"/>
      <c r="ULH185" s="1332"/>
      <c r="ULI185" s="1332"/>
      <c r="ULJ185" s="1332"/>
      <c r="ULK185" s="1332"/>
      <c r="ULL185" s="1332"/>
      <c r="ULM185" s="1332"/>
      <c r="ULN185" s="1332"/>
      <c r="ULO185" s="1332"/>
      <c r="ULP185" s="1332"/>
      <c r="ULQ185" s="1332"/>
      <c r="ULR185" s="1332"/>
      <c r="ULS185" s="1332"/>
      <c r="ULT185" s="1332"/>
      <c r="ULU185" s="1332"/>
      <c r="ULV185" s="1332"/>
      <c r="ULW185" s="1332"/>
      <c r="ULX185" s="1332"/>
      <c r="ULY185" s="1332"/>
      <c r="ULZ185" s="1332"/>
      <c r="UMA185" s="1332"/>
      <c r="UMB185" s="1332"/>
      <c r="UMC185" s="1332"/>
      <c r="UMD185" s="1332"/>
      <c r="UME185" s="1332"/>
      <c r="UMF185" s="1332"/>
      <c r="UMG185" s="1332"/>
      <c r="UMH185" s="1332"/>
      <c r="UMI185" s="1332"/>
      <c r="UMJ185" s="1332"/>
      <c r="UMK185" s="1332"/>
      <c r="UML185" s="1332"/>
      <c r="UMM185" s="1332"/>
      <c r="UMN185" s="1332"/>
      <c r="UMO185" s="1332"/>
      <c r="UMP185" s="1332"/>
      <c r="UMQ185" s="1332"/>
      <c r="UMR185" s="1332"/>
      <c r="UMS185" s="1332"/>
      <c r="UMT185" s="1332"/>
      <c r="UMU185" s="1332"/>
      <c r="UMV185" s="1332"/>
      <c r="UMW185" s="1332"/>
      <c r="UMX185" s="1332"/>
      <c r="UMY185" s="1332"/>
      <c r="UMZ185" s="1332"/>
      <c r="UNA185" s="1332"/>
      <c r="UNB185" s="1332"/>
      <c r="UNC185" s="1332"/>
      <c r="UND185" s="1332"/>
      <c r="UNE185" s="1332"/>
      <c r="UNF185" s="1332"/>
      <c r="UNG185" s="1332"/>
      <c r="UNH185" s="1332"/>
      <c r="UNI185" s="1332"/>
      <c r="UNJ185" s="1332"/>
      <c r="UNK185" s="1332"/>
      <c r="UNL185" s="1332"/>
      <c r="UNM185" s="1332"/>
      <c r="UNN185" s="1332"/>
      <c r="UNO185" s="1332"/>
      <c r="UNP185" s="1332"/>
      <c r="UNQ185" s="1332"/>
      <c r="UNR185" s="1332"/>
      <c r="UNS185" s="1332"/>
      <c r="UNT185" s="1332"/>
      <c r="UNU185" s="1332"/>
      <c r="UNV185" s="1332"/>
      <c r="UNW185" s="1332"/>
      <c r="UNX185" s="1332"/>
      <c r="UNY185" s="1332"/>
      <c r="UNZ185" s="1332"/>
      <c r="UOA185" s="1332"/>
      <c r="UOB185" s="1332"/>
      <c r="UOC185" s="1332"/>
      <c r="UOD185" s="1332"/>
      <c r="UOE185" s="1332"/>
      <c r="UOF185" s="1332"/>
      <c r="UOG185" s="1332"/>
      <c r="UOH185" s="1332"/>
      <c r="UOI185" s="1332"/>
      <c r="UOJ185" s="1332"/>
      <c r="UOK185" s="1332"/>
      <c r="UOL185" s="1332"/>
      <c r="UOM185" s="1332"/>
      <c r="UON185" s="1332"/>
      <c r="UOO185" s="1332"/>
      <c r="UOP185" s="1332"/>
      <c r="UOQ185" s="1332"/>
      <c r="UOR185" s="1332"/>
      <c r="UOS185" s="1332"/>
      <c r="UOT185" s="1332"/>
      <c r="UOU185" s="1332"/>
      <c r="UOV185" s="1332"/>
      <c r="UOW185" s="1332"/>
      <c r="UOX185" s="1332"/>
      <c r="UOY185" s="1332"/>
      <c r="UOZ185" s="1332"/>
      <c r="UPA185" s="1332"/>
      <c r="UPB185" s="1332"/>
      <c r="UPC185" s="1332"/>
      <c r="UPD185" s="1332"/>
      <c r="UPE185" s="1332"/>
      <c r="UPF185" s="1332"/>
      <c r="UPG185" s="1332"/>
      <c r="UPH185" s="1332"/>
      <c r="UPI185" s="1332"/>
      <c r="UPJ185" s="1332"/>
      <c r="UPK185" s="1332"/>
      <c r="UPL185" s="1332"/>
      <c r="UPM185" s="1332"/>
      <c r="UPN185" s="1332"/>
      <c r="UPO185" s="1332"/>
      <c r="UPP185" s="1332"/>
      <c r="UPQ185" s="1332"/>
      <c r="UPR185" s="1332"/>
      <c r="UPS185" s="1332"/>
      <c r="UPT185" s="1332"/>
      <c r="UPU185" s="1332"/>
      <c r="UPV185" s="1332"/>
      <c r="UPW185" s="1332"/>
      <c r="UPX185" s="1332"/>
      <c r="UPY185" s="1332"/>
      <c r="UPZ185" s="1332"/>
      <c r="UQA185" s="1332"/>
      <c r="UQB185" s="1332"/>
      <c r="UQC185" s="1332"/>
      <c r="UQD185" s="1332"/>
      <c r="UQE185" s="1332"/>
      <c r="UQF185" s="1332"/>
      <c r="UQG185" s="1332"/>
      <c r="UQH185" s="1332"/>
      <c r="UQI185" s="1332"/>
      <c r="UQJ185" s="1332"/>
      <c r="UQK185" s="1332"/>
      <c r="UQL185" s="1332"/>
      <c r="UQM185" s="1332"/>
      <c r="UQN185" s="1332"/>
      <c r="UQO185" s="1332"/>
      <c r="UQP185" s="1332"/>
      <c r="UQQ185" s="1332"/>
      <c r="UQR185" s="1332"/>
      <c r="UQS185" s="1332"/>
      <c r="UQT185" s="1332"/>
      <c r="UQU185" s="1332"/>
      <c r="UQV185" s="1332"/>
      <c r="UQW185" s="1332"/>
      <c r="UQX185" s="1332"/>
      <c r="UQY185" s="1332"/>
      <c r="UQZ185" s="1332"/>
      <c r="URA185" s="1332"/>
      <c r="URB185" s="1332"/>
      <c r="URC185" s="1332"/>
      <c r="URD185" s="1332"/>
      <c r="URE185" s="1332"/>
      <c r="URF185" s="1332"/>
      <c r="URG185" s="1332"/>
      <c r="URH185" s="1332"/>
      <c r="URI185" s="1332"/>
      <c r="URJ185" s="1332"/>
      <c r="URK185" s="1332"/>
      <c r="URL185" s="1332"/>
      <c r="URM185" s="1332"/>
      <c r="URN185" s="1332"/>
      <c r="URO185" s="1332"/>
      <c r="URP185" s="1332"/>
      <c r="URQ185" s="1332"/>
      <c r="URR185" s="1332"/>
      <c r="URS185" s="1332"/>
      <c r="URT185" s="1332"/>
      <c r="URU185" s="1332"/>
      <c r="URV185" s="1332"/>
      <c r="URW185" s="1332"/>
      <c r="URX185" s="1332"/>
      <c r="URY185" s="1332"/>
      <c r="URZ185" s="1332"/>
      <c r="USA185" s="1332"/>
      <c r="USB185" s="1332"/>
      <c r="USC185" s="1332"/>
      <c r="USD185" s="1332"/>
      <c r="USE185" s="1332"/>
      <c r="USF185" s="1332"/>
      <c r="USG185" s="1332"/>
      <c r="USH185" s="1332"/>
      <c r="USI185" s="1332"/>
      <c r="USJ185" s="1332"/>
      <c r="USK185" s="1332"/>
      <c r="USL185" s="1332"/>
      <c r="USM185" s="1332"/>
      <c r="USN185" s="1332"/>
      <c r="USO185" s="1332"/>
      <c r="USP185" s="1332"/>
      <c r="USQ185" s="1332"/>
      <c r="USR185" s="1332"/>
      <c r="USS185" s="1332"/>
      <c r="UST185" s="1332"/>
      <c r="USU185" s="1332"/>
      <c r="USV185" s="1332"/>
      <c r="USW185" s="1332"/>
      <c r="USX185" s="1332"/>
      <c r="USY185" s="1332"/>
      <c r="USZ185" s="1332"/>
      <c r="UTA185" s="1332"/>
      <c r="UTB185" s="1332"/>
      <c r="UTC185" s="1332"/>
      <c r="UTD185" s="1332"/>
      <c r="UTE185" s="1332"/>
      <c r="UTF185" s="1332"/>
      <c r="UTG185" s="1332"/>
      <c r="UTH185" s="1332"/>
      <c r="UTI185" s="1332"/>
      <c r="UTJ185" s="1332"/>
      <c r="UTK185" s="1332"/>
      <c r="UTL185" s="1332"/>
      <c r="UTM185" s="1332"/>
      <c r="UTN185" s="1332"/>
      <c r="UTO185" s="1332"/>
      <c r="UTP185" s="1332"/>
      <c r="UTQ185" s="1332"/>
      <c r="UTR185" s="1332"/>
      <c r="UTS185" s="1332"/>
      <c r="UTT185" s="1332"/>
      <c r="UTU185" s="1332"/>
      <c r="UTV185" s="1332"/>
      <c r="UTW185" s="1332"/>
      <c r="UTX185" s="1332"/>
      <c r="UTY185" s="1332"/>
      <c r="UTZ185" s="1332"/>
      <c r="UUA185" s="1332"/>
      <c r="UUB185" s="1332"/>
      <c r="UUC185" s="1332"/>
      <c r="UUD185" s="1332"/>
      <c r="UUE185" s="1332"/>
      <c r="UUF185" s="1332"/>
      <c r="UUG185" s="1332"/>
      <c r="UUH185" s="1332"/>
      <c r="UUI185" s="1332"/>
      <c r="UUJ185" s="1332"/>
      <c r="UUK185" s="1332"/>
      <c r="UUL185" s="1332"/>
      <c r="UUM185" s="1332"/>
      <c r="UUN185" s="1332"/>
      <c r="UUO185" s="1332"/>
      <c r="UUP185" s="1332"/>
      <c r="UUQ185" s="1332"/>
      <c r="UUR185" s="1332"/>
      <c r="UUS185" s="1332"/>
      <c r="UUT185" s="1332"/>
      <c r="UUU185" s="1332"/>
      <c r="UUV185" s="1332"/>
      <c r="UUW185" s="1332"/>
      <c r="UUX185" s="1332"/>
      <c r="UUY185" s="1332"/>
      <c r="UUZ185" s="1332"/>
      <c r="UVA185" s="1332"/>
      <c r="UVB185" s="1332"/>
      <c r="UVC185" s="1332"/>
      <c r="UVD185" s="1332"/>
      <c r="UVE185" s="1332"/>
      <c r="UVF185" s="1332"/>
      <c r="UVG185" s="1332"/>
      <c r="UVH185" s="1332"/>
      <c r="UVI185" s="1332"/>
      <c r="UVJ185" s="1332"/>
      <c r="UVK185" s="1332"/>
      <c r="UVL185" s="1332"/>
      <c r="UVM185" s="1332"/>
      <c r="UVN185" s="1332"/>
      <c r="UVO185" s="1332"/>
      <c r="UVP185" s="1332"/>
      <c r="UVQ185" s="1332"/>
      <c r="UVR185" s="1332"/>
      <c r="UVS185" s="1332"/>
      <c r="UVT185" s="1332"/>
      <c r="UVU185" s="1332"/>
      <c r="UVV185" s="1332"/>
      <c r="UVW185" s="1332"/>
      <c r="UVX185" s="1332"/>
      <c r="UVY185" s="1332"/>
      <c r="UVZ185" s="1332"/>
      <c r="UWA185" s="1332"/>
      <c r="UWB185" s="1332"/>
      <c r="UWC185" s="1332"/>
      <c r="UWD185" s="1332"/>
      <c r="UWE185" s="1332"/>
      <c r="UWF185" s="1332"/>
      <c r="UWG185" s="1332"/>
      <c r="UWH185" s="1332"/>
      <c r="UWI185" s="1332"/>
      <c r="UWJ185" s="1332"/>
      <c r="UWK185" s="1332"/>
      <c r="UWL185" s="1332"/>
      <c r="UWM185" s="1332"/>
      <c r="UWN185" s="1332"/>
      <c r="UWO185" s="1332"/>
      <c r="UWP185" s="1332"/>
      <c r="UWQ185" s="1332"/>
      <c r="UWR185" s="1332"/>
      <c r="UWS185" s="1332"/>
      <c r="UWT185" s="1332"/>
      <c r="UWU185" s="1332"/>
      <c r="UWV185" s="1332"/>
      <c r="UWW185" s="1332"/>
      <c r="UWX185" s="1332"/>
      <c r="UWY185" s="1332"/>
      <c r="UWZ185" s="1332"/>
      <c r="UXA185" s="1332"/>
      <c r="UXB185" s="1332"/>
      <c r="UXC185" s="1332"/>
      <c r="UXD185" s="1332"/>
      <c r="UXE185" s="1332"/>
      <c r="UXF185" s="1332"/>
      <c r="UXG185" s="1332"/>
      <c r="UXH185" s="1332"/>
      <c r="UXI185" s="1332"/>
      <c r="UXJ185" s="1332"/>
      <c r="UXK185" s="1332"/>
      <c r="UXL185" s="1332"/>
      <c r="UXM185" s="1332"/>
      <c r="UXN185" s="1332"/>
      <c r="UXO185" s="1332"/>
      <c r="UXP185" s="1332"/>
      <c r="UXQ185" s="1332"/>
      <c r="UXR185" s="1332"/>
      <c r="UXS185" s="1332"/>
      <c r="UXT185" s="1332"/>
      <c r="UXU185" s="1332"/>
      <c r="UXV185" s="1332"/>
      <c r="UXW185" s="1332"/>
      <c r="UXX185" s="1332"/>
      <c r="UXY185" s="1332"/>
      <c r="UXZ185" s="1332"/>
      <c r="UYA185" s="1332"/>
      <c r="UYB185" s="1332"/>
      <c r="UYC185" s="1332"/>
      <c r="UYD185" s="1332"/>
      <c r="UYE185" s="1332"/>
      <c r="UYF185" s="1332"/>
      <c r="UYG185" s="1332"/>
      <c r="UYH185" s="1332"/>
      <c r="UYI185" s="1332"/>
      <c r="UYJ185" s="1332"/>
      <c r="UYK185" s="1332"/>
      <c r="UYL185" s="1332"/>
      <c r="UYM185" s="1332"/>
      <c r="UYN185" s="1332"/>
      <c r="UYO185" s="1332"/>
      <c r="UYP185" s="1332"/>
      <c r="UYQ185" s="1332"/>
      <c r="UYR185" s="1332"/>
      <c r="UYS185" s="1332"/>
      <c r="UYT185" s="1332"/>
      <c r="UYU185" s="1332"/>
      <c r="UYV185" s="1332"/>
      <c r="UYW185" s="1332"/>
      <c r="UYX185" s="1332"/>
      <c r="UYY185" s="1332"/>
      <c r="UYZ185" s="1332"/>
      <c r="UZA185" s="1332"/>
      <c r="UZB185" s="1332"/>
      <c r="UZC185" s="1332"/>
      <c r="UZD185" s="1332"/>
      <c r="UZE185" s="1332"/>
      <c r="UZF185" s="1332"/>
      <c r="UZG185" s="1332"/>
      <c r="UZH185" s="1332"/>
      <c r="UZI185" s="1332"/>
      <c r="UZJ185" s="1332"/>
      <c r="UZK185" s="1332"/>
      <c r="UZL185" s="1332"/>
      <c r="UZM185" s="1332"/>
      <c r="UZN185" s="1332"/>
      <c r="UZO185" s="1332"/>
      <c r="UZP185" s="1332"/>
      <c r="UZQ185" s="1332"/>
      <c r="UZR185" s="1332"/>
      <c r="UZS185" s="1332"/>
      <c r="UZT185" s="1332"/>
      <c r="UZU185" s="1332"/>
      <c r="UZV185" s="1332"/>
      <c r="UZW185" s="1332"/>
      <c r="UZX185" s="1332"/>
      <c r="UZY185" s="1332"/>
      <c r="UZZ185" s="1332"/>
      <c r="VAA185" s="1332"/>
      <c r="VAB185" s="1332"/>
      <c r="VAC185" s="1332"/>
      <c r="VAD185" s="1332"/>
      <c r="VAE185" s="1332"/>
      <c r="VAF185" s="1332"/>
      <c r="VAG185" s="1332"/>
      <c r="VAH185" s="1332"/>
      <c r="VAI185" s="1332"/>
      <c r="VAJ185" s="1332"/>
      <c r="VAK185" s="1332"/>
      <c r="VAL185" s="1332"/>
      <c r="VAM185" s="1332"/>
      <c r="VAN185" s="1332"/>
      <c r="VAO185" s="1332"/>
      <c r="VAP185" s="1332"/>
      <c r="VAQ185" s="1332"/>
      <c r="VAR185" s="1332"/>
      <c r="VAS185" s="1332"/>
      <c r="VAT185" s="1332"/>
      <c r="VAU185" s="1332"/>
      <c r="VAV185" s="1332"/>
      <c r="VAW185" s="1332"/>
      <c r="VAX185" s="1332"/>
      <c r="VAY185" s="1332"/>
      <c r="VAZ185" s="1332"/>
      <c r="VBA185" s="1332"/>
      <c r="VBB185" s="1332"/>
      <c r="VBC185" s="1332"/>
      <c r="VBD185" s="1332"/>
      <c r="VBE185" s="1332"/>
      <c r="VBF185" s="1332"/>
      <c r="VBG185" s="1332"/>
      <c r="VBH185" s="1332"/>
      <c r="VBI185" s="1332"/>
      <c r="VBJ185" s="1332"/>
      <c r="VBK185" s="1332"/>
      <c r="VBL185" s="1332"/>
      <c r="VBM185" s="1332"/>
      <c r="VBN185" s="1332"/>
      <c r="VBO185" s="1332"/>
      <c r="VBP185" s="1332"/>
      <c r="VBQ185" s="1332"/>
      <c r="VBR185" s="1332"/>
      <c r="VBS185" s="1332"/>
      <c r="VBT185" s="1332"/>
      <c r="VBU185" s="1332"/>
      <c r="VBV185" s="1332"/>
      <c r="VBW185" s="1332"/>
      <c r="VBX185" s="1332"/>
      <c r="VBY185" s="1332"/>
      <c r="VBZ185" s="1332"/>
      <c r="VCA185" s="1332"/>
      <c r="VCB185" s="1332"/>
      <c r="VCC185" s="1332"/>
      <c r="VCD185" s="1332"/>
      <c r="VCE185" s="1332"/>
      <c r="VCF185" s="1332"/>
      <c r="VCG185" s="1332"/>
      <c r="VCH185" s="1332"/>
      <c r="VCI185" s="1332"/>
      <c r="VCJ185" s="1332"/>
      <c r="VCK185" s="1332"/>
      <c r="VCL185" s="1332"/>
      <c r="VCM185" s="1332"/>
      <c r="VCN185" s="1332"/>
      <c r="VCO185" s="1332"/>
      <c r="VCP185" s="1332"/>
      <c r="VCQ185" s="1332"/>
      <c r="VCR185" s="1332"/>
      <c r="VCS185" s="1332"/>
      <c r="VCT185" s="1332"/>
      <c r="VCU185" s="1332"/>
      <c r="VCV185" s="1332"/>
      <c r="VCW185" s="1332"/>
      <c r="VCX185" s="1332"/>
      <c r="VCY185" s="1332"/>
      <c r="VCZ185" s="1332"/>
      <c r="VDA185" s="1332"/>
      <c r="VDB185" s="1332"/>
      <c r="VDC185" s="1332"/>
      <c r="VDD185" s="1332"/>
      <c r="VDE185" s="1332"/>
      <c r="VDF185" s="1332"/>
      <c r="VDG185" s="1332"/>
      <c r="VDH185" s="1332"/>
      <c r="VDI185" s="1332"/>
      <c r="VDJ185" s="1332"/>
      <c r="VDK185" s="1332"/>
      <c r="VDL185" s="1332"/>
      <c r="VDM185" s="1332"/>
      <c r="VDN185" s="1332"/>
      <c r="VDO185" s="1332"/>
      <c r="VDP185" s="1332"/>
      <c r="VDQ185" s="1332"/>
      <c r="VDR185" s="1332"/>
      <c r="VDS185" s="1332"/>
      <c r="VDT185" s="1332"/>
      <c r="VDU185" s="1332"/>
      <c r="VDV185" s="1332"/>
      <c r="VDW185" s="1332"/>
      <c r="VDX185" s="1332"/>
      <c r="VDY185" s="1332"/>
      <c r="VDZ185" s="1332"/>
      <c r="VEA185" s="1332"/>
      <c r="VEB185" s="1332"/>
      <c r="VEC185" s="1332"/>
      <c r="VED185" s="1332"/>
      <c r="VEE185" s="1332"/>
      <c r="VEF185" s="1332"/>
      <c r="VEG185" s="1332"/>
      <c r="VEH185" s="1332"/>
      <c r="VEI185" s="1332"/>
      <c r="VEJ185" s="1332"/>
      <c r="VEK185" s="1332"/>
      <c r="VEL185" s="1332"/>
      <c r="VEM185" s="1332"/>
      <c r="VEN185" s="1332"/>
      <c r="VEO185" s="1332"/>
      <c r="VEP185" s="1332"/>
      <c r="VEQ185" s="1332"/>
      <c r="VER185" s="1332"/>
      <c r="VES185" s="1332"/>
      <c r="VET185" s="1332"/>
      <c r="VEU185" s="1332"/>
      <c r="VEV185" s="1332"/>
      <c r="VEW185" s="1332"/>
      <c r="VEX185" s="1332"/>
      <c r="VEY185" s="1332"/>
      <c r="VEZ185" s="1332"/>
      <c r="VFA185" s="1332"/>
      <c r="VFB185" s="1332"/>
      <c r="VFC185" s="1332"/>
      <c r="VFD185" s="1332"/>
      <c r="VFE185" s="1332"/>
      <c r="VFF185" s="1332"/>
      <c r="VFG185" s="1332"/>
      <c r="VFH185" s="1332"/>
      <c r="VFI185" s="1332"/>
      <c r="VFJ185" s="1332"/>
      <c r="VFK185" s="1332"/>
      <c r="VFL185" s="1332"/>
      <c r="VFM185" s="1332"/>
      <c r="VFN185" s="1332"/>
      <c r="VFO185" s="1332"/>
      <c r="VFP185" s="1332"/>
      <c r="VFQ185" s="1332"/>
      <c r="VFR185" s="1332"/>
      <c r="VFS185" s="1332"/>
      <c r="VFT185" s="1332"/>
      <c r="VFU185" s="1332"/>
      <c r="VFV185" s="1332"/>
      <c r="VFW185" s="1332"/>
      <c r="VFX185" s="1332"/>
      <c r="VFY185" s="1332"/>
      <c r="VFZ185" s="1332"/>
      <c r="VGA185" s="1332"/>
      <c r="VGB185" s="1332"/>
      <c r="VGC185" s="1332"/>
      <c r="VGD185" s="1332"/>
      <c r="VGE185" s="1332"/>
      <c r="VGF185" s="1332"/>
      <c r="VGG185" s="1332"/>
      <c r="VGH185" s="1332"/>
      <c r="VGI185" s="1332"/>
      <c r="VGJ185" s="1332"/>
      <c r="VGK185" s="1332"/>
      <c r="VGL185" s="1332"/>
      <c r="VGM185" s="1332"/>
      <c r="VGN185" s="1332"/>
      <c r="VGO185" s="1332"/>
      <c r="VGP185" s="1332"/>
      <c r="VGQ185" s="1332"/>
      <c r="VGR185" s="1332"/>
      <c r="VGS185" s="1332"/>
      <c r="VGT185" s="1332"/>
      <c r="VGU185" s="1332"/>
      <c r="VGV185" s="1332"/>
      <c r="VGW185" s="1332"/>
      <c r="VGX185" s="1332"/>
      <c r="VGY185" s="1332"/>
      <c r="VGZ185" s="1332"/>
      <c r="VHA185" s="1332"/>
      <c r="VHB185" s="1332"/>
      <c r="VHC185" s="1332"/>
      <c r="VHD185" s="1332"/>
      <c r="VHE185" s="1332"/>
      <c r="VHF185" s="1332"/>
      <c r="VHG185" s="1332"/>
      <c r="VHH185" s="1332"/>
      <c r="VHI185" s="1332"/>
      <c r="VHJ185" s="1332"/>
      <c r="VHK185" s="1332"/>
      <c r="VHL185" s="1332"/>
      <c r="VHM185" s="1332"/>
      <c r="VHN185" s="1332"/>
      <c r="VHO185" s="1332"/>
      <c r="VHP185" s="1332"/>
      <c r="VHQ185" s="1332"/>
      <c r="VHR185" s="1332"/>
      <c r="VHS185" s="1332"/>
      <c r="VHT185" s="1332"/>
      <c r="VHU185" s="1332"/>
      <c r="VHV185" s="1332"/>
      <c r="VHW185" s="1332"/>
      <c r="VHX185" s="1332"/>
      <c r="VHY185" s="1332"/>
      <c r="VHZ185" s="1332"/>
      <c r="VIA185" s="1332"/>
      <c r="VIB185" s="1332"/>
      <c r="VIC185" s="1332"/>
      <c r="VID185" s="1332"/>
      <c r="VIE185" s="1332"/>
      <c r="VIF185" s="1332"/>
      <c r="VIG185" s="1332"/>
      <c r="VIH185" s="1332"/>
      <c r="VII185" s="1332"/>
      <c r="VIJ185" s="1332"/>
      <c r="VIK185" s="1332"/>
      <c r="VIL185" s="1332"/>
      <c r="VIM185" s="1332"/>
      <c r="VIN185" s="1332"/>
      <c r="VIO185" s="1332"/>
      <c r="VIP185" s="1332"/>
      <c r="VIQ185" s="1332"/>
      <c r="VIR185" s="1332"/>
      <c r="VIS185" s="1332"/>
      <c r="VIT185" s="1332"/>
      <c r="VIU185" s="1332"/>
      <c r="VIV185" s="1332"/>
      <c r="VIW185" s="1332"/>
      <c r="VIX185" s="1332"/>
      <c r="VIY185" s="1332"/>
      <c r="VIZ185" s="1332"/>
      <c r="VJA185" s="1332"/>
      <c r="VJB185" s="1332"/>
      <c r="VJC185" s="1332"/>
      <c r="VJD185" s="1332"/>
      <c r="VJE185" s="1332"/>
      <c r="VJF185" s="1332"/>
      <c r="VJG185" s="1332"/>
      <c r="VJH185" s="1332"/>
      <c r="VJI185" s="1332"/>
      <c r="VJJ185" s="1332"/>
      <c r="VJK185" s="1332"/>
      <c r="VJL185" s="1332"/>
      <c r="VJM185" s="1332"/>
      <c r="VJN185" s="1332"/>
      <c r="VJO185" s="1332"/>
      <c r="VJP185" s="1332"/>
      <c r="VJQ185" s="1332"/>
      <c r="VJR185" s="1332"/>
      <c r="VJS185" s="1332"/>
      <c r="VJT185" s="1332"/>
      <c r="VJU185" s="1332"/>
      <c r="VJV185" s="1332"/>
      <c r="VJW185" s="1332"/>
      <c r="VJX185" s="1332"/>
      <c r="VJY185" s="1332"/>
      <c r="VJZ185" s="1332"/>
      <c r="VKA185" s="1332"/>
      <c r="VKB185" s="1332"/>
      <c r="VKC185" s="1332"/>
      <c r="VKD185" s="1332"/>
      <c r="VKE185" s="1332"/>
      <c r="VKF185" s="1332"/>
      <c r="VKG185" s="1332"/>
      <c r="VKH185" s="1332"/>
      <c r="VKI185" s="1332"/>
      <c r="VKJ185" s="1332"/>
      <c r="VKK185" s="1332"/>
      <c r="VKL185" s="1332"/>
      <c r="VKM185" s="1332"/>
      <c r="VKN185" s="1332"/>
      <c r="VKO185" s="1332"/>
      <c r="VKP185" s="1332"/>
      <c r="VKQ185" s="1332"/>
      <c r="VKR185" s="1332"/>
      <c r="VKS185" s="1332"/>
      <c r="VKT185" s="1332"/>
      <c r="VKU185" s="1332"/>
      <c r="VKV185" s="1332"/>
      <c r="VKW185" s="1332"/>
      <c r="VKX185" s="1332"/>
      <c r="VKY185" s="1332"/>
      <c r="VKZ185" s="1332"/>
      <c r="VLA185" s="1332"/>
      <c r="VLB185" s="1332"/>
      <c r="VLC185" s="1332"/>
      <c r="VLD185" s="1332"/>
      <c r="VLE185" s="1332"/>
      <c r="VLF185" s="1332"/>
      <c r="VLG185" s="1332"/>
      <c r="VLH185" s="1332"/>
      <c r="VLI185" s="1332"/>
      <c r="VLJ185" s="1332"/>
      <c r="VLK185" s="1332"/>
      <c r="VLL185" s="1332"/>
      <c r="VLM185" s="1332"/>
      <c r="VLN185" s="1332"/>
      <c r="VLO185" s="1332"/>
      <c r="VLP185" s="1332"/>
      <c r="VLQ185" s="1332"/>
      <c r="VLR185" s="1332"/>
      <c r="VLS185" s="1332"/>
      <c r="VLT185" s="1332"/>
      <c r="VLU185" s="1332"/>
      <c r="VLV185" s="1332"/>
      <c r="VLW185" s="1332"/>
      <c r="VLX185" s="1332"/>
      <c r="VLY185" s="1332"/>
      <c r="VLZ185" s="1332"/>
      <c r="VMA185" s="1332"/>
      <c r="VMB185" s="1332"/>
      <c r="VMC185" s="1332"/>
      <c r="VMD185" s="1332"/>
      <c r="VME185" s="1332"/>
      <c r="VMF185" s="1332"/>
      <c r="VMG185" s="1332"/>
      <c r="VMH185" s="1332"/>
      <c r="VMI185" s="1332"/>
      <c r="VMJ185" s="1332"/>
      <c r="VMK185" s="1332"/>
      <c r="VML185" s="1332"/>
      <c r="VMM185" s="1332"/>
      <c r="VMN185" s="1332"/>
      <c r="VMO185" s="1332"/>
      <c r="VMP185" s="1332"/>
      <c r="VMQ185" s="1332"/>
      <c r="VMR185" s="1332"/>
      <c r="VMS185" s="1332"/>
      <c r="VMT185" s="1332"/>
      <c r="VMU185" s="1332"/>
      <c r="VMV185" s="1332"/>
      <c r="VMW185" s="1332"/>
      <c r="VMX185" s="1332"/>
      <c r="VMY185" s="1332"/>
      <c r="VMZ185" s="1332"/>
      <c r="VNA185" s="1332"/>
      <c r="VNB185" s="1332"/>
      <c r="VNC185" s="1332"/>
      <c r="VND185" s="1332"/>
      <c r="VNE185" s="1332"/>
      <c r="VNF185" s="1332"/>
      <c r="VNG185" s="1332"/>
      <c r="VNH185" s="1332"/>
      <c r="VNI185" s="1332"/>
      <c r="VNJ185" s="1332"/>
      <c r="VNK185" s="1332"/>
      <c r="VNL185" s="1332"/>
      <c r="VNM185" s="1332"/>
      <c r="VNN185" s="1332"/>
      <c r="VNO185" s="1332"/>
      <c r="VNP185" s="1332"/>
      <c r="VNQ185" s="1332"/>
      <c r="VNR185" s="1332"/>
      <c r="VNS185" s="1332"/>
      <c r="VNT185" s="1332"/>
      <c r="VNU185" s="1332"/>
      <c r="VNV185" s="1332"/>
      <c r="VNW185" s="1332"/>
      <c r="VNX185" s="1332"/>
      <c r="VNY185" s="1332"/>
      <c r="VNZ185" s="1332"/>
      <c r="VOA185" s="1332"/>
      <c r="VOB185" s="1332"/>
      <c r="VOC185" s="1332"/>
      <c r="VOD185" s="1332"/>
      <c r="VOE185" s="1332"/>
      <c r="VOF185" s="1332"/>
      <c r="VOG185" s="1332"/>
      <c r="VOH185" s="1332"/>
      <c r="VOI185" s="1332"/>
      <c r="VOJ185" s="1332"/>
      <c r="VOK185" s="1332"/>
      <c r="VOL185" s="1332"/>
      <c r="VOM185" s="1332"/>
      <c r="VON185" s="1332"/>
      <c r="VOO185" s="1332"/>
      <c r="VOP185" s="1332"/>
      <c r="VOQ185" s="1332"/>
      <c r="VOR185" s="1332"/>
      <c r="VOS185" s="1332"/>
      <c r="VOT185" s="1332"/>
      <c r="VOU185" s="1332"/>
      <c r="VOV185" s="1332"/>
      <c r="VOW185" s="1332"/>
      <c r="VOX185" s="1332"/>
      <c r="VOY185" s="1332"/>
      <c r="VOZ185" s="1332"/>
      <c r="VPA185" s="1332"/>
      <c r="VPB185" s="1332"/>
      <c r="VPC185" s="1332"/>
      <c r="VPD185" s="1332"/>
      <c r="VPE185" s="1332"/>
      <c r="VPF185" s="1332"/>
      <c r="VPG185" s="1332"/>
      <c r="VPH185" s="1332"/>
      <c r="VPI185" s="1332"/>
      <c r="VPJ185" s="1332"/>
      <c r="VPK185" s="1332"/>
      <c r="VPL185" s="1332"/>
      <c r="VPM185" s="1332"/>
      <c r="VPN185" s="1332"/>
      <c r="VPO185" s="1332"/>
      <c r="VPP185" s="1332"/>
      <c r="VPQ185" s="1332"/>
      <c r="VPR185" s="1332"/>
      <c r="VPS185" s="1332"/>
      <c r="VPT185" s="1332"/>
      <c r="VPU185" s="1332"/>
      <c r="VPV185" s="1332"/>
      <c r="VPW185" s="1332"/>
      <c r="VPX185" s="1332"/>
      <c r="VPY185" s="1332"/>
      <c r="VPZ185" s="1332"/>
      <c r="VQA185" s="1332"/>
      <c r="VQB185" s="1332"/>
      <c r="VQC185" s="1332"/>
      <c r="VQD185" s="1332"/>
      <c r="VQE185" s="1332"/>
      <c r="VQF185" s="1332"/>
      <c r="VQG185" s="1332"/>
      <c r="VQH185" s="1332"/>
      <c r="VQI185" s="1332"/>
      <c r="VQJ185" s="1332"/>
      <c r="VQK185" s="1332"/>
      <c r="VQL185" s="1332"/>
      <c r="VQM185" s="1332"/>
      <c r="VQN185" s="1332"/>
      <c r="VQO185" s="1332"/>
      <c r="VQP185" s="1332"/>
      <c r="VQQ185" s="1332"/>
      <c r="VQR185" s="1332"/>
      <c r="VQS185" s="1332"/>
      <c r="VQT185" s="1332"/>
      <c r="VQU185" s="1332"/>
      <c r="VQV185" s="1332"/>
      <c r="VQW185" s="1332"/>
      <c r="VQX185" s="1332"/>
      <c r="VQY185" s="1332"/>
      <c r="VQZ185" s="1332"/>
      <c r="VRA185" s="1332"/>
      <c r="VRB185" s="1332"/>
      <c r="VRC185" s="1332"/>
      <c r="VRD185" s="1332"/>
      <c r="VRE185" s="1332"/>
      <c r="VRF185" s="1332"/>
      <c r="VRG185" s="1332"/>
      <c r="VRH185" s="1332"/>
      <c r="VRI185" s="1332"/>
      <c r="VRJ185" s="1332"/>
      <c r="VRK185" s="1332"/>
      <c r="VRL185" s="1332"/>
      <c r="VRM185" s="1332"/>
      <c r="VRN185" s="1332"/>
      <c r="VRO185" s="1332"/>
      <c r="VRP185" s="1332"/>
      <c r="VRQ185" s="1332"/>
      <c r="VRR185" s="1332"/>
      <c r="VRS185" s="1332"/>
      <c r="VRT185" s="1332"/>
      <c r="VRU185" s="1332"/>
      <c r="VRV185" s="1332"/>
      <c r="VRW185" s="1332"/>
      <c r="VRX185" s="1332"/>
      <c r="VRY185" s="1332"/>
      <c r="VRZ185" s="1332"/>
      <c r="VSA185" s="1332"/>
      <c r="VSB185" s="1332"/>
      <c r="VSC185" s="1332"/>
      <c r="VSD185" s="1332"/>
      <c r="VSE185" s="1332"/>
      <c r="VSF185" s="1332"/>
      <c r="VSG185" s="1332"/>
      <c r="VSH185" s="1332"/>
      <c r="VSI185" s="1332"/>
      <c r="VSJ185" s="1332"/>
      <c r="VSK185" s="1332"/>
      <c r="VSL185" s="1332"/>
      <c r="VSM185" s="1332"/>
      <c r="VSN185" s="1332"/>
      <c r="VSO185" s="1332"/>
      <c r="VSP185" s="1332"/>
      <c r="VSQ185" s="1332"/>
      <c r="VSR185" s="1332"/>
      <c r="VSS185" s="1332"/>
      <c r="VST185" s="1332"/>
      <c r="VSU185" s="1332"/>
      <c r="VSV185" s="1332"/>
      <c r="VSW185" s="1332"/>
      <c r="VSX185" s="1332"/>
      <c r="VSY185" s="1332"/>
      <c r="VSZ185" s="1332"/>
      <c r="VTA185" s="1332"/>
      <c r="VTB185" s="1332"/>
      <c r="VTC185" s="1332"/>
      <c r="VTD185" s="1332"/>
      <c r="VTE185" s="1332"/>
      <c r="VTF185" s="1332"/>
      <c r="VTG185" s="1332"/>
      <c r="VTH185" s="1332"/>
      <c r="VTI185" s="1332"/>
      <c r="VTJ185" s="1332"/>
      <c r="VTK185" s="1332"/>
      <c r="VTL185" s="1332"/>
      <c r="VTM185" s="1332"/>
      <c r="VTN185" s="1332"/>
      <c r="VTO185" s="1332"/>
      <c r="VTP185" s="1332"/>
      <c r="VTQ185" s="1332"/>
      <c r="VTR185" s="1332"/>
      <c r="VTS185" s="1332"/>
      <c r="VTT185" s="1332"/>
      <c r="VTU185" s="1332"/>
      <c r="VTV185" s="1332"/>
      <c r="VTW185" s="1332"/>
      <c r="VTX185" s="1332"/>
      <c r="VTY185" s="1332"/>
      <c r="VTZ185" s="1332"/>
      <c r="VUA185" s="1332"/>
      <c r="VUB185" s="1332"/>
      <c r="VUC185" s="1332"/>
      <c r="VUD185" s="1332"/>
      <c r="VUE185" s="1332"/>
      <c r="VUF185" s="1332"/>
      <c r="VUG185" s="1332"/>
      <c r="VUH185" s="1332"/>
      <c r="VUI185" s="1332"/>
      <c r="VUJ185" s="1332"/>
      <c r="VUK185" s="1332"/>
      <c r="VUL185" s="1332"/>
      <c r="VUM185" s="1332"/>
      <c r="VUN185" s="1332"/>
      <c r="VUO185" s="1332"/>
      <c r="VUP185" s="1332"/>
      <c r="VUQ185" s="1332"/>
      <c r="VUR185" s="1332"/>
      <c r="VUS185" s="1332"/>
      <c r="VUT185" s="1332"/>
      <c r="VUU185" s="1332"/>
      <c r="VUV185" s="1332"/>
      <c r="VUW185" s="1332"/>
      <c r="VUX185" s="1332"/>
      <c r="VUY185" s="1332"/>
      <c r="VUZ185" s="1332"/>
      <c r="VVA185" s="1332"/>
      <c r="VVB185" s="1332"/>
      <c r="VVC185" s="1332"/>
      <c r="VVD185" s="1332"/>
      <c r="VVE185" s="1332"/>
      <c r="VVF185" s="1332"/>
      <c r="VVG185" s="1332"/>
      <c r="VVH185" s="1332"/>
      <c r="VVI185" s="1332"/>
      <c r="VVJ185" s="1332"/>
      <c r="VVK185" s="1332"/>
      <c r="VVL185" s="1332"/>
      <c r="VVM185" s="1332"/>
      <c r="VVN185" s="1332"/>
      <c r="VVO185" s="1332"/>
      <c r="VVP185" s="1332"/>
      <c r="VVQ185" s="1332"/>
      <c r="VVR185" s="1332"/>
      <c r="VVS185" s="1332"/>
      <c r="VVT185" s="1332"/>
      <c r="VVU185" s="1332"/>
      <c r="VVV185" s="1332"/>
      <c r="VVW185" s="1332"/>
      <c r="VVX185" s="1332"/>
      <c r="VVY185" s="1332"/>
      <c r="VVZ185" s="1332"/>
      <c r="VWA185" s="1332"/>
      <c r="VWB185" s="1332"/>
      <c r="VWC185" s="1332"/>
      <c r="VWD185" s="1332"/>
      <c r="VWE185" s="1332"/>
      <c r="VWF185" s="1332"/>
      <c r="VWG185" s="1332"/>
      <c r="VWH185" s="1332"/>
      <c r="VWI185" s="1332"/>
      <c r="VWJ185" s="1332"/>
      <c r="VWK185" s="1332"/>
      <c r="VWL185" s="1332"/>
      <c r="VWM185" s="1332"/>
      <c r="VWN185" s="1332"/>
      <c r="VWO185" s="1332"/>
      <c r="VWP185" s="1332"/>
      <c r="VWQ185" s="1332"/>
      <c r="VWR185" s="1332"/>
      <c r="VWS185" s="1332"/>
      <c r="VWT185" s="1332"/>
      <c r="VWU185" s="1332"/>
      <c r="VWV185" s="1332"/>
      <c r="VWW185" s="1332"/>
      <c r="VWX185" s="1332"/>
      <c r="VWY185" s="1332"/>
      <c r="VWZ185" s="1332"/>
      <c r="VXA185" s="1332"/>
      <c r="VXB185" s="1332"/>
      <c r="VXC185" s="1332"/>
      <c r="VXD185" s="1332"/>
      <c r="VXE185" s="1332"/>
      <c r="VXF185" s="1332"/>
      <c r="VXG185" s="1332"/>
      <c r="VXH185" s="1332"/>
      <c r="VXI185" s="1332"/>
      <c r="VXJ185" s="1332"/>
      <c r="VXK185" s="1332"/>
      <c r="VXL185" s="1332"/>
      <c r="VXM185" s="1332"/>
      <c r="VXN185" s="1332"/>
      <c r="VXO185" s="1332"/>
      <c r="VXP185" s="1332"/>
      <c r="VXQ185" s="1332"/>
      <c r="VXR185" s="1332"/>
      <c r="VXS185" s="1332"/>
      <c r="VXT185" s="1332"/>
      <c r="VXU185" s="1332"/>
      <c r="VXV185" s="1332"/>
      <c r="VXW185" s="1332"/>
      <c r="VXX185" s="1332"/>
      <c r="VXY185" s="1332"/>
      <c r="VXZ185" s="1332"/>
      <c r="VYA185" s="1332"/>
      <c r="VYB185" s="1332"/>
      <c r="VYC185" s="1332"/>
      <c r="VYD185" s="1332"/>
      <c r="VYE185" s="1332"/>
      <c r="VYF185" s="1332"/>
      <c r="VYG185" s="1332"/>
      <c r="VYH185" s="1332"/>
      <c r="VYI185" s="1332"/>
      <c r="VYJ185" s="1332"/>
      <c r="VYK185" s="1332"/>
      <c r="VYL185" s="1332"/>
      <c r="VYM185" s="1332"/>
      <c r="VYN185" s="1332"/>
      <c r="VYO185" s="1332"/>
      <c r="VYP185" s="1332"/>
      <c r="VYQ185" s="1332"/>
      <c r="VYR185" s="1332"/>
      <c r="VYS185" s="1332"/>
      <c r="VYT185" s="1332"/>
      <c r="VYU185" s="1332"/>
      <c r="VYV185" s="1332"/>
      <c r="VYW185" s="1332"/>
      <c r="VYX185" s="1332"/>
      <c r="VYY185" s="1332"/>
      <c r="VYZ185" s="1332"/>
      <c r="VZA185" s="1332"/>
      <c r="VZB185" s="1332"/>
      <c r="VZC185" s="1332"/>
      <c r="VZD185" s="1332"/>
      <c r="VZE185" s="1332"/>
      <c r="VZF185" s="1332"/>
      <c r="VZG185" s="1332"/>
      <c r="VZH185" s="1332"/>
      <c r="VZI185" s="1332"/>
      <c r="VZJ185" s="1332"/>
      <c r="VZK185" s="1332"/>
      <c r="VZL185" s="1332"/>
      <c r="VZM185" s="1332"/>
      <c r="VZN185" s="1332"/>
      <c r="VZO185" s="1332"/>
      <c r="VZP185" s="1332"/>
      <c r="VZQ185" s="1332"/>
      <c r="VZR185" s="1332"/>
      <c r="VZS185" s="1332"/>
      <c r="VZT185" s="1332"/>
      <c r="VZU185" s="1332"/>
      <c r="VZV185" s="1332"/>
      <c r="VZW185" s="1332"/>
      <c r="VZX185" s="1332"/>
      <c r="VZY185" s="1332"/>
      <c r="VZZ185" s="1332"/>
      <c r="WAA185" s="1332"/>
      <c r="WAB185" s="1332"/>
      <c r="WAC185" s="1332"/>
      <c r="WAD185" s="1332"/>
      <c r="WAE185" s="1332"/>
      <c r="WAF185" s="1332"/>
      <c r="WAG185" s="1332"/>
      <c r="WAH185" s="1332"/>
      <c r="WAI185" s="1332"/>
      <c r="WAJ185" s="1332"/>
      <c r="WAK185" s="1332"/>
      <c r="WAL185" s="1332"/>
      <c r="WAM185" s="1332"/>
      <c r="WAN185" s="1332"/>
      <c r="WAO185" s="1332"/>
      <c r="WAP185" s="1332"/>
      <c r="WAQ185" s="1332"/>
      <c r="WAR185" s="1332"/>
      <c r="WAS185" s="1332"/>
      <c r="WAT185" s="1332"/>
      <c r="WAU185" s="1332"/>
      <c r="WAV185" s="1332"/>
      <c r="WAW185" s="1332"/>
      <c r="WAX185" s="1332"/>
      <c r="WAY185" s="1332"/>
      <c r="WAZ185" s="1332"/>
      <c r="WBA185" s="1332"/>
      <c r="WBB185" s="1332"/>
      <c r="WBC185" s="1332"/>
      <c r="WBD185" s="1332"/>
      <c r="WBE185" s="1332"/>
      <c r="WBF185" s="1332"/>
      <c r="WBG185" s="1332"/>
      <c r="WBH185" s="1332"/>
      <c r="WBI185" s="1332"/>
      <c r="WBJ185" s="1332"/>
      <c r="WBK185" s="1332"/>
      <c r="WBL185" s="1332"/>
      <c r="WBM185" s="1332"/>
      <c r="WBN185" s="1332"/>
      <c r="WBO185" s="1332"/>
      <c r="WBP185" s="1332"/>
      <c r="WBQ185" s="1332"/>
      <c r="WBR185" s="1332"/>
      <c r="WBS185" s="1332"/>
      <c r="WBT185" s="1332"/>
      <c r="WBU185" s="1332"/>
      <c r="WBV185" s="1332"/>
      <c r="WBW185" s="1332"/>
      <c r="WBX185" s="1332"/>
      <c r="WBY185" s="1332"/>
      <c r="WBZ185" s="1332"/>
      <c r="WCA185" s="1332"/>
      <c r="WCB185" s="1332"/>
      <c r="WCC185" s="1332"/>
      <c r="WCD185" s="1332"/>
      <c r="WCE185" s="1332"/>
      <c r="WCF185" s="1332"/>
      <c r="WCG185" s="1332"/>
      <c r="WCH185" s="1332"/>
      <c r="WCI185" s="1332"/>
      <c r="WCJ185" s="1332"/>
      <c r="WCK185" s="1332"/>
      <c r="WCL185" s="1332"/>
      <c r="WCM185" s="1332"/>
      <c r="WCN185" s="1332"/>
      <c r="WCO185" s="1332"/>
      <c r="WCP185" s="1332"/>
      <c r="WCQ185" s="1332"/>
      <c r="WCR185" s="1332"/>
      <c r="WCS185" s="1332"/>
      <c r="WCT185" s="1332"/>
      <c r="WCU185" s="1332"/>
      <c r="WCV185" s="1332"/>
      <c r="WCW185" s="1332"/>
      <c r="WCX185" s="1332"/>
      <c r="WCY185" s="1332"/>
      <c r="WCZ185" s="1332"/>
      <c r="WDA185" s="1332"/>
      <c r="WDB185" s="1332"/>
      <c r="WDC185" s="1332"/>
      <c r="WDD185" s="1332"/>
      <c r="WDE185" s="1332"/>
      <c r="WDF185" s="1332"/>
      <c r="WDG185" s="1332"/>
      <c r="WDH185" s="1332"/>
      <c r="WDI185" s="1332"/>
      <c r="WDJ185" s="1332"/>
      <c r="WDK185" s="1332"/>
      <c r="WDL185" s="1332"/>
      <c r="WDM185" s="1332"/>
      <c r="WDN185" s="1332"/>
      <c r="WDO185" s="1332"/>
      <c r="WDP185" s="1332"/>
      <c r="WDQ185" s="1332"/>
      <c r="WDR185" s="1332"/>
      <c r="WDS185" s="1332"/>
      <c r="WDT185" s="1332"/>
      <c r="WDU185" s="1332"/>
      <c r="WDV185" s="1332"/>
      <c r="WDW185" s="1332"/>
      <c r="WDX185" s="1332"/>
      <c r="WDY185" s="1332"/>
      <c r="WDZ185" s="1332"/>
      <c r="WEA185" s="1332"/>
      <c r="WEB185" s="1332"/>
      <c r="WEC185" s="1332"/>
      <c r="WED185" s="1332"/>
      <c r="WEE185" s="1332"/>
      <c r="WEF185" s="1332"/>
      <c r="WEG185" s="1332"/>
      <c r="WEH185" s="1332"/>
      <c r="WEI185" s="1332"/>
      <c r="WEJ185" s="1332"/>
      <c r="WEK185" s="1332"/>
      <c r="WEL185" s="1332"/>
      <c r="WEM185" s="1332"/>
      <c r="WEN185" s="1332"/>
      <c r="WEO185" s="1332"/>
      <c r="WEP185" s="1332"/>
      <c r="WEQ185" s="1332"/>
      <c r="WER185" s="1332"/>
      <c r="WES185" s="1332"/>
      <c r="WET185" s="1332"/>
      <c r="WEU185" s="1332"/>
      <c r="WEV185" s="1332"/>
      <c r="WEW185" s="1332"/>
      <c r="WEX185" s="1332"/>
      <c r="WEY185" s="1332"/>
      <c r="WEZ185" s="1332"/>
      <c r="WFA185" s="1332"/>
      <c r="WFB185" s="1332"/>
      <c r="WFC185" s="1332"/>
      <c r="WFD185" s="1332"/>
      <c r="WFE185" s="1332"/>
      <c r="WFF185" s="1332"/>
      <c r="WFG185" s="1332"/>
      <c r="WFH185" s="1332"/>
      <c r="WFI185" s="1332"/>
      <c r="WFJ185" s="1332"/>
      <c r="WFK185" s="1332"/>
      <c r="WFL185" s="1332"/>
      <c r="WFM185" s="1332"/>
      <c r="WFN185" s="1332"/>
      <c r="WFO185" s="1332"/>
      <c r="WFP185" s="1332"/>
      <c r="WFQ185" s="1332"/>
      <c r="WFR185" s="1332"/>
      <c r="WFS185" s="1332"/>
      <c r="WFT185" s="1332"/>
      <c r="WFU185" s="1332"/>
      <c r="WFV185" s="1332"/>
      <c r="WFW185" s="1332"/>
      <c r="WFX185" s="1332"/>
      <c r="WFY185" s="1332"/>
      <c r="WFZ185" s="1332"/>
      <c r="WGA185" s="1332"/>
      <c r="WGB185" s="1332"/>
      <c r="WGC185" s="1332"/>
      <c r="WGD185" s="1332"/>
      <c r="WGE185" s="1332"/>
      <c r="WGF185" s="1332"/>
      <c r="WGG185" s="1332"/>
      <c r="WGH185" s="1332"/>
      <c r="WGI185" s="1332"/>
      <c r="WGJ185" s="1332"/>
      <c r="WGK185" s="1332"/>
      <c r="WGL185" s="1332"/>
      <c r="WGM185" s="1332"/>
      <c r="WGN185" s="1332"/>
      <c r="WGO185" s="1332"/>
      <c r="WGP185" s="1332"/>
      <c r="WGQ185" s="1332"/>
      <c r="WGR185" s="1332"/>
      <c r="WGS185" s="1332"/>
      <c r="WGT185" s="1332"/>
      <c r="WGU185" s="1332"/>
      <c r="WGV185" s="1332"/>
      <c r="WGW185" s="1332"/>
      <c r="WGX185" s="1332"/>
      <c r="WGY185" s="1332"/>
      <c r="WGZ185" s="1332"/>
      <c r="WHA185" s="1332"/>
      <c r="WHB185" s="1332"/>
      <c r="WHC185" s="1332"/>
      <c r="WHD185" s="1332"/>
      <c r="WHE185" s="1332"/>
      <c r="WHF185" s="1332"/>
      <c r="WHG185" s="1332"/>
      <c r="WHH185" s="1332"/>
      <c r="WHI185" s="1332"/>
      <c r="WHJ185" s="1332"/>
      <c r="WHK185" s="1332"/>
      <c r="WHL185" s="1332"/>
      <c r="WHM185" s="1332"/>
      <c r="WHN185" s="1332"/>
      <c r="WHO185" s="1332"/>
      <c r="WHP185" s="1332"/>
      <c r="WHQ185" s="1332"/>
      <c r="WHR185" s="1332"/>
      <c r="WHS185" s="1332"/>
      <c r="WHT185" s="1332"/>
      <c r="WHU185" s="1332"/>
      <c r="WHV185" s="1332"/>
      <c r="WHW185" s="1332"/>
      <c r="WHX185" s="1332"/>
      <c r="WHY185" s="1332"/>
      <c r="WHZ185" s="1332"/>
      <c r="WIA185" s="1332"/>
      <c r="WIB185" s="1332"/>
      <c r="WIC185" s="1332"/>
      <c r="WID185" s="1332"/>
      <c r="WIE185" s="1332"/>
      <c r="WIF185" s="1332"/>
      <c r="WIG185" s="1332"/>
      <c r="WIH185" s="1332"/>
      <c r="WII185" s="1332"/>
      <c r="WIJ185" s="1332"/>
      <c r="WIK185" s="1332"/>
      <c r="WIL185" s="1332"/>
      <c r="WIM185" s="1332"/>
      <c r="WIN185" s="1332"/>
      <c r="WIO185" s="1332"/>
      <c r="WIP185" s="1332"/>
      <c r="WIQ185" s="1332"/>
      <c r="WIR185" s="1332"/>
      <c r="WIS185" s="1332"/>
      <c r="WIT185" s="1332"/>
      <c r="WIU185" s="1332"/>
      <c r="WIV185" s="1332"/>
      <c r="WIW185" s="1332"/>
      <c r="WIX185" s="1332"/>
      <c r="WIY185" s="1332"/>
      <c r="WIZ185" s="1332"/>
      <c r="WJA185" s="1332"/>
      <c r="WJB185" s="1332"/>
      <c r="WJC185" s="1332"/>
      <c r="WJD185" s="1332"/>
      <c r="WJE185" s="1332"/>
      <c r="WJF185" s="1332"/>
      <c r="WJG185" s="1332"/>
      <c r="WJH185" s="1332"/>
      <c r="WJI185" s="1332"/>
      <c r="WJJ185" s="1332"/>
      <c r="WJK185" s="1332"/>
      <c r="WJL185" s="1332"/>
      <c r="WJM185" s="1332"/>
      <c r="WJN185" s="1332"/>
      <c r="WJO185" s="1332"/>
      <c r="WJP185" s="1332"/>
      <c r="WJQ185" s="1332"/>
      <c r="WJR185" s="1332"/>
      <c r="WJS185" s="1332"/>
      <c r="WJT185" s="1332"/>
      <c r="WJU185" s="1332"/>
      <c r="WJV185" s="1332"/>
      <c r="WJW185" s="1332"/>
      <c r="WJX185" s="1332"/>
      <c r="WJY185" s="1332"/>
      <c r="WJZ185" s="1332"/>
      <c r="WKA185" s="1332"/>
      <c r="WKB185" s="1332"/>
      <c r="WKC185" s="1332"/>
      <c r="WKD185" s="1332"/>
      <c r="WKE185" s="1332"/>
      <c r="WKF185" s="1332"/>
      <c r="WKG185" s="1332"/>
      <c r="WKH185" s="1332"/>
      <c r="WKI185" s="1332"/>
      <c r="WKJ185" s="1332"/>
      <c r="WKK185" s="1332"/>
      <c r="WKL185" s="1332"/>
      <c r="WKM185" s="1332"/>
      <c r="WKN185" s="1332"/>
      <c r="WKO185" s="1332"/>
      <c r="WKP185" s="1332"/>
      <c r="WKQ185" s="1332"/>
      <c r="WKR185" s="1332"/>
      <c r="WKS185" s="1332"/>
      <c r="WKT185" s="1332"/>
      <c r="WKU185" s="1332"/>
      <c r="WKV185" s="1332"/>
      <c r="WKW185" s="1332"/>
      <c r="WKX185" s="1332"/>
      <c r="WKY185" s="1332"/>
      <c r="WKZ185" s="1332"/>
      <c r="WLA185" s="1332"/>
      <c r="WLB185" s="1332"/>
      <c r="WLC185" s="1332"/>
      <c r="WLD185" s="1332"/>
      <c r="WLE185" s="1332"/>
      <c r="WLF185" s="1332"/>
      <c r="WLG185" s="1332"/>
      <c r="WLH185" s="1332"/>
      <c r="WLI185" s="1332"/>
      <c r="WLJ185" s="1332"/>
      <c r="WLK185" s="1332"/>
      <c r="WLL185" s="1332"/>
      <c r="WLM185" s="1332"/>
      <c r="WLN185" s="1332"/>
      <c r="WLO185" s="1332"/>
      <c r="WLP185" s="1332"/>
      <c r="WLQ185" s="1332"/>
      <c r="WLR185" s="1332"/>
      <c r="WLS185" s="1332"/>
      <c r="WLT185" s="1332"/>
      <c r="WLU185" s="1332"/>
      <c r="WLV185" s="1332"/>
      <c r="WLW185" s="1332"/>
      <c r="WLX185" s="1332"/>
      <c r="WLY185" s="1332"/>
      <c r="WLZ185" s="1332"/>
      <c r="WMA185" s="1332"/>
      <c r="WMB185" s="1332"/>
      <c r="WMC185" s="1332"/>
      <c r="WMD185" s="1332"/>
      <c r="WME185" s="1332"/>
      <c r="WMF185" s="1332"/>
      <c r="WMG185" s="1332"/>
      <c r="WMH185" s="1332"/>
      <c r="WMI185" s="1332"/>
      <c r="WMJ185" s="1332"/>
      <c r="WMK185" s="1332"/>
      <c r="WML185" s="1332"/>
      <c r="WMM185" s="1332"/>
      <c r="WMN185" s="1332"/>
      <c r="WMO185" s="1332"/>
      <c r="WMP185" s="1332"/>
      <c r="WMQ185" s="1332"/>
      <c r="WMR185" s="1332"/>
      <c r="WMS185" s="1332"/>
      <c r="WMT185" s="1332"/>
      <c r="WMU185" s="1332"/>
      <c r="WMV185" s="1332"/>
      <c r="WMW185" s="1332"/>
      <c r="WMX185" s="1332"/>
      <c r="WMY185" s="1332"/>
      <c r="WMZ185" s="1332"/>
      <c r="WNA185" s="1332"/>
      <c r="WNB185" s="1332"/>
      <c r="WNC185" s="1332"/>
      <c r="WND185" s="1332"/>
      <c r="WNE185" s="1332"/>
      <c r="WNF185" s="1332"/>
      <c r="WNG185" s="1332"/>
      <c r="WNH185" s="1332"/>
      <c r="WNI185" s="1332"/>
      <c r="WNJ185" s="1332"/>
      <c r="WNK185" s="1332"/>
      <c r="WNL185" s="1332"/>
      <c r="WNM185" s="1332"/>
      <c r="WNN185" s="1332"/>
      <c r="WNO185" s="1332"/>
      <c r="WNP185" s="1332"/>
      <c r="WNQ185" s="1332"/>
      <c r="WNR185" s="1332"/>
      <c r="WNS185" s="1332"/>
      <c r="WNT185" s="1332"/>
      <c r="WNU185" s="1332"/>
      <c r="WNV185" s="1332"/>
      <c r="WNW185" s="1332"/>
      <c r="WNX185" s="1332"/>
      <c r="WNY185" s="1332"/>
      <c r="WNZ185" s="1332"/>
      <c r="WOA185" s="1332"/>
      <c r="WOB185" s="1332"/>
      <c r="WOC185" s="1332"/>
      <c r="WOD185" s="1332"/>
      <c r="WOE185" s="1332"/>
      <c r="WOF185" s="1332"/>
      <c r="WOG185" s="1332"/>
      <c r="WOH185" s="1332"/>
      <c r="WOI185" s="1332"/>
      <c r="WOJ185" s="1332"/>
      <c r="WOK185" s="1332"/>
      <c r="WOL185" s="1332"/>
      <c r="WOM185" s="1332"/>
      <c r="WON185" s="1332"/>
      <c r="WOO185" s="1332"/>
      <c r="WOP185" s="1332"/>
      <c r="WOQ185" s="1332"/>
      <c r="WOR185" s="1332"/>
      <c r="WOS185" s="1332"/>
      <c r="WOT185" s="1332"/>
      <c r="WOU185" s="1332"/>
      <c r="WOV185" s="1332"/>
      <c r="WOW185" s="1332"/>
      <c r="WOX185" s="1332"/>
      <c r="WOY185" s="1332"/>
      <c r="WOZ185" s="1332"/>
      <c r="WPA185" s="1332"/>
      <c r="WPB185" s="1332"/>
      <c r="WPC185" s="1332"/>
      <c r="WPD185" s="1332"/>
      <c r="WPE185" s="1332"/>
      <c r="WPF185" s="1332"/>
      <c r="WPG185" s="1332"/>
      <c r="WPH185" s="1332"/>
      <c r="WPI185" s="1332"/>
      <c r="WPJ185" s="1332"/>
      <c r="WPK185" s="1332"/>
      <c r="WPL185" s="1332"/>
      <c r="WPM185" s="1332"/>
      <c r="WPN185" s="1332"/>
      <c r="WPO185" s="1332"/>
      <c r="WPP185" s="1332"/>
      <c r="WPQ185" s="1332"/>
      <c r="WPR185" s="1332"/>
      <c r="WPS185" s="1332"/>
      <c r="WPT185" s="1332"/>
      <c r="WPU185" s="1332"/>
      <c r="WPV185" s="1332"/>
      <c r="WPW185" s="1332"/>
      <c r="WPX185" s="1332"/>
      <c r="WPY185" s="1332"/>
      <c r="WPZ185" s="1332"/>
      <c r="WQA185" s="1332"/>
      <c r="WQB185" s="1332"/>
      <c r="WQC185" s="1332"/>
      <c r="WQD185" s="1332"/>
      <c r="WQE185" s="1332"/>
      <c r="WQF185" s="1332"/>
      <c r="WQG185" s="1332"/>
      <c r="WQH185" s="1332"/>
      <c r="WQI185" s="1332"/>
      <c r="WQJ185" s="1332"/>
      <c r="WQK185" s="1332"/>
      <c r="WQL185" s="1332"/>
      <c r="WQM185" s="1332"/>
      <c r="WQN185" s="1332"/>
      <c r="WQO185" s="1332"/>
      <c r="WQP185" s="1332"/>
      <c r="WQQ185" s="1332"/>
      <c r="WQR185" s="1332"/>
      <c r="WQS185" s="1332"/>
      <c r="WQT185" s="1332"/>
      <c r="WQU185" s="1332"/>
      <c r="WQV185" s="1332"/>
      <c r="WQW185" s="1332"/>
      <c r="WQX185" s="1332"/>
      <c r="WQY185" s="1332"/>
      <c r="WQZ185" s="1332"/>
      <c r="WRA185" s="1332"/>
      <c r="WRB185" s="1332"/>
      <c r="WRC185" s="1332"/>
      <c r="WRD185" s="1332"/>
      <c r="WRE185" s="1332"/>
      <c r="WRF185" s="1332"/>
      <c r="WRG185" s="1332"/>
      <c r="WRH185" s="1332"/>
      <c r="WRI185" s="1332"/>
      <c r="WRJ185" s="1332"/>
      <c r="WRK185" s="1332"/>
      <c r="WRL185" s="1332"/>
      <c r="WRM185" s="1332"/>
      <c r="WRN185" s="1332"/>
      <c r="WRO185" s="1332"/>
      <c r="WRP185" s="1332"/>
      <c r="WRQ185" s="1332"/>
      <c r="WRR185" s="1332"/>
      <c r="WRS185" s="1332"/>
      <c r="WRT185" s="1332"/>
      <c r="WRU185" s="1332"/>
      <c r="WRV185" s="1332"/>
      <c r="WRW185" s="1332"/>
      <c r="WRX185" s="1332"/>
      <c r="WRY185" s="1332"/>
      <c r="WRZ185" s="1332"/>
      <c r="WSA185" s="1332"/>
      <c r="WSB185" s="1332"/>
      <c r="WSC185" s="1332"/>
      <c r="WSD185" s="1332"/>
      <c r="WSE185" s="1332"/>
      <c r="WSF185" s="1332"/>
      <c r="WSG185" s="1332"/>
      <c r="WSH185" s="1332"/>
      <c r="WSI185" s="1332"/>
      <c r="WSJ185" s="1332"/>
      <c r="WSK185" s="1332"/>
      <c r="WSL185" s="1332"/>
      <c r="WSM185" s="1332"/>
      <c r="WSN185" s="1332"/>
      <c r="WSO185" s="1332"/>
      <c r="WSP185" s="1332"/>
      <c r="WSQ185" s="1332"/>
      <c r="WSR185" s="1332"/>
      <c r="WSS185" s="1332"/>
      <c r="WST185" s="1332"/>
      <c r="WSU185" s="1332"/>
      <c r="WSV185" s="1332"/>
      <c r="WSW185" s="1332"/>
      <c r="WSX185" s="1332"/>
      <c r="WSY185" s="1332"/>
      <c r="WSZ185" s="1332"/>
      <c r="WTA185" s="1332"/>
      <c r="WTB185" s="1332"/>
      <c r="WTC185" s="1332"/>
      <c r="WTD185" s="1332"/>
      <c r="WTE185" s="1332"/>
      <c r="WTF185" s="1332"/>
      <c r="WTG185" s="1332"/>
      <c r="WTH185" s="1332"/>
      <c r="WTI185" s="1332"/>
      <c r="WTJ185" s="1332"/>
      <c r="WTK185" s="1332"/>
      <c r="WTL185" s="1332"/>
      <c r="WTM185" s="1332"/>
      <c r="WTN185" s="1332"/>
      <c r="WTO185" s="1332"/>
      <c r="WTP185" s="1332"/>
      <c r="WTQ185" s="1332"/>
      <c r="WTR185" s="1332"/>
      <c r="WTS185" s="1332"/>
      <c r="WTT185" s="1332"/>
      <c r="WTU185" s="1332"/>
      <c r="WTV185" s="1332"/>
      <c r="WTW185" s="1332"/>
      <c r="WTX185" s="1332"/>
      <c r="WTY185" s="1332"/>
      <c r="WTZ185" s="1332"/>
      <c r="WUA185" s="1332"/>
      <c r="WUB185" s="1332"/>
      <c r="WUC185" s="1332"/>
      <c r="WUD185" s="1332"/>
      <c r="WUE185" s="1332"/>
      <c r="WUF185" s="1332"/>
      <c r="WUG185" s="1332"/>
      <c r="WUH185" s="1332"/>
      <c r="WUI185" s="1332"/>
      <c r="WUJ185" s="1332"/>
      <c r="WUK185" s="1332"/>
      <c r="WUL185" s="1332"/>
      <c r="WUM185" s="1332"/>
      <c r="WUN185" s="1332"/>
      <c r="WUO185" s="1332"/>
      <c r="WUP185" s="1332"/>
      <c r="WUQ185" s="1332"/>
      <c r="WUR185" s="1332"/>
      <c r="WUS185" s="1332"/>
      <c r="WUT185" s="1332"/>
      <c r="WUU185" s="1332"/>
      <c r="WUV185" s="1332"/>
      <c r="WUW185" s="1332"/>
      <c r="WUX185" s="1332"/>
      <c r="WUY185" s="1332"/>
      <c r="WUZ185" s="1332"/>
      <c r="WVA185" s="1332"/>
      <c r="WVB185" s="1332"/>
      <c r="WVC185" s="1332"/>
      <c r="WVD185" s="1332"/>
      <c r="WVE185" s="1332"/>
      <c r="WVF185" s="1332"/>
      <c r="WVG185" s="1332"/>
      <c r="WVH185" s="1332"/>
      <c r="WVI185" s="1332"/>
      <c r="WVJ185" s="1332"/>
      <c r="WVK185" s="1332"/>
      <c r="WVL185" s="1332"/>
      <c r="WVM185" s="1332"/>
      <c r="WVN185" s="1332"/>
      <c r="WVO185" s="1332"/>
      <c r="WVP185" s="1332"/>
      <c r="WVQ185" s="1332"/>
      <c r="WVR185" s="1332"/>
      <c r="WVS185" s="1332"/>
      <c r="WVT185" s="1332"/>
      <c r="WVU185" s="1332"/>
      <c r="WVV185" s="1332"/>
      <c r="WVW185" s="1332"/>
      <c r="WVX185" s="1332"/>
      <c r="WVY185" s="1332"/>
      <c r="WVZ185" s="1332"/>
      <c r="WWA185" s="1332"/>
      <c r="WWB185" s="1332"/>
      <c r="WWC185" s="1332"/>
      <c r="WWD185" s="1332"/>
      <c r="WWE185" s="1332"/>
      <c r="WWF185" s="1332"/>
      <c r="WWG185" s="1332"/>
      <c r="WWH185" s="1332"/>
      <c r="WWI185" s="1332"/>
      <c r="WWJ185" s="1332"/>
      <c r="WWK185" s="1332"/>
      <c r="WWL185" s="1332"/>
      <c r="WWM185" s="1332"/>
      <c r="WWN185" s="1332"/>
      <c r="WWO185" s="1332"/>
      <c r="WWP185" s="1332"/>
      <c r="WWQ185" s="1332"/>
      <c r="WWR185" s="1332"/>
      <c r="WWS185" s="1332"/>
      <c r="WWT185" s="1332"/>
      <c r="WWU185" s="1332"/>
      <c r="WWV185" s="1332"/>
      <c r="WWW185" s="1332"/>
      <c r="WWX185" s="1332"/>
      <c r="WWY185" s="1332"/>
      <c r="WWZ185" s="1332"/>
      <c r="WXA185" s="1332"/>
      <c r="WXB185" s="1332"/>
      <c r="WXC185" s="1332"/>
      <c r="WXD185" s="1332"/>
      <c r="WXE185" s="1332"/>
      <c r="WXF185" s="1332"/>
      <c r="WXG185" s="1332"/>
      <c r="WXH185" s="1332"/>
      <c r="WXI185" s="1332"/>
      <c r="WXJ185" s="1332"/>
      <c r="WXK185" s="1332"/>
      <c r="WXL185" s="1332"/>
      <c r="WXM185" s="1332"/>
      <c r="WXN185" s="1332"/>
      <c r="WXO185" s="1332"/>
      <c r="WXP185" s="1332"/>
      <c r="WXQ185" s="1332"/>
      <c r="WXR185" s="1332"/>
      <c r="WXS185" s="1332"/>
      <c r="WXT185" s="1332"/>
      <c r="WXU185" s="1332"/>
      <c r="WXV185" s="1332"/>
      <c r="WXW185" s="1332"/>
      <c r="WXX185" s="1332"/>
      <c r="WXY185" s="1332"/>
      <c r="WXZ185" s="1332"/>
      <c r="WYA185" s="1332"/>
      <c r="WYB185" s="1332"/>
      <c r="WYC185" s="1332"/>
      <c r="WYD185" s="1332"/>
      <c r="WYE185" s="1332"/>
      <c r="WYF185" s="1332"/>
      <c r="WYG185" s="1332"/>
      <c r="WYH185" s="1332"/>
      <c r="WYI185" s="1332"/>
      <c r="WYJ185" s="1332"/>
      <c r="WYK185" s="1332"/>
      <c r="WYL185" s="1332"/>
      <c r="WYM185" s="1332"/>
      <c r="WYN185" s="1332"/>
      <c r="WYO185" s="1332"/>
      <c r="WYP185" s="1332"/>
      <c r="WYQ185" s="1332"/>
      <c r="WYR185" s="1332"/>
      <c r="WYS185" s="1332"/>
      <c r="WYT185" s="1332"/>
      <c r="WYU185" s="1332"/>
      <c r="WYV185" s="1332"/>
      <c r="WYW185" s="1332"/>
      <c r="WYX185" s="1332"/>
      <c r="WYY185" s="1332"/>
      <c r="WYZ185" s="1332"/>
      <c r="WZA185" s="1332"/>
      <c r="WZB185" s="1332"/>
      <c r="WZC185" s="1332"/>
      <c r="WZD185" s="1332"/>
      <c r="WZE185" s="1332"/>
      <c r="WZF185" s="1332"/>
      <c r="WZG185" s="1332"/>
      <c r="WZH185" s="1332"/>
      <c r="WZI185" s="1332"/>
      <c r="WZJ185" s="1332"/>
      <c r="WZK185" s="1332"/>
      <c r="WZL185" s="1332"/>
      <c r="WZM185" s="1332"/>
      <c r="WZN185" s="1332"/>
      <c r="WZO185" s="1332"/>
      <c r="WZP185" s="1332"/>
      <c r="WZQ185" s="1332"/>
      <c r="WZR185" s="1332"/>
      <c r="WZS185" s="1332"/>
      <c r="WZT185" s="1332"/>
      <c r="WZU185" s="1332"/>
      <c r="WZV185" s="1332"/>
      <c r="WZW185" s="1332"/>
      <c r="WZX185" s="1332"/>
      <c r="WZY185" s="1332"/>
      <c r="WZZ185" s="1332"/>
      <c r="XAA185" s="1332"/>
      <c r="XAB185" s="1332"/>
      <c r="XAC185" s="1332"/>
      <c r="XAD185" s="1332"/>
      <c r="XAE185" s="1332"/>
      <c r="XAF185" s="1332"/>
      <c r="XAG185" s="1332"/>
      <c r="XAH185" s="1332"/>
      <c r="XAI185" s="1332"/>
      <c r="XAJ185" s="1332"/>
      <c r="XAK185" s="1332"/>
      <c r="XAL185" s="1332"/>
      <c r="XAM185" s="1332"/>
      <c r="XAN185" s="1332"/>
      <c r="XAO185" s="1332"/>
      <c r="XAP185" s="1332"/>
      <c r="XAQ185" s="1332"/>
      <c r="XAR185" s="1332"/>
      <c r="XAS185" s="1332"/>
      <c r="XAT185" s="1332"/>
      <c r="XAU185" s="1332"/>
      <c r="XAV185" s="1332"/>
      <c r="XAW185" s="1332"/>
      <c r="XAX185" s="1332"/>
      <c r="XAY185" s="1332"/>
      <c r="XAZ185" s="1332"/>
      <c r="XBA185" s="1332"/>
      <c r="XBB185" s="1332"/>
      <c r="XBC185" s="1332"/>
      <c r="XBD185" s="1332"/>
      <c r="XBE185" s="1332"/>
      <c r="XBF185" s="1332"/>
      <c r="XBG185" s="1332"/>
      <c r="XBH185" s="1332"/>
      <c r="XBI185" s="1332"/>
      <c r="XBJ185" s="1332"/>
      <c r="XBK185" s="1332"/>
      <c r="XBL185" s="1332"/>
      <c r="XBM185" s="1332"/>
      <c r="XBN185" s="1332"/>
      <c r="XBO185" s="1332"/>
      <c r="XBP185" s="1332"/>
      <c r="XBQ185" s="1332"/>
      <c r="XBR185" s="1332"/>
      <c r="XBS185" s="1332"/>
      <c r="XBT185" s="1332"/>
      <c r="XBU185" s="1332"/>
      <c r="XBV185" s="1332"/>
      <c r="XBW185" s="1332"/>
      <c r="XBX185" s="1332"/>
      <c r="XBY185" s="1332"/>
      <c r="XBZ185" s="1332"/>
      <c r="XCA185" s="1332"/>
      <c r="XCB185" s="1332"/>
      <c r="XCC185" s="1332"/>
      <c r="XCD185" s="1332"/>
      <c r="XCE185" s="1332"/>
      <c r="XCF185" s="1332"/>
      <c r="XCG185" s="1332"/>
      <c r="XCH185" s="1332"/>
      <c r="XCI185" s="1332"/>
      <c r="XCJ185" s="1332"/>
      <c r="XCK185" s="1332"/>
      <c r="XCL185" s="1332"/>
      <c r="XCM185" s="1332"/>
      <c r="XCN185" s="1332"/>
      <c r="XCO185" s="1332"/>
      <c r="XCP185" s="1332"/>
      <c r="XCQ185" s="1332"/>
      <c r="XCR185" s="1332"/>
      <c r="XCS185" s="1332"/>
      <c r="XCT185" s="1332"/>
      <c r="XCU185" s="1332"/>
      <c r="XCV185" s="1332"/>
      <c r="XCW185" s="1332"/>
      <c r="XCX185" s="1332"/>
      <c r="XCY185" s="1332"/>
      <c r="XCZ185" s="1332"/>
      <c r="XDA185" s="1332"/>
      <c r="XDB185" s="1332"/>
      <c r="XDC185" s="1332"/>
      <c r="XDD185" s="1332"/>
      <c r="XDE185" s="1332"/>
      <c r="XDF185" s="1332"/>
      <c r="XDG185" s="1332"/>
      <c r="XDH185" s="1332"/>
      <c r="XDI185" s="1332"/>
      <c r="XDJ185" s="1332"/>
      <c r="XDK185" s="1332"/>
      <c r="XDL185" s="1332"/>
      <c r="XDM185" s="1332"/>
      <c r="XDN185" s="1332"/>
      <c r="XDO185" s="1332"/>
      <c r="XDP185" s="1332"/>
      <c r="XDQ185" s="1332"/>
      <c r="XDR185" s="1332"/>
      <c r="XDS185" s="1332"/>
      <c r="XDT185" s="1332"/>
      <c r="XDU185" s="1332"/>
      <c r="XDV185" s="1332"/>
      <c r="XDW185" s="1332"/>
      <c r="XDX185" s="1332"/>
      <c r="XDY185" s="1332"/>
      <c r="XDZ185" s="1332"/>
      <c r="XEA185" s="1332"/>
      <c r="XEB185" s="1332"/>
      <c r="XEC185" s="1332"/>
      <c r="XED185" s="1332"/>
      <c r="XEE185" s="1332"/>
      <c r="XEF185" s="1332"/>
      <c r="XEG185" s="1332"/>
      <c r="XEH185" s="1332"/>
      <c r="XEI185" s="1332"/>
      <c r="XEJ185" s="1332"/>
      <c r="XEK185" s="1332"/>
      <c r="XEL185" s="1332"/>
      <c r="XEM185" s="1332"/>
      <c r="XEN185" s="1332"/>
      <c r="XEO185" s="1332"/>
      <c r="XEP185" s="1332"/>
      <c r="XEQ185" s="1332"/>
      <c r="XER185" s="1332"/>
      <c r="XES185" s="1332"/>
      <c r="XET185" s="1332"/>
      <c r="XEU185" s="1332"/>
      <c r="XEV185" s="1332"/>
      <c r="XEW185" s="1332"/>
      <c r="XEX185" s="1332"/>
      <c r="XEY185" s="1332"/>
      <c r="XEZ185" s="1332"/>
      <c r="XFA185" s="1332"/>
      <c r="XFB185" s="1332"/>
      <c r="XFC185" s="1332"/>
      <c r="XFD185" s="1332"/>
    </row>
    <row r="186" spans="1:16384">
      <c r="A186" s="1333"/>
      <c r="B186" s="1334"/>
      <c r="C186" s="1333"/>
      <c r="D186" s="954"/>
      <c r="E186" s="954"/>
      <c r="F186" s="1335"/>
      <c r="G186" s="1335"/>
      <c r="H186" s="1333"/>
      <c r="I186" s="1333"/>
      <c r="J186" s="605"/>
      <c r="K186" s="1340"/>
      <c r="L186" s="954"/>
      <c r="M186" s="1339"/>
      <c r="N186" s="1339"/>
      <c r="O186" s="1339"/>
      <c r="P186" s="1339"/>
      <c r="Q186" s="1339"/>
      <c r="R186" s="1339"/>
      <c r="S186" s="1333"/>
      <c r="T186" s="1333"/>
      <c r="U186" s="1333"/>
      <c r="V186" s="1333"/>
      <c r="W186" s="1333"/>
      <c r="X186" s="1333"/>
      <c r="Y186" s="1333"/>
      <c r="Z186" s="1333"/>
      <c r="AA186" s="1333"/>
      <c r="AB186" s="1333"/>
      <c r="AC186" s="1333"/>
      <c r="AD186" s="1333"/>
      <c r="AE186" s="1333"/>
      <c r="AF186" s="1333"/>
      <c r="AG186" s="1333"/>
      <c r="AH186" s="1333"/>
      <c r="AI186" s="1333"/>
      <c r="AJ186" s="1333"/>
    </row>
    <row r="187" spans="1:16384" ht="37">
      <c r="A187" s="1333"/>
      <c r="B187" s="1849" t="s">
        <v>3707</v>
      </c>
      <c r="C187" s="1849"/>
      <c r="D187" s="1849"/>
      <c r="E187" s="954"/>
      <c r="F187" s="1335"/>
      <c r="G187" s="1335"/>
      <c r="H187" s="1333"/>
      <c r="I187" s="1333"/>
      <c r="J187" s="605"/>
      <c r="K187" s="1339"/>
      <c r="L187" s="1923" t="s">
        <v>3708</v>
      </c>
      <c r="M187" s="1925"/>
      <c r="N187" s="1339"/>
      <c r="O187" s="1339"/>
      <c r="P187" s="1339"/>
      <c r="Q187" s="1339"/>
      <c r="R187" s="1339"/>
      <c r="S187" s="1923" t="s">
        <v>3710</v>
      </c>
      <c r="T187" s="1924"/>
      <c r="U187" s="1925"/>
      <c r="V187" s="1333"/>
      <c r="W187" s="1333"/>
      <c r="X187" s="1333"/>
      <c r="Y187" s="1333"/>
      <c r="Z187" s="1333"/>
      <c r="AA187" s="1333"/>
      <c r="AB187" s="1333"/>
      <c r="AC187" s="1333"/>
      <c r="AD187" s="1333"/>
      <c r="AE187" s="1333"/>
      <c r="AF187" s="1333"/>
      <c r="AG187" s="1333"/>
      <c r="AH187" s="1333"/>
      <c r="AI187" s="1333"/>
      <c r="AJ187" s="1333"/>
    </row>
    <row r="188" spans="1:16384" ht="11" customHeight="1">
      <c r="A188" s="1333"/>
      <c r="B188" s="1334"/>
      <c r="C188" s="1336"/>
      <c r="D188" s="954"/>
      <c r="E188" s="954"/>
      <c r="F188" s="1337"/>
      <c r="G188" s="1335"/>
      <c r="H188" s="1333"/>
      <c r="I188" s="1333"/>
      <c r="J188" s="605"/>
      <c r="K188" s="1333"/>
      <c r="L188" s="1333"/>
      <c r="M188" s="1339"/>
      <c r="N188" s="1339"/>
      <c r="O188" s="1339"/>
      <c r="P188" s="1339"/>
      <c r="Q188" s="1339"/>
      <c r="R188" s="1339"/>
      <c r="S188" s="1333"/>
      <c r="T188" s="1333"/>
      <c r="U188" s="1333"/>
      <c r="V188" s="1333"/>
      <c r="W188" s="1333"/>
      <c r="X188" s="1333"/>
      <c r="Y188" s="1333"/>
      <c r="Z188" s="1333"/>
      <c r="AA188" s="1333"/>
      <c r="AB188" s="1333"/>
      <c r="AC188" s="1333"/>
      <c r="AD188" s="1333"/>
      <c r="AE188" s="1333"/>
      <c r="AF188" s="1333"/>
      <c r="AG188" s="1333"/>
      <c r="AH188" s="1333"/>
      <c r="AI188" s="1333"/>
      <c r="AJ188" s="1333"/>
    </row>
    <row r="189" spans="1:16384" ht="16" customHeight="1">
      <c r="A189" s="1333"/>
      <c r="B189" s="1334"/>
      <c r="C189" s="1336"/>
      <c r="D189" s="1336"/>
      <c r="E189" s="1336"/>
      <c r="F189" s="1338"/>
      <c r="G189" s="1338"/>
      <c r="H189" s="1338"/>
      <c r="I189" s="1333"/>
      <c r="J189" s="605"/>
      <c r="K189" s="1339"/>
      <c r="L189" s="1775" t="s">
        <v>3300</v>
      </c>
      <c r="M189" s="1775"/>
      <c r="N189" s="907"/>
      <c r="O189" s="907"/>
      <c r="P189" s="907"/>
      <c r="Q189" s="907"/>
      <c r="R189" s="1333"/>
      <c r="S189" s="907"/>
      <c r="T189" s="907"/>
      <c r="U189" s="907"/>
      <c r="V189" s="907"/>
      <c r="W189" s="907"/>
      <c r="X189" s="907"/>
      <c r="Y189" s="907"/>
      <c r="Z189" s="907"/>
      <c r="AA189" s="907"/>
      <c r="AB189" s="907"/>
      <c r="AC189" s="907"/>
      <c r="AD189" s="907"/>
      <c r="AE189" s="907"/>
      <c r="AF189" s="907"/>
      <c r="AG189" s="907"/>
      <c r="AH189" s="907"/>
      <c r="AI189" s="907"/>
      <c r="AJ189" s="907"/>
    </row>
    <row r="190" spans="1:16384" ht="16" customHeight="1">
      <c r="A190" s="1333"/>
      <c r="B190" s="1334"/>
      <c r="C190" s="1336"/>
      <c r="D190" s="1774" t="e">
        <f>ROUND(100*($N$208+$O$208)/($X$207+$Y$207),0)&amp;"%"</f>
        <v>#N/A</v>
      </c>
      <c r="E190" s="1774"/>
      <c r="F190" s="1773" t="e">
        <f>"Your air pollution footprint is "&amp;D190&amp;"% of the average person in the UK."</f>
        <v>#N/A</v>
      </c>
      <c r="G190" s="1773"/>
      <c r="H190" s="1773"/>
      <c r="I190" s="1333"/>
      <c r="J190" s="605"/>
      <c r="K190" s="1339"/>
      <c r="L190" s="1775"/>
      <c r="M190" s="1775"/>
      <c r="N190" s="1345"/>
      <c r="O190" s="907"/>
      <c r="P190" s="907"/>
      <c r="Q190" s="907"/>
      <c r="R190" s="1333"/>
      <c r="S190" s="907"/>
      <c r="T190" s="1922" t="s">
        <v>3553</v>
      </c>
      <c r="U190" s="1922"/>
      <c r="V190" s="1922"/>
      <c r="W190" s="1922"/>
      <c r="X190" s="907"/>
      <c r="Y190" s="1441" t="s">
        <v>3710</v>
      </c>
      <c r="Z190" s="907"/>
      <c r="AA190" s="907"/>
      <c r="AB190" s="907"/>
      <c r="AC190" s="907"/>
      <c r="AD190" s="907"/>
      <c r="AE190" s="907"/>
      <c r="AF190" s="907"/>
      <c r="AG190" s="907"/>
      <c r="AH190" s="907"/>
      <c r="AI190" s="907"/>
      <c r="AJ190" s="907"/>
    </row>
    <row r="191" spans="1:16384" ht="16" customHeight="1">
      <c r="A191" s="1333"/>
      <c r="B191" s="1334"/>
      <c r="C191" s="1336"/>
      <c r="D191" s="1774"/>
      <c r="E191" s="1774"/>
      <c r="F191" s="1773"/>
      <c r="G191" s="1773"/>
      <c r="H191" s="1773"/>
      <c r="I191" s="1333"/>
      <c r="J191" s="605"/>
      <c r="K191" s="1339"/>
      <c r="L191" s="1441" t="s">
        <v>3708</v>
      </c>
      <c r="M191" s="1344"/>
      <c r="N191" s="1345"/>
      <c r="O191" s="907"/>
      <c r="P191" s="907"/>
      <c r="Q191" s="907"/>
      <c r="R191" s="1333"/>
      <c r="S191" s="907"/>
      <c r="T191" s="1922"/>
      <c r="U191" s="1922"/>
      <c r="V191" s="1922"/>
      <c r="W191" s="1922"/>
      <c r="X191" s="907"/>
      <c r="Y191" s="1441" t="s">
        <v>3711</v>
      </c>
      <c r="Z191" s="907"/>
      <c r="AA191" s="907"/>
      <c r="AB191" s="907"/>
      <c r="AC191" s="907"/>
      <c r="AD191" s="907"/>
      <c r="AE191" s="907"/>
      <c r="AF191" s="907"/>
      <c r="AG191" s="907"/>
      <c r="AH191" s="907"/>
      <c r="AI191" s="907"/>
      <c r="AJ191" s="907"/>
    </row>
    <row r="192" spans="1:16384" ht="16" customHeight="1">
      <c r="A192" s="1333"/>
      <c r="B192" s="1334"/>
      <c r="C192" s="1336"/>
      <c r="D192" s="1774"/>
      <c r="E192" s="1774"/>
      <c r="F192" s="1773"/>
      <c r="G192" s="1773"/>
      <c r="H192" s="1773"/>
      <c r="I192" s="1333"/>
      <c r="J192" s="605"/>
      <c r="K192" s="1339"/>
      <c r="L192" s="1441" t="s">
        <v>3709</v>
      </c>
      <c r="M192" s="1343"/>
      <c r="N192" s="1776" t="s">
        <v>3288</v>
      </c>
      <c r="O192" s="1777"/>
      <c r="P192" s="1776" t="s">
        <v>253</v>
      </c>
      <c r="Q192" s="1777"/>
      <c r="R192" s="1333"/>
      <c r="S192" s="907"/>
      <c r="T192" s="907"/>
      <c r="U192" s="907"/>
      <c r="V192" s="907"/>
      <c r="W192" s="907"/>
      <c r="X192" s="907"/>
      <c r="Y192" s="907"/>
      <c r="Z192" s="907"/>
      <c r="AA192" s="907"/>
      <c r="AB192" s="907"/>
      <c r="AC192" s="907"/>
      <c r="AD192" s="907"/>
      <c r="AE192" s="907"/>
      <c r="AF192" s="907"/>
      <c r="AG192" s="907"/>
      <c r="AH192" s="907"/>
      <c r="AI192" s="907"/>
      <c r="AJ192" s="907"/>
    </row>
    <row r="193" spans="1:36" ht="16" customHeight="1">
      <c r="A193" s="1333"/>
      <c r="B193" s="1334"/>
      <c r="C193" s="1336"/>
      <c r="D193" s="1774"/>
      <c r="E193" s="1774"/>
      <c r="F193" s="1773"/>
      <c r="G193" s="1773"/>
      <c r="H193" s="1773"/>
      <c r="I193" s="1333"/>
      <c r="J193" s="605"/>
      <c r="K193" s="1333"/>
      <c r="L193" s="907"/>
      <c r="M193" s="907"/>
      <c r="N193" s="1395" t="s">
        <v>26</v>
      </c>
      <c r="O193" s="1396" t="s">
        <v>25</v>
      </c>
      <c r="P193" s="1395" t="s">
        <v>26</v>
      </c>
      <c r="Q193" s="1396" t="s">
        <v>25</v>
      </c>
      <c r="R193" s="1333"/>
      <c r="S193" s="907"/>
      <c r="T193" s="323" t="s">
        <v>3473</v>
      </c>
      <c r="U193" s="323" t="s">
        <v>252</v>
      </c>
      <c r="V193" s="324"/>
      <c r="W193" s="324"/>
      <c r="X193" s="324"/>
      <c r="Y193" s="324"/>
      <c r="Z193" s="856" t="s">
        <v>3476</v>
      </c>
      <c r="AA193" s="857" t="s">
        <v>3475</v>
      </c>
      <c r="AB193" s="858" t="s">
        <v>3477</v>
      </c>
      <c r="AC193" s="859" t="s">
        <v>3478</v>
      </c>
      <c r="AD193" s="907"/>
      <c r="AE193" s="907" t="s">
        <v>241</v>
      </c>
      <c r="AF193" s="907"/>
      <c r="AG193" s="907"/>
      <c r="AH193" s="917">
        <v>66796807</v>
      </c>
      <c r="AI193" s="907"/>
      <c r="AJ193" s="907"/>
    </row>
    <row r="194" spans="1:36" ht="16" customHeight="1">
      <c r="A194" s="1333"/>
      <c r="B194" s="1334"/>
      <c r="C194" s="1336"/>
      <c r="D194" s="1336"/>
      <c r="E194" s="1336"/>
      <c r="F194" s="1335"/>
      <c r="G194" s="1335"/>
      <c r="H194" s="1333"/>
      <c r="I194" s="1333"/>
      <c r="J194" s="605"/>
      <c r="K194" s="1333"/>
      <c r="L194" s="1346" t="s">
        <v>138</v>
      </c>
      <c r="M194" s="1355" t="s">
        <v>48</v>
      </c>
      <c r="N194" s="1368" t="str">
        <f>IF($H$20=$M$194,$F$71,"  ")</f>
        <v xml:space="preserve">  </v>
      </c>
      <c r="O194" s="1369" t="str">
        <f>IF($H$20=$M$194,$G$71,"  ")</f>
        <v xml:space="preserve">  </v>
      </c>
      <c r="P194" s="1374" t="str">
        <f>IF($H$20=$M$194,$F$70,"  ")</f>
        <v xml:space="preserve">  </v>
      </c>
      <c r="Q194" s="1347" t="str">
        <f>IF($H$20=$M$194,$G$70,"  ")</f>
        <v xml:space="preserve">  </v>
      </c>
      <c r="R194" s="1333"/>
      <c r="S194" s="907"/>
      <c r="T194" s="871" t="s">
        <v>3290</v>
      </c>
      <c r="U194" s="860" t="s">
        <v>239</v>
      </c>
      <c r="V194" s="861"/>
      <c r="W194" s="861"/>
      <c r="X194" s="861"/>
      <c r="Y194" s="885"/>
      <c r="Z194" s="873">
        <v>134</v>
      </c>
      <c r="AA194" s="862">
        <f t="shared" ref="AA194:AA199" si="0">(Z194*10^9)/$AH$193</f>
        <v>2006.0839135619162</v>
      </c>
      <c r="AB194" s="873">
        <v>2.2999999999999998</v>
      </c>
      <c r="AC194" s="862">
        <f t="shared" ref="AC194:AC199" si="1">(AB194*10^9)/$AH$193</f>
        <v>34.432783590988116</v>
      </c>
      <c r="AD194" s="907"/>
      <c r="AE194" s="907"/>
      <c r="AF194" s="907"/>
      <c r="AG194" s="907"/>
      <c r="AH194" s="907"/>
      <c r="AI194" s="907"/>
      <c r="AJ194" s="907"/>
    </row>
    <row r="195" spans="1:36" ht="17" customHeight="1">
      <c r="A195" s="1333"/>
      <c r="B195" s="1334"/>
      <c r="C195" s="1336"/>
      <c r="D195" s="1336"/>
      <c r="E195" s="1336"/>
      <c r="F195" s="1335"/>
      <c r="G195" s="1335"/>
      <c r="H195" s="1333"/>
      <c r="I195" s="1333"/>
      <c r="J195" s="605"/>
      <c r="K195" s="1333"/>
      <c r="L195" s="1348" t="s">
        <v>138</v>
      </c>
      <c r="M195" s="1356" t="s">
        <v>49</v>
      </c>
      <c r="N195" s="1370" t="str">
        <f>IF($H$20=$M$195,$N$71," ")</f>
        <v xml:space="preserve"> </v>
      </c>
      <c r="O195" s="1371" t="str">
        <f>IF($H$20=$M$195,$O$71," ")</f>
        <v xml:space="preserve"> </v>
      </c>
      <c r="P195" s="1375" t="str">
        <f>IF($H$20=$M$195,$N$70," ")</f>
        <v xml:space="preserve"> </v>
      </c>
      <c r="Q195" s="1349" t="str">
        <f>IF($H$20=$M$195,$O$70," ")</f>
        <v xml:space="preserve"> </v>
      </c>
      <c r="R195" s="1333"/>
      <c r="S195" s="907"/>
      <c r="T195" s="872" t="s">
        <v>3290</v>
      </c>
      <c r="U195" s="863" t="s">
        <v>3333</v>
      </c>
      <c r="V195" s="864"/>
      <c r="W195" s="864"/>
      <c r="X195" s="864"/>
      <c r="Y195" s="886"/>
      <c r="Z195" s="874">
        <v>10</v>
      </c>
      <c r="AA195" s="865">
        <f t="shared" si="0"/>
        <v>149.70775474342659</v>
      </c>
      <c r="AB195" s="874">
        <v>0.11</v>
      </c>
      <c r="AC195" s="865">
        <f t="shared" si="1"/>
        <v>1.6467853021776924</v>
      </c>
      <c r="AD195" s="907"/>
      <c r="AE195" s="907"/>
      <c r="AF195" s="907"/>
      <c r="AG195" s="907"/>
      <c r="AH195" s="933" t="s">
        <v>3469</v>
      </c>
      <c r="AI195" s="933" t="s">
        <v>3470</v>
      </c>
      <c r="AJ195" s="907"/>
    </row>
    <row r="196" spans="1:36">
      <c r="A196" s="1333"/>
      <c r="B196" s="1334"/>
      <c r="C196" s="1333"/>
      <c r="D196" s="954"/>
      <c r="E196" s="954"/>
      <c r="F196" s="1335"/>
      <c r="G196" s="1335"/>
      <c r="H196" s="1333"/>
      <c r="I196" s="1333"/>
      <c r="J196" s="605"/>
      <c r="K196" s="1333"/>
      <c r="L196" s="1348" t="s">
        <v>138</v>
      </c>
      <c r="M196" s="1356" t="s">
        <v>50</v>
      </c>
      <c r="N196" s="1370" t="str">
        <f>IF($H$20=$M$196,$V$71," ")</f>
        <v xml:space="preserve"> </v>
      </c>
      <c r="O196" s="1371" t="str">
        <f>IF($H$20=$M$196,$W$71," ")</f>
        <v xml:space="preserve"> </v>
      </c>
      <c r="P196" s="1375" t="str">
        <f>IF($H$20=$M$196,$V$70," ")</f>
        <v xml:space="preserve"> </v>
      </c>
      <c r="Q196" s="1349" t="str">
        <f>IF($H$20=$M$196,$W$70," ")</f>
        <v xml:space="preserve"> </v>
      </c>
      <c r="R196" s="1333"/>
      <c r="S196" s="907"/>
      <c r="T196" s="877" t="s">
        <v>3290</v>
      </c>
      <c r="U196" s="887" t="s">
        <v>240</v>
      </c>
      <c r="V196" s="878"/>
      <c r="W196" s="878"/>
      <c r="X196" s="878"/>
      <c r="Y196" s="888"/>
      <c r="Z196" s="879">
        <v>0.5</v>
      </c>
      <c r="AA196" s="880">
        <f t="shared" si="0"/>
        <v>7.4853877371713295</v>
      </c>
      <c r="AB196" s="879">
        <v>3.3000000000000002E-2</v>
      </c>
      <c r="AC196" s="880">
        <f t="shared" si="1"/>
        <v>0.49403559065330771</v>
      </c>
      <c r="AD196" s="907"/>
      <c r="AE196" s="919" t="s">
        <v>254</v>
      </c>
      <c r="AF196" s="920"/>
      <c r="AG196" s="921"/>
      <c r="AH196" s="927">
        <v>285</v>
      </c>
      <c r="AI196" s="928">
        <v>68</v>
      </c>
      <c r="AJ196" s="907"/>
    </row>
    <row r="197" spans="1:36">
      <c r="A197" s="1333"/>
      <c r="B197" s="1334"/>
      <c r="C197" s="1333"/>
      <c r="D197" s="954"/>
      <c r="E197" s="954"/>
      <c r="F197" s="1335"/>
      <c r="G197" s="1335"/>
      <c r="H197" s="1333"/>
      <c r="I197" s="1333"/>
      <c r="J197" s="605"/>
      <c r="K197" s="1333"/>
      <c r="L197" s="1348" t="s">
        <v>138</v>
      </c>
      <c r="M197" s="1356" t="s">
        <v>51</v>
      </c>
      <c r="N197" s="1370" t="str">
        <f>IF($H$20=$M$197,0," ")</f>
        <v xml:space="preserve"> </v>
      </c>
      <c r="O197" s="1371" t="str">
        <f>IF($H$20=$M$197,0," ")</f>
        <v xml:space="preserve"> </v>
      </c>
      <c r="P197" s="1375" t="str">
        <f>IF($H$20=$M$197,0," ")</f>
        <v xml:space="preserve"> </v>
      </c>
      <c r="Q197" s="1349" t="str">
        <f>IF($H$20=$M$197,0," ")</f>
        <v xml:space="preserve"> </v>
      </c>
      <c r="R197" s="1333"/>
      <c r="S197" s="907"/>
      <c r="T197" s="871" t="s">
        <v>3289</v>
      </c>
      <c r="U197" s="860" t="s">
        <v>3334</v>
      </c>
      <c r="V197" s="861"/>
      <c r="W197" s="861"/>
      <c r="X197" s="861"/>
      <c r="Y197" s="885"/>
      <c r="Z197" s="873">
        <v>34</v>
      </c>
      <c r="AA197" s="862">
        <f t="shared" si="0"/>
        <v>509.00636612765038</v>
      </c>
      <c r="AB197" s="873">
        <v>47</v>
      </c>
      <c r="AC197" s="862">
        <f t="shared" si="1"/>
        <v>703.62644729410499</v>
      </c>
      <c r="AD197" s="907"/>
      <c r="AE197" s="922" t="s">
        <v>255</v>
      </c>
      <c r="AF197" s="911"/>
      <c r="AG197" s="923"/>
      <c r="AH197" s="929">
        <v>32</v>
      </c>
      <c r="AI197" s="930"/>
      <c r="AJ197" s="907"/>
    </row>
    <row r="198" spans="1:36">
      <c r="A198" s="1333"/>
      <c r="B198" s="1334"/>
      <c r="C198" s="1333" t="s">
        <v>3705</v>
      </c>
      <c r="D198" s="954"/>
      <c r="E198" s="954"/>
      <c r="F198" s="1335"/>
      <c r="G198" s="1335"/>
      <c r="H198" s="1333"/>
      <c r="I198" s="1333"/>
      <c r="J198" s="605"/>
      <c r="K198" s="1333"/>
      <c r="L198" s="1348" t="s">
        <v>138</v>
      </c>
      <c r="M198" s="1356" t="s">
        <v>52</v>
      </c>
      <c r="N198" s="1370" t="str">
        <f>IF($H$20=$M$198,0," ")</f>
        <v xml:space="preserve"> </v>
      </c>
      <c r="O198" s="1371" t="str">
        <f>IF($H$20=$M$198,0," ")</f>
        <v xml:space="preserve"> </v>
      </c>
      <c r="P198" s="1375" t="str">
        <f>IF($H$20=$M$198,0," ")</f>
        <v xml:space="preserve"> </v>
      </c>
      <c r="Q198" s="1349" t="str">
        <f>IF($H$20=$M$198,0," ")</f>
        <v xml:space="preserve"> </v>
      </c>
      <c r="R198" s="1333"/>
      <c r="S198" s="907"/>
      <c r="T198" s="877" t="s">
        <v>3289</v>
      </c>
      <c r="U198" s="868" t="s">
        <v>3335</v>
      </c>
      <c r="V198" s="869"/>
      <c r="W198" s="878"/>
      <c r="X198" s="878"/>
      <c r="Y198" s="888"/>
      <c r="Z198" s="876">
        <v>84</v>
      </c>
      <c r="AA198" s="870">
        <f t="shared" si="0"/>
        <v>1257.5451398447833</v>
      </c>
      <c r="AB198" s="876">
        <v>1.7</v>
      </c>
      <c r="AC198" s="870">
        <f t="shared" si="1"/>
        <v>25.45031830638252</v>
      </c>
      <c r="AD198" s="907"/>
      <c r="AE198" s="922" t="s">
        <v>256</v>
      </c>
      <c r="AF198" s="911"/>
      <c r="AG198" s="923"/>
      <c r="AH198" s="929">
        <v>242</v>
      </c>
      <c r="AI198" s="930">
        <v>4.9000000000000004</v>
      </c>
      <c r="AJ198" s="907"/>
    </row>
    <row r="199" spans="1:36" ht="17" thickBot="1">
      <c r="A199" s="1333"/>
      <c r="B199" s="1334"/>
      <c r="C199" s="1333"/>
      <c r="D199" s="954"/>
      <c r="E199" s="954"/>
      <c r="F199" s="1335"/>
      <c r="G199" s="1335"/>
      <c r="H199" s="1333"/>
      <c r="I199" s="1333"/>
      <c r="J199" s="605"/>
      <c r="K199" s="1333"/>
      <c r="L199" s="1352" t="s">
        <v>138</v>
      </c>
      <c r="M199" s="1357" t="s">
        <v>53</v>
      </c>
      <c r="N199" s="1372" t="str">
        <f>IF($H$20=$M$199,0," ")</f>
        <v xml:space="preserve"> </v>
      </c>
      <c r="O199" s="1373" t="str">
        <f>IF($H$20=$M$199,0," ")</f>
        <v xml:space="preserve"> </v>
      </c>
      <c r="P199" s="1376" t="str">
        <f>IF($H$20=$M$199,0," ")</f>
        <v xml:space="preserve"> </v>
      </c>
      <c r="Q199" s="1377" t="str">
        <f>IF($H$20=$M$199,0," ")</f>
        <v xml:space="preserve"> </v>
      </c>
      <c r="R199" s="1333"/>
      <c r="S199" s="907"/>
      <c r="T199" s="889" t="s">
        <v>3266</v>
      </c>
      <c r="U199" s="866" t="s">
        <v>3336</v>
      </c>
      <c r="V199" s="866"/>
      <c r="W199" s="324"/>
      <c r="X199" s="324"/>
      <c r="Y199" s="324"/>
      <c r="Z199" s="875">
        <v>92</v>
      </c>
      <c r="AA199" s="867">
        <f t="shared" si="0"/>
        <v>1377.3113436395245</v>
      </c>
      <c r="AB199" s="875">
        <v>1.1000000000000001</v>
      </c>
      <c r="AC199" s="867">
        <f t="shared" si="1"/>
        <v>16.467853021776925</v>
      </c>
      <c r="AD199" s="907"/>
      <c r="AE199" s="922" t="s">
        <v>257</v>
      </c>
      <c r="AF199" s="911"/>
      <c r="AG199" s="923"/>
      <c r="AH199" s="929">
        <v>134</v>
      </c>
      <c r="AI199" s="930"/>
      <c r="AJ199" s="907"/>
    </row>
    <row r="200" spans="1:36" ht="17" thickBot="1">
      <c r="A200" s="1333"/>
      <c r="B200" s="1334"/>
      <c r="C200" s="1333"/>
      <c r="D200" s="954"/>
      <c r="E200" s="954"/>
      <c r="F200" s="1335"/>
      <c r="G200" s="1335"/>
      <c r="H200" s="1333"/>
      <c r="I200" s="1333"/>
      <c r="J200" s="605"/>
      <c r="K200" s="1333"/>
      <c r="L200" s="1346" t="s">
        <v>139</v>
      </c>
      <c r="M200" s="1355" t="s">
        <v>48</v>
      </c>
      <c r="N200" s="1364" t="str">
        <f>IF($I$81="Yes",$F$115," ")</f>
        <v xml:space="preserve"> </v>
      </c>
      <c r="O200" s="1365" t="str">
        <f>IF($I$81="Yes",$G$115," ")</f>
        <v xml:space="preserve"> </v>
      </c>
      <c r="P200" s="1378" t="str">
        <f>IF($I$81="Yes",$F$114," ")</f>
        <v xml:space="preserve"> </v>
      </c>
      <c r="Q200" s="1379" t="str">
        <f>IF($I$81="Yes",$G$114," ")</f>
        <v xml:space="preserve"> </v>
      </c>
      <c r="R200" s="1333"/>
      <c r="S200" s="907"/>
      <c r="T200" s="897" t="s">
        <v>251</v>
      </c>
      <c r="U200" s="898" t="s">
        <v>3471</v>
      </c>
      <c r="V200" s="898"/>
      <c r="W200" s="898"/>
      <c r="X200" s="898"/>
      <c r="Y200" s="898"/>
      <c r="Z200" s="899">
        <f>SUM($Z$194:$Z$199)</f>
        <v>354.5</v>
      </c>
      <c r="AA200" s="900">
        <f>SUM(AA194:AA199)</f>
        <v>5307.1399056544724</v>
      </c>
      <c r="AB200" s="896">
        <f>SUM($AB$194:$AB$199)</f>
        <v>52.243000000000002</v>
      </c>
      <c r="AC200" s="900">
        <f>SUM(AC194:AC199)</f>
        <v>782.11822310608352</v>
      </c>
      <c r="AD200" s="907"/>
      <c r="AE200" s="922" t="s">
        <v>258</v>
      </c>
      <c r="AF200" s="911"/>
      <c r="AG200" s="923"/>
      <c r="AH200" s="929">
        <v>32</v>
      </c>
      <c r="AI200" s="930">
        <v>13</v>
      </c>
      <c r="AJ200" s="907"/>
    </row>
    <row r="201" spans="1:36">
      <c r="A201" s="1333"/>
      <c r="B201" s="1334"/>
      <c r="C201" s="1333"/>
      <c r="D201" s="954"/>
      <c r="E201" s="954"/>
      <c r="F201" s="1335"/>
      <c r="G201" s="1335"/>
      <c r="H201" s="1333"/>
      <c r="I201" s="1333"/>
      <c r="J201" s="605"/>
      <c r="K201" s="1333"/>
      <c r="L201" s="1352" t="s">
        <v>139</v>
      </c>
      <c r="M201" s="1357" t="s">
        <v>49</v>
      </c>
      <c r="N201" s="1366" t="str">
        <f>IF($R$81="Yes",$O$115," ")</f>
        <v xml:space="preserve"> </v>
      </c>
      <c r="O201" s="1367" t="str">
        <f>IF($R$81="Yes",$P$115," ")</f>
        <v xml:space="preserve"> </v>
      </c>
      <c r="P201" s="1380" t="str">
        <f>IF($R$81="Yes",$O$114," ")</f>
        <v xml:space="preserve"> </v>
      </c>
      <c r="Q201" s="1381" t="str">
        <f>IF($R$81="Yes",$P$114," ")</f>
        <v xml:space="preserve"> </v>
      </c>
      <c r="R201" s="1333"/>
      <c r="S201" s="907"/>
      <c r="T201" s="902" t="s">
        <v>250</v>
      </c>
      <c r="U201" s="903" t="s">
        <v>3471</v>
      </c>
      <c r="V201" s="903"/>
      <c r="W201" s="903"/>
      <c r="X201" s="903"/>
      <c r="Y201" s="903"/>
      <c r="Z201" s="904">
        <v>874</v>
      </c>
      <c r="AA201" s="905">
        <f>(Z201*10^9)/$AH$193</f>
        <v>13084.457764575483</v>
      </c>
      <c r="AB201" s="904">
        <v>106</v>
      </c>
      <c r="AC201" s="906">
        <f>(AB201*10^9)/$AH$193</f>
        <v>1586.9022002803217</v>
      </c>
      <c r="AD201" s="907"/>
      <c r="AE201" s="922" t="s">
        <v>259</v>
      </c>
      <c r="AF201" s="911"/>
      <c r="AG201" s="923"/>
      <c r="AH201" s="929">
        <v>99</v>
      </c>
      <c r="AI201" s="930">
        <v>2.2999999999999998</v>
      </c>
      <c r="AJ201" s="907"/>
    </row>
    <row r="202" spans="1:36">
      <c r="A202" s="1333"/>
      <c r="B202" s="1334"/>
      <c r="C202" s="1333"/>
      <c r="D202" s="954"/>
      <c r="E202" s="954"/>
      <c r="F202" s="1335"/>
      <c r="G202" s="1335"/>
      <c r="H202" s="1333"/>
      <c r="I202" s="1333"/>
      <c r="J202" s="605"/>
      <c r="K202" s="1333"/>
      <c r="L202" s="1346" t="s">
        <v>3309</v>
      </c>
      <c r="M202" s="1355"/>
      <c r="N202" s="1358" t="e">
        <f>$F$157</f>
        <v>#N/A</v>
      </c>
      <c r="O202" s="1359" t="e">
        <f>$G$157</f>
        <v>#N/A</v>
      </c>
      <c r="P202" s="1388" t="e">
        <f>$F$156</f>
        <v>#N/A</v>
      </c>
      <c r="Q202" s="1389" t="e">
        <f>$G$156</f>
        <v>#N/A</v>
      </c>
      <c r="R202" s="1333"/>
      <c r="S202" s="907"/>
      <c r="T202" s="907"/>
      <c r="U202" s="907"/>
      <c r="V202" s="907"/>
      <c r="W202" s="907"/>
      <c r="X202" s="907"/>
      <c r="Y202" s="907"/>
      <c r="Z202" s="907"/>
      <c r="AA202" s="907"/>
      <c r="AB202" s="907"/>
      <c r="AC202" s="907"/>
      <c r="AD202" s="907"/>
      <c r="AE202" s="922" t="s">
        <v>260</v>
      </c>
      <c r="AF202" s="911"/>
      <c r="AG202" s="923"/>
      <c r="AH202" s="929"/>
      <c r="AI202" s="930">
        <v>12</v>
      </c>
      <c r="AJ202" s="907"/>
    </row>
    <row r="203" spans="1:36">
      <c r="A203" s="1333"/>
      <c r="B203" s="1334"/>
      <c r="C203" s="1333"/>
      <c r="D203" s="954"/>
      <c r="E203" s="954"/>
      <c r="F203" s="1335"/>
      <c r="G203" s="1335"/>
      <c r="H203" s="1333"/>
      <c r="I203" s="1333"/>
      <c r="J203" s="605"/>
      <c r="K203" s="1333"/>
      <c r="L203" s="1348" t="s">
        <v>3310</v>
      </c>
      <c r="M203" s="1356"/>
      <c r="N203" s="1360" t="str">
        <f>IF($P$124="Yes",$N$157," ")</f>
        <v xml:space="preserve"> </v>
      </c>
      <c r="O203" s="1361" t="str">
        <f>IF($P$124="Yes",$O$157," ")</f>
        <v xml:space="preserve"> </v>
      </c>
      <c r="P203" s="1390" t="str">
        <f>IF($P$124="Yes",$N$156," ")</f>
        <v xml:space="preserve"> </v>
      </c>
      <c r="Q203" s="1350" t="str">
        <f>IF($P$124="Yes",$O$156," ")</f>
        <v xml:space="preserve"> </v>
      </c>
      <c r="R203" s="1333"/>
      <c r="S203" s="907"/>
      <c r="T203" s="855" t="s">
        <v>3474</v>
      </c>
      <c r="U203" s="855" t="s">
        <v>3472</v>
      </c>
      <c r="V203" s="369"/>
      <c r="W203" s="369"/>
      <c r="X203" s="881" t="s">
        <v>26</v>
      </c>
      <c r="Y203" s="881" t="s">
        <v>25</v>
      </c>
      <c r="Z203" s="907"/>
      <c r="AA203" s="907"/>
      <c r="AB203" s="907"/>
      <c r="AC203" s="907"/>
      <c r="AD203" s="907"/>
      <c r="AE203" s="924" t="s">
        <v>261</v>
      </c>
      <c r="AF203" s="925"/>
      <c r="AG203" s="926"/>
      <c r="AH203" s="931"/>
      <c r="AI203" s="932">
        <v>6.4</v>
      </c>
      <c r="AJ203" s="907"/>
    </row>
    <row r="204" spans="1:36" ht="17" thickBot="1">
      <c r="A204" s="1333"/>
      <c r="B204" s="1334"/>
      <c r="C204" s="1333"/>
      <c r="D204" s="954"/>
      <c r="E204" s="954"/>
      <c r="F204" s="1335"/>
      <c r="G204" s="1335"/>
      <c r="H204" s="1333"/>
      <c r="I204" s="1333"/>
      <c r="J204" s="605"/>
      <c r="K204" s="1333"/>
      <c r="L204" s="1348" t="s">
        <v>3311</v>
      </c>
      <c r="M204" s="1356"/>
      <c r="N204" s="1360" t="str">
        <f>IF($V$124="Yes",$U$157," ")</f>
        <v xml:space="preserve"> </v>
      </c>
      <c r="O204" s="1361" t="str">
        <f>IF($V$124="Yes",$V$157," ")</f>
        <v xml:space="preserve"> </v>
      </c>
      <c r="P204" s="1390" t="str">
        <f>IF($V$124="Yes",$U$156," ")</f>
        <v xml:space="preserve"> </v>
      </c>
      <c r="Q204" s="1350" t="str">
        <f>IF($V$124="Yes",$V$156," ")</f>
        <v xml:space="preserve"> </v>
      </c>
      <c r="R204" s="1333"/>
      <c r="S204" s="907"/>
      <c r="T204" s="895" t="s">
        <v>3290</v>
      </c>
      <c r="U204" s="892" t="s">
        <v>260</v>
      </c>
      <c r="V204" s="893"/>
      <c r="W204" s="894"/>
      <c r="X204" s="901">
        <v>10699</v>
      </c>
      <c r="Y204" s="901">
        <v>203331</v>
      </c>
      <c r="Z204" s="907"/>
      <c r="AA204" s="907"/>
      <c r="AB204" s="907"/>
      <c r="AC204" s="907"/>
      <c r="AD204" s="907"/>
      <c r="AE204" s="907"/>
      <c r="AF204" s="907"/>
      <c r="AG204" s="907"/>
      <c r="AH204" s="918">
        <f>SUM(AH196:AH203)</f>
        <v>824</v>
      </c>
      <c r="AI204" s="918">
        <f>SUM(AI196:AI203)</f>
        <v>106.60000000000001</v>
      </c>
      <c r="AJ204" s="907"/>
    </row>
    <row r="205" spans="1:36" ht="17" thickTop="1">
      <c r="A205" s="1333"/>
      <c r="B205" s="1334"/>
      <c r="C205" s="1333"/>
      <c r="D205" s="954"/>
      <c r="E205" s="954"/>
      <c r="F205" s="1335"/>
      <c r="G205" s="1335"/>
      <c r="H205" s="1333"/>
      <c r="I205" s="1333"/>
      <c r="J205" s="605"/>
      <c r="K205" s="1333"/>
      <c r="L205" s="1352" t="s">
        <v>3312</v>
      </c>
      <c r="M205" s="1357"/>
      <c r="N205" s="1362" t="str">
        <f>IF($AC$124="Yes",$AA$157," ")</f>
        <v xml:space="preserve"> </v>
      </c>
      <c r="O205" s="1363" t="str">
        <f>IF($AC$124="Yes",$AB$157," ")</f>
        <v xml:space="preserve"> </v>
      </c>
      <c r="P205" s="1391" t="str">
        <f>IF($AC$124="Yes",$AA$156," ")</f>
        <v xml:space="preserve"> </v>
      </c>
      <c r="Q205" s="1392" t="str">
        <f>IF($AC$124="Yes",$AB$156," ")</f>
        <v xml:space="preserve"> </v>
      </c>
      <c r="R205" s="1333"/>
      <c r="S205" s="907"/>
      <c r="T205" s="887" t="s">
        <v>3289</v>
      </c>
      <c r="U205" s="868" t="s">
        <v>3480</v>
      </c>
      <c r="V205" s="869"/>
      <c r="W205" s="891"/>
      <c r="X205" s="901">
        <v>13950</v>
      </c>
      <c r="Y205" s="901">
        <v>85753</v>
      </c>
      <c r="Z205" s="907"/>
      <c r="AA205" s="907"/>
      <c r="AB205" s="907"/>
      <c r="AC205" s="907"/>
      <c r="AD205" s="907"/>
      <c r="AE205" s="907"/>
      <c r="AF205" s="907"/>
      <c r="AG205" s="907"/>
      <c r="AH205" s="907"/>
      <c r="AI205" s="907"/>
      <c r="AJ205" s="907"/>
    </row>
    <row r="206" spans="1:36">
      <c r="A206" s="1333"/>
      <c r="B206" s="1334"/>
      <c r="C206" s="1333"/>
      <c r="D206" s="954"/>
      <c r="E206" s="954"/>
      <c r="F206" s="1335"/>
      <c r="G206" s="1335"/>
      <c r="H206" s="1333"/>
      <c r="I206" s="1333"/>
      <c r="J206" s="605"/>
      <c r="K206" s="1333"/>
      <c r="L206" s="1348" t="s">
        <v>3313</v>
      </c>
      <c r="M206" s="911"/>
      <c r="N206" s="1384" t="str">
        <f>IF($H$166="Yes",$F$184," ")</f>
        <v xml:space="preserve"> </v>
      </c>
      <c r="O206" s="1385" t="str">
        <f>IF($H$166="Yes",$G$184," ")</f>
        <v xml:space="preserve"> </v>
      </c>
      <c r="P206" s="1382" t="str">
        <f>IF($H$166="Yes",$F$183," ")</f>
        <v xml:space="preserve"> </v>
      </c>
      <c r="Q206" s="1351" t="str">
        <f>IF($H$166="Yes",$G$183," ")</f>
        <v xml:space="preserve"> </v>
      </c>
      <c r="R206" s="1333"/>
      <c r="S206" s="907"/>
      <c r="T206" s="868" t="s">
        <v>3266</v>
      </c>
      <c r="U206" s="892" t="s">
        <v>260</v>
      </c>
      <c r="V206" s="869"/>
      <c r="W206" s="891"/>
      <c r="X206" s="901">
        <v>10699</v>
      </c>
      <c r="Y206" s="901">
        <v>203331</v>
      </c>
      <c r="Z206" s="907"/>
      <c r="AA206" s="907"/>
      <c r="AB206" s="907"/>
      <c r="AC206" s="907"/>
      <c r="AD206" s="907"/>
      <c r="AE206" s="212" t="s">
        <v>251</v>
      </c>
      <c r="AF206" s="212"/>
      <c r="AG206" s="212"/>
      <c r="AH206" s="579">
        <f>SUM($Z$194:$Z$199)</f>
        <v>354.5</v>
      </c>
      <c r="AI206" s="579">
        <f>SUM($AB$194:$AB$199)</f>
        <v>52.243000000000002</v>
      </c>
      <c r="AJ206" s="907"/>
    </row>
    <row r="207" spans="1:36">
      <c r="A207" s="1333"/>
      <c r="B207" s="1333"/>
      <c r="C207" s="1333"/>
      <c r="D207" s="1333"/>
      <c r="E207" s="1333"/>
      <c r="F207" s="1333"/>
      <c r="G207" s="1333"/>
      <c r="H207" s="1333"/>
      <c r="I207" s="1333"/>
      <c r="J207" s="605"/>
      <c r="K207" s="1333"/>
      <c r="L207" s="1352" t="s">
        <v>3314</v>
      </c>
      <c r="M207" s="1353"/>
      <c r="N207" s="1386" t="str">
        <f>IF($P$166="Yes",$N$184," ")</f>
        <v xml:space="preserve"> </v>
      </c>
      <c r="O207" s="1387" t="str">
        <f>IF($P$166="Yes",$O$184," ")</f>
        <v xml:space="preserve"> </v>
      </c>
      <c r="P207" s="1383" t="str">
        <f>IF($P$166="Yes",$N$183," ")</f>
        <v xml:space="preserve"> </v>
      </c>
      <c r="Q207" s="1354" t="str">
        <f>IF($P$166="Yes",$O$183," ")</f>
        <v xml:space="preserve"> </v>
      </c>
      <c r="R207" s="1333"/>
      <c r="S207" s="907"/>
      <c r="T207" s="884" t="s">
        <v>251</v>
      </c>
      <c r="U207" s="883" t="s">
        <v>3479</v>
      </c>
      <c r="V207" s="883"/>
      <c r="W207" s="883"/>
      <c r="X207" s="882">
        <f>((SUM(AA194:AA196)*X204)+(SUM(AA197:AA198)*X205)+(AA199*X206))/10^6</f>
        <v>62.524148796513579</v>
      </c>
      <c r="Y207" s="882">
        <f>((SUM(AC194:AC196)*Y204)+(SUM(AC197:AC198)*Y205)+(AC199*Y206))/10^6</f>
        <v>73.305492476608961</v>
      </c>
      <c r="Z207" s="907"/>
      <c r="AA207" s="907"/>
      <c r="AB207" s="907"/>
      <c r="AC207" s="907"/>
      <c r="AD207" s="907"/>
      <c r="AE207" s="911"/>
      <c r="AF207" s="911"/>
      <c r="AG207" s="911"/>
      <c r="AH207" s="916">
        <f>$AH$206/$AH$204</f>
        <v>0.43021844660194175</v>
      </c>
      <c r="AI207" s="916">
        <f>$AI$206/$AI$204</f>
        <v>0.49008442776735456</v>
      </c>
      <c r="AJ207" s="907"/>
    </row>
    <row r="208" spans="1:36">
      <c r="A208" s="1333"/>
      <c r="B208" s="1333"/>
      <c r="C208" s="1333"/>
      <c r="D208" s="1333"/>
      <c r="E208" s="1333"/>
      <c r="F208" s="1333"/>
      <c r="G208" s="1333"/>
      <c r="H208" s="1333"/>
      <c r="I208" s="1333"/>
      <c r="J208" s="605"/>
      <c r="K208" s="1333"/>
      <c r="L208" s="907"/>
      <c r="M208" s="907"/>
      <c r="N208" s="1393" t="e">
        <f>SUM(N194:N207)</f>
        <v>#N/A</v>
      </c>
      <c r="O208" s="1393" t="e">
        <f>SUM(O194:O207)</f>
        <v>#N/A</v>
      </c>
      <c r="P208" s="1394" t="e">
        <f>SUM(P194:P207)</f>
        <v>#N/A</v>
      </c>
      <c r="Q208" s="1394" t="e">
        <f>SUM(Q194:Q207)</f>
        <v>#N/A</v>
      </c>
      <c r="R208" s="1333"/>
      <c r="S208" s="907"/>
      <c r="T208" s="907"/>
      <c r="U208" s="907"/>
      <c r="V208" s="907"/>
      <c r="W208" s="907"/>
      <c r="X208" s="907"/>
      <c r="Y208" s="907"/>
      <c r="Z208" s="907"/>
      <c r="AA208" s="907"/>
      <c r="AB208" s="907"/>
      <c r="AC208" s="907"/>
      <c r="AD208" s="907"/>
      <c r="AE208" s="907"/>
      <c r="AF208" s="907"/>
      <c r="AG208" s="907"/>
      <c r="AH208" s="907"/>
      <c r="AI208" s="907"/>
      <c r="AJ208" s="907"/>
    </row>
    <row r="209" spans="1:36">
      <c r="A209" s="1333"/>
      <c r="B209" s="1333"/>
      <c r="C209" s="1333"/>
      <c r="D209" s="1333"/>
      <c r="E209" s="1333"/>
      <c r="F209" s="1333"/>
      <c r="G209" s="1333"/>
      <c r="H209" s="1333"/>
      <c r="I209" s="1333"/>
      <c r="J209" s="605"/>
      <c r="K209" s="1333"/>
      <c r="L209" s="907"/>
      <c r="M209" s="907"/>
      <c r="N209" s="804" t="e">
        <f>IF($N$208&gt;$X$207, "&gt; Avg", "&lt; Avg")</f>
        <v>#N/A</v>
      </c>
      <c r="O209" s="804" t="e">
        <f>IF($O$208&gt;$Y$207, "&gt; Avg", "&lt; Avg")</f>
        <v>#N/A</v>
      </c>
      <c r="P209" s="804" t="e">
        <f>IF($P$208&gt;$AA$200, "&gt; Avg", "&lt; Avg")</f>
        <v>#N/A</v>
      </c>
      <c r="Q209" s="804" t="e">
        <f>IF($Q$208&gt;$AC$200, "&gt; Avg", "&lt; Avg")</f>
        <v>#N/A</v>
      </c>
      <c r="R209" s="1333"/>
      <c r="S209" s="907"/>
      <c r="T209" s="907"/>
      <c r="U209" s="907"/>
      <c r="V209" s="907"/>
      <c r="W209" s="907"/>
      <c r="X209" s="911"/>
      <c r="Y209" s="911"/>
      <c r="Z209" s="911"/>
      <c r="AA209" s="911"/>
      <c r="AB209" s="911"/>
      <c r="AC209" s="911"/>
      <c r="AD209" s="911"/>
      <c r="AE209" s="907"/>
      <c r="AF209" s="907"/>
      <c r="AG209" s="907"/>
      <c r="AH209" s="907"/>
      <c r="AI209" s="907"/>
      <c r="AJ209" s="907"/>
    </row>
    <row r="210" spans="1:36">
      <c r="A210" s="1333"/>
      <c r="B210" s="1333"/>
      <c r="C210" s="1333"/>
      <c r="D210" s="1333"/>
      <c r="E210" s="1333"/>
      <c r="F210" s="1333"/>
      <c r="G210" s="1333"/>
      <c r="H210" s="1333"/>
      <c r="I210" s="1333"/>
      <c r="J210" s="605"/>
      <c r="K210" s="1333"/>
      <c r="L210" s="1333"/>
      <c r="M210" s="1333"/>
      <c r="N210" s="1333"/>
      <c r="O210" s="1333"/>
      <c r="P210" s="1333"/>
      <c r="Q210" s="1333"/>
      <c r="R210" s="1333"/>
      <c r="S210" s="954"/>
      <c r="T210" s="954"/>
      <c r="U210" s="954"/>
      <c r="V210" s="954"/>
      <c r="W210" s="954"/>
      <c r="X210" s="954"/>
      <c r="Y210" s="954"/>
      <c r="Z210" s="954"/>
      <c r="AA210" s="954"/>
      <c r="AB210" s="1333"/>
      <c r="AC210" s="1333"/>
      <c r="AD210" s="1333"/>
      <c r="AE210" s="1333"/>
      <c r="AF210" s="1333"/>
      <c r="AG210" s="1333"/>
      <c r="AH210" s="1333"/>
      <c r="AI210" s="1333"/>
      <c r="AJ210" s="1333"/>
    </row>
    <row r="211" spans="1:36">
      <c r="A211" s="1333"/>
      <c r="B211" s="1333"/>
      <c r="C211" s="1333"/>
      <c r="D211" s="1333"/>
      <c r="E211" s="1333"/>
      <c r="F211" s="1333"/>
      <c r="G211" s="1333"/>
      <c r="H211" s="1333"/>
      <c r="I211" s="1333"/>
      <c r="J211" s="605"/>
      <c r="K211" s="1333"/>
      <c r="L211" s="1333"/>
      <c r="M211" s="1333"/>
      <c r="N211" s="1333"/>
      <c r="O211" s="1333"/>
      <c r="P211" s="954"/>
      <c r="Q211" s="954"/>
      <c r="R211" s="954"/>
      <c r="S211" s="954"/>
      <c r="T211" s="954"/>
      <c r="U211" s="954"/>
      <c r="V211" s="954"/>
      <c r="W211" s="954"/>
      <c r="X211" s="954"/>
      <c r="Y211" s="954"/>
      <c r="Z211" s="954"/>
      <c r="AA211" s="954"/>
      <c r="AB211" s="1333"/>
      <c r="AC211" s="1333"/>
      <c r="AD211" s="1333"/>
      <c r="AE211" s="1333"/>
      <c r="AF211" s="1333"/>
      <c r="AG211" s="1333"/>
      <c r="AH211" s="1333"/>
      <c r="AI211" s="1333"/>
      <c r="AJ211" s="1333"/>
    </row>
    <row r="212" spans="1:36">
      <c r="A212" s="1333"/>
      <c r="B212" s="1333"/>
      <c r="C212" s="1333"/>
      <c r="D212" s="1333"/>
      <c r="E212" s="1333"/>
      <c r="F212" s="1333"/>
      <c r="G212" s="1333"/>
      <c r="H212" s="1333"/>
      <c r="I212" s="1333"/>
      <c r="J212" s="605"/>
      <c r="K212" s="1333"/>
      <c r="L212" s="1333"/>
      <c r="M212" s="1333"/>
      <c r="N212" s="1333"/>
      <c r="O212" s="1333"/>
      <c r="P212" s="954"/>
      <c r="Q212" s="954"/>
      <c r="R212" s="954"/>
      <c r="S212" s="954"/>
      <c r="T212" s="954"/>
      <c r="U212" s="954"/>
      <c r="V212" s="954"/>
      <c r="W212" s="954"/>
      <c r="X212" s="954"/>
      <c r="Y212" s="954"/>
      <c r="Z212" s="954"/>
      <c r="AA212" s="954"/>
      <c r="AB212" s="1333"/>
      <c r="AC212" s="1333"/>
      <c r="AD212" s="1333"/>
      <c r="AE212" s="1333"/>
      <c r="AF212" s="1333"/>
      <c r="AG212" s="1333"/>
      <c r="AH212" s="1333"/>
      <c r="AI212" s="1333"/>
      <c r="AJ212" s="1333"/>
    </row>
    <row r="213" spans="1:36">
      <c r="J213" s="1439"/>
      <c r="P213" s="605"/>
      <c r="Q213" s="605"/>
      <c r="R213" s="605"/>
      <c r="S213" s="605"/>
      <c r="T213" s="605"/>
      <c r="U213" s="605"/>
      <c r="V213" s="605"/>
      <c r="W213" s="605"/>
      <c r="X213" s="605"/>
      <c r="Y213" s="605"/>
      <c r="Z213" s="605"/>
      <c r="AA213" s="605"/>
    </row>
    <row r="214" spans="1:36">
      <c r="J214" s="1439"/>
    </row>
    <row r="215" spans="1:36">
      <c r="A215" s="1333"/>
      <c r="B215" s="1333"/>
      <c r="C215" s="1333"/>
      <c r="D215" s="1342"/>
      <c r="E215" s="1333"/>
      <c r="F215" s="1333"/>
      <c r="G215" s="1333"/>
      <c r="H215" s="1333"/>
      <c r="I215" s="1333"/>
      <c r="J215" s="1333"/>
      <c r="K215" s="1333"/>
      <c r="L215" s="1333"/>
      <c r="M215" s="1333"/>
      <c r="N215" s="1333"/>
      <c r="O215" s="1333"/>
      <c r="P215" s="1333"/>
      <c r="Q215" s="1333"/>
      <c r="R215" s="1333"/>
      <c r="S215" s="1333"/>
      <c r="T215" s="1333"/>
      <c r="U215" s="1333"/>
      <c r="V215" s="1333"/>
      <c r="W215" s="1333"/>
      <c r="X215" s="1333"/>
      <c r="Y215" s="1333"/>
      <c r="Z215" s="1333"/>
      <c r="AA215" s="1333"/>
      <c r="AB215" s="954"/>
      <c r="AC215" s="954"/>
      <c r="AD215" s="954"/>
      <c r="AE215" s="954"/>
      <c r="AF215" s="954"/>
      <c r="AG215" s="954"/>
      <c r="AH215" s="954"/>
      <c r="AI215" s="954"/>
      <c r="AJ215" s="954"/>
    </row>
    <row r="216" spans="1:36" ht="37">
      <c r="A216" s="1333"/>
      <c r="B216" s="1341" t="s">
        <v>3458</v>
      </c>
      <c r="C216" s="1341"/>
      <c r="D216" s="1341"/>
      <c r="E216" s="1341"/>
      <c r="F216" s="1341"/>
      <c r="G216" s="1341"/>
      <c r="H216" s="1341"/>
      <c r="I216" s="1341"/>
      <c r="J216" s="1341"/>
      <c r="K216" s="1341"/>
      <c r="L216" s="1333"/>
      <c r="M216" s="1333"/>
      <c r="N216" s="1333"/>
      <c r="O216" s="1333"/>
      <c r="P216" s="1333"/>
      <c r="Q216" s="1333"/>
      <c r="R216" s="1333"/>
      <c r="S216" s="1333"/>
      <c r="T216" s="1333"/>
      <c r="U216" s="1333"/>
      <c r="V216" s="1333"/>
      <c r="W216" s="1333"/>
      <c r="X216" s="1333"/>
      <c r="Y216" s="1333"/>
      <c r="Z216" s="1333"/>
      <c r="AA216" s="1333"/>
      <c r="AB216" s="954"/>
      <c r="AC216" s="954"/>
      <c r="AD216" s="954"/>
      <c r="AE216" s="954"/>
      <c r="AF216" s="954"/>
      <c r="AG216" s="954"/>
      <c r="AH216" s="954"/>
      <c r="AI216" s="954"/>
      <c r="AJ216" s="954"/>
    </row>
    <row r="217" spans="1:36" ht="21">
      <c r="A217" s="1333"/>
      <c r="B217" s="1333"/>
      <c r="C217" s="1333"/>
      <c r="D217" s="1342"/>
      <c r="E217" s="1333"/>
      <c r="F217" s="1333"/>
      <c r="G217" s="1333"/>
      <c r="H217" s="1333"/>
      <c r="I217" s="1333"/>
      <c r="J217" s="1333"/>
      <c r="K217" s="1333"/>
      <c r="L217" s="1333"/>
      <c r="M217" s="1333"/>
      <c r="N217" s="1333"/>
      <c r="O217" s="967" t="s">
        <v>3787</v>
      </c>
      <c r="P217" s="967"/>
      <c r="Q217" s="967"/>
      <c r="R217" s="1333"/>
      <c r="S217" s="1333"/>
      <c r="T217" s="1333"/>
      <c r="U217" s="1333"/>
      <c r="V217" s="1333"/>
      <c r="W217" s="1333"/>
      <c r="X217" s="1333"/>
      <c r="Y217" s="1333"/>
      <c r="Z217" s="1333"/>
      <c r="AA217" s="1333"/>
      <c r="AB217" s="954"/>
      <c r="AC217" s="954"/>
      <c r="AD217" s="954"/>
      <c r="AE217" s="954"/>
      <c r="AF217" s="954"/>
      <c r="AG217" s="954"/>
      <c r="AH217" s="954"/>
      <c r="AI217" s="954"/>
      <c r="AJ217" s="954"/>
    </row>
    <row r="218" spans="1:36" ht="16" customHeight="1">
      <c r="A218" s="1333"/>
      <c r="B218" s="1748" t="s">
        <v>3344</v>
      </c>
      <c r="C218" s="1850" t="s">
        <v>3343</v>
      </c>
      <c r="D218" s="1851"/>
      <c r="E218" s="1851"/>
      <c r="F218" s="1851"/>
      <c r="G218" s="1851"/>
      <c r="H218" s="1851"/>
      <c r="I218" s="1851"/>
      <c r="J218" s="1852"/>
      <c r="K218" s="1853" t="s">
        <v>3456</v>
      </c>
      <c r="L218" s="1854"/>
      <c r="M218" s="1855" t="s">
        <v>3457</v>
      </c>
      <c r="N218" s="1856"/>
      <c r="O218" s="1789" t="s">
        <v>3459</v>
      </c>
      <c r="P218" s="1790"/>
      <c r="Q218" s="1801"/>
      <c r="R218" s="1333"/>
      <c r="S218" s="1333"/>
      <c r="T218" s="1333"/>
      <c r="U218" s="1333"/>
      <c r="V218" s="1333"/>
      <c r="W218" s="1333"/>
      <c r="X218" s="1333"/>
      <c r="Y218" s="1932" t="e">
        <f>ROUND(100*($N$208+$O$208)/($X$207+$Y$207),0)&amp;"%"</f>
        <v>#N/A</v>
      </c>
      <c r="Z218" s="1932"/>
      <c r="AA218" s="1932"/>
      <c r="AB218" s="954"/>
      <c r="AC218" s="954"/>
      <c r="AD218" s="954"/>
      <c r="AE218" s="954"/>
      <c r="AF218" s="954"/>
      <c r="AG218" s="954"/>
      <c r="AH218" s="954"/>
      <c r="AI218" s="954"/>
      <c r="AJ218" s="954"/>
    </row>
    <row r="219" spans="1:36" ht="16" customHeight="1">
      <c r="A219" s="1333"/>
      <c r="B219" s="1749" t="str">
        <f>'Iteration II Simulation'!$D$11</f>
        <v>Q1</v>
      </c>
      <c r="C219" s="1750" t="str">
        <f>'Iteration II Simulation'!E11</f>
        <v>Please enter the outward postcode (First 3-4 characters of your postcode) of the area in which your residence is located.</v>
      </c>
      <c r="D219" s="1751"/>
      <c r="E219" s="1751"/>
      <c r="F219" s="1751"/>
      <c r="G219" s="1751"/>
      <c r="H219" s="1751"/>
      <c r="I219" s="1751"/>
      <c r="J219" s="1766"/>
      <c r="K219" s="1861" t="s">
        <v>3364</v>
      </c>
      <c r="L219" s="1862"/>
      <c r="M219" s="1875">
        <f>G12</f>
        <v>0</v>
      </c>
      <c r="N219" s="1876"/>
      <c r="O219" s="1792"/>
      <c r="P219" s="1793"/>
      <c r="Q219" s="1794"/>
      <c r="R219" s="1333"/>
      <c r="S219" s="1333"/>
      <c r="T219" s="1333"/>
      <c r="U219" s="1333"/>
      <c r="V219" s="1333"/>
      <c r="W219" s="1333"/>
      <c r="X219" s="1333"/>
      <c r="Y219" s="1932"/>
      <c r="Z219" s="1932"/>
      <c r="AA219" s="1932"/>
      <c r="AB219" s="954"/>
      <c r="AC219" s="954"/>
      <c r="AD219" s="954"/>
      <c r="AE219" s="954"/>
      <c r="AF219" s="954"/>
      <c r="AG219" s="954"/>
      <c r="AH219" s="954"/>
      <c r="AI219" s="954"/>
      <c r="AJ219" s="954"/>
    </row>
    <row r="220" spans="1:36" ht="16" customHeight="1">
      <c r="A220" s="1333"/>
      <c r="B220" s="1737" t="str">
        <f>'Iteration II Simulation'!$D$14</f>
        <v>Q2</v>
      </c>
      <c r="C220" s="1753" t="str">
        <f>'Iteration II Simulation'!$E$14</f>
        <v>How do you usually commute to work, college or school?</v>
      </c>
      <c r="D220" s="1754"/>
      <c r="E220" s="1754"/>
      <c r="F220" s="1754"/>
      <c r="G220" s="1754"/>
      <c r="H220" s="1754"/>
      <c r="I220" s="1754"/>
      <c r="J220" s="1762"/>
      <c r="K220" s="1859"/>
      <c r="L220" s="1860"/>
      <c r="M220" s="1877">
        <f>H20</f>
        <v>0</v>
      </c>
      <c r="N220" s="1878"/>
      <c r="O220" s="1789"/>
      <c r="P220" s="1790"/>
      <c r="Q220" s="1791"/>
      <c r="R220" s="1333"/>
      <c r="S220" s="1333"/>
      <c r="T220" s="1333"/>
      <c r="U220" s="1333"/>
      <c r="V220" s="1333"/>
      <c r="W220" s="1333"/>
      <c r="X220" s="1333"/>
      <c r="Y220" s="1932"/>
      <c r="Z220" s="1932"/>
      <c r="AA220" s="1932"/>
      <c r="AB220" s="954"/>
      <c r="AC220" s="954"/>
      <c r="AD220" s="954"/>
      <c r="AE220" s="954"/>
      <c r="AF220" s="954"/>
      <c r="AG220" s="954"/>
      <c r="AH220" s="954"/>
      <c r="AI220" s="954"/>
      <c r="AJ220" s="954"/>
    </row>
    <row r="221" spans="1:36" ht="17" customHeight="1">
      <c r="A221" s="1333"/>
      <c r="B221" s="1736" t="str">
        <f>'Iteration II Simulation'!$D$37</f>
        <v>Q3</v>
      </c>
      <c r="C221" s="1755" t="str">
        <f>'Iteration II Simulation'!$E$37</f>
        <v>What type of car do you have?</v>
      </c>
      <c r="D221" s="232"/>
      <c r="E221" s="232"/>
      <c r="F221" s="232"/>
      <c r="G221" s="232"/>
      <c r="H221" s="232"/>
      <c r="I221" s="232"/>
      <c r="J221" s="1763"/>
      <c r="K221" s="1857" t="s">
        <v>194</v>
      </c>
      <c r="L221" s="1858"/>
      <c r="M221" s="1824" t="str">
        <f>IF(H20=F15,H41,"Diesel")</f>
        <v>Diesel</v>
      </c>
      <c r="N221" s="1825"/>
      <c r="O221" s="1795"/>
      <c r="P221" s="1796"/>
      <c r="Q221" s="1797"/>
      <c r="R221" s="1333"/>
      <c r="S221" s="1333"/>
      <c r="T221" s="1333"/>
      <c r="U221" s="1333"/>
      <c r="V221" s="1333"/>
      <c r="W221" s="1333"/>
      <c r="X221" s="1333"/>
      <c r="Y221" s="1930" t="e">
        <f>"Your air pollution footprint is "&amp;D190&amp;" of the average person in the UK."</f>
        <v>#N/A</v>
      </c>
      <c r="Z221" s="1930"/>
      <c r="AA221" s="1930"/>
      <c r="AB221" s="954"/>
      <c r="AC221" s="954"/>
      <c r="AD221" s="954"/>
      <c r="AE221" s="954"/>
      <c r="AF221" s="954"/>
      <c r="AG221" s="954"/>
      <c r="AH221" s="954"/>
      <c r="AI221" s="954"/>
      <c r="AJ221" s="954"/>
    </row>
    <row r="222" spans="1:36">
      <c r="A222" s="1333"/>
      <c r="B222" s="1736" t="str">
        <f>'Iteration II Simulation'!$D$43</f>
        <v>Q4</v>
      </c>
      <c r="C222" s="1755" t="str">
        <f>'Iteration II Simulation'!$E$43</f>
        <v>How old is your car?</v>
      </c>
      <c r="D222" s="232"/>
      <c r="E222" s="232"/>
      <c r="F222" s="232"/>
      <c r="G222" s="232"/>
      <c r="H222" s="232"/>
      <c r="I222" s="232"/>
      <c r="J222" s="1763"/>
      <c r="K222" s="1857" t="s">
        <v>195</v>
      </c>
      <c r="L222" s="1858"/>
      <c r="M222" s="1824" t="str">
        <f>IF(H20=F15,H48,"Euro 5")</f>
        <v>Euro 5</v>
      </c>
      <c r="N222" s="1825"/>
      <c r="O222" s="1795"/>
      <c r="P222" s="1796"/>
      <c r="Q222" s="1797"/>
      <c r="R222" s="1333"/>
      <c r="S222" s="1333"/>
      <c r="T222" s="1333"/>
      <c r="U222" s="1333"/>
      <c r="V222" s="1333"/>
      <c r="W222" s="1333"/>
      <c r="X222" s="1333"/>
      <c r="Y222" s="1930"/>
      <c r="Z222" s="1930"/>
      <c r="AA222" s="1930"/>
      <c r="AB222" s="954"/>
      <c r="AC222" s="954"/>
      <c r="AD222" s="954"/>
      <c r="AE222" s="954"/>
      <c r="AF222" s="954"/>
      <c r="AG222" s="954"/>
      <c r="AH222" s="954"/>
      <c r="AI222" s="954"/>
      <c r="AJ222" s="954"/>
    </row>
    <row r="223" spans="1:36">
      <c r="A223" s="1333"/>
      <c r="B223" s="1736" t="str">
        <f>'Iteration II Simulation'!$D$50</f>
        <v>Q5</v>
      </c>
      <c r="C223" s="1755" t="str">
        <f>'Iteration II Simulation'!$E$50</f>
        <v>On average, how many hours do you usually spend in your car for commuting each week?</v>
      </c>
      <c r="D223" s="232"/>
      <c r="E223" s="232"/>
      <c r="F223" s="232"/>
      <c r="G223" s="232"/>
      <c r="H223" s="232"/>
      <c r="I223" s="232"/>
      <c r="J223" s="1763"/>
      <c r="K223" s="1857" t="s">
        <v>3449</v>
      </c>
      <c r="L223" s="1858"/>
      <c r="M223" s="1824">
        <f>IF(H20=F15,G51,1)</f>
        <v>1</v>
      </c>
      <c r="N223" s="1825"/>
      <c r="O223" s="1795"/>
      <c r="P223" s="1796"/>
      <c r="Q223" s="1797"/>
      <c r="R223" s="1333"/>
      <c r="S223" s="1333"/>
      <c r="T223" s="1333"/>
      <c r="U223" s="1333"/>
      <c r="V223" s="1333"/>
      <c r="W223" s="1333"/>
      <c r="X223" s="1333"/>
      <c r="Y223" s="1333"/>
      <c r="Z223" s="1333"/>
      <c r="AA223" s="1333"/>
      <c r="AB223" s="954"/>
      <c r="AC223" s="954"/>
      <c r="AD223" s="954"/>
      <c r="AE223" s="954"/>
      <c r="AF223" s="954"/>
      <c r="AG223" s="954"/>
      <c r="AH223" s="954"/>
      <c r="AI223" s="954"/>
      <c r="AJ223" s="954"/>
    </row>
    <row r="224" spans="1:36">
      <c r="A224" s="1333"/>
      <c r="B224" s="1735" t="str">
        <f>'Iteration II Simulation'!$D$54</f>
        <v>Q6</v>
      </c>
      <c r="C224" s="1756" t="str">
        <f>'Iteration II Simulation'!$E$54</f>
        <v>How many people usually travel with you to the same place of work, college or school?</v>
      </c>
      <c r="D224" s="1757"/>
      <c r="E224" s="1757"/>
      <c r="F224" s="1757"/>
      <c r="G224" s="1757"/>
      <c r="H224" s="1757"/>
      <c r="I224" s="1757"/>
      <c r="J224" s="1764"/>
      <c r="K224" s="1838" t="s">
        <v>3450</v>
      </c>
      <c r="L224" s="1839"/>
      <c r="M224" s="1826">
        <f>IF(H20=F15,G55,0)</f>
        <v>0</v>
      </c>
      <c r="N224" s="1827"/>
      <c r="O224" s="1798"/>
      <c r="P224" s="1799"/>
      <c r="Q224" s="1800"/>
      <c r="R224" s="1333"/>
      <c r="S224" s="1333"/>
      <c r="T224" s="1333"/>
      <c r="U224" s="1333"/>
      <c r="V224" s="1333"/>
      <c r="W224" s="1333"/>
      <c r="X224" s="1333"/>
      <c r="Y224" s="1333"/>
      <c r="Z224" s="1333"/>
      <c r="AA224" s="1333"/>
      <c r="AB224" s="954"/>
      <c r="AC224" s="954"/>
      <c r="AD224" s="954"/>
      <c r="AE224" s="954"/>
      <c r="AF224" s="954"/>
      <c r="AG224" s="954"/>
      <c r="AH224" s="954"/>
      <c r="AI224" s="954"/>
      <c r="AJ224" s="954"/>
    </row>
    <row r="225" spans="1:36">
      <c r="A225" s="1333"/>
      <c r="B225" s="807" t="str">
        <f>'Iteration II Simulation'!$L$37</f>
        <v xml:space="preserve">Q7 </v>
      </c>
      <c r="C225" s="1752" t="str">
        <f>'Iteration II Simulation'!$M$37</f>
        <v>On average, how many hours do you usually spend on bus for commuting each week?</v>
      </c>
      <c r="D225" s="805"/>
      <c r="E225" s="805"/>
      <c r="F225" s="805"/>
      <c r="G225" s="805"/>
      <c r="H225" s="805"/>
      <c r="I225" s="805"/>
      <c r="J225" s="1765"/>
      <c r="K225" s="1928" t="s">
        <v>3451</v>
      </c>
      <c r="L225" s="1929"/>
      <c r="M225" s="1828">
        <f>IF(H20=F16,O38,1)</f>
        <v>1</v>
      </c>
      <c r="N225" s="1829"/>
      <c r="O225" s="1834"/>
      <c r="P225" s="1835"/>
      <c r="Q225" s="1836"/>
      <c r="R225" s="1333"/>
      <c r="S225" s="1333"/>
      <c r="T225" s="1333"/>
      <c r="U225" s="1333"/>
      <c r="V225" s="1333"/>
      <c r="W225" s="1333"/>
      <c r="X225" s="1333"/>
      <c r="Y225" s="1333"/>
      <c r="Z225" s="1333"/>
      <c r="AA225" s="1333"/>
      <c r="AB225" s="954"/>
      <c r="AC225" s="954"/>
      <c r="AD225" s="954"/>
      <c r="AE225" s="954"/>
      <c r="AF225" s="954"/>
      <c r="AG225" s="954"/>
      <c r="AH225" s="954"/>
      <c r="AI225" s="954"/>
      <c r="AJ225" s="954"/>
    </row>
    <row r="226" spans="1:36">
      <c r="A226" s="1333"/>
      <c r="B226" s="806" t="str">
        <f>'Iteration II Simulation'!$T$37</f>
        <v xml:space="preserve">Q8 </v>
      </c>
      <c r="C226" s="803" t="str">
        <f>'Iteration II Simulation'!$U$37</f>
        <v>What is your motorbike's engine type and size?</v>
      </c>
      <c r="D226" s="232"/>
      <c r="E226" s="232"/>
      <c r="F226" s="232"/>
      <c r="G226" s="232"/>
      <c r="H226" s="232"/>
      <c r="I226" s="232"/>
      <c r="J226" s="232"/>
      <c r="K226" s="1859" t="s">
        <v>3714</v>
      </c>
      <c r="L226" s="1860"/>
      <c r="M226" s="1824" t="str">
        <f>IF(H20=F17,X44,"Not known")</f>
        <v>Not known</v>
      </c>
      <c r="N226" s="1825"/>
      <c r="O226" s="1789"/>
      <c r="P226" s="1790"/>
      <c r="Q226" s="1791"/>
      <c r="R226" s="1333"/>
      <c r="S226" s="1333"/>
      <c r="T226" s="1333"/>
      <c r="U226" s="1333"/>
      <c r="V226" s="1333"/>
      <c r="W226" s="1333"/>
      <c r="X226" s="1333"/>
      <c r="Y226" s="1333"/>
      <c r="Z226" s="1333"/>
      <c r="AA226" s="1333"/>
      <c r="AB226" s="954"/>
      <c r="AC226" s="954"/>
      <c r="AD226" s="954"/>
      <c r="AE226" s="954"/>
      <c r="AF226" s="954"/>
      <c r="AG226" s="954"/>
      <c r="AH226" s="954"/>
      <c r="AI226" s="954"/>
      <c r="AJ226" s="954"/>
    </row>
    <row r="227" spans="1:36">
      <c r="A227" s="1333"/>
      <c r="B227" s="806" t="str">
        <f>'Iteration II Simulation'!$T$46</f>
        <v>Q9</v>
      </c>
      <c r="C227" s="803" t="str">
        <f>'Iteration II Simulation'!$U$46</f>
        <v>How old is your motorbike?</v>
      </c>
      <c r="D227" s="232"/>
      <c r="E227" s="232"/>
      <c r="F227" s="232"/>
      <c r="G227" s="232"/>
      <c r="H227" s="232"/>
      <c r="I227" s="232"/>
      <c r="J227" s="232"/>
      <c r="K227" s="1857" t="s">
        <v>226</v>
      </c>
      <c r="L227" s="1858"/>
      <c r="M227" s="1824" t="str">
        <f>IF(H20=F17,X49,"Euro 5")</f>
        <v>Euro 5</v>
      </c>
      <c r="N227" s="1825"/>
      <c r="O227" s="1795"/>
      <c r="P227" s="1796"/>
      <c r="Q227" s="1797"/>
      <c r="R227" s="1333"/>
      <c r="S227" s="1333"/>
      <c r="T227" s="1333"/>
      <c r="U227" s="1333"/>
      <c r="V227" s="1333"/>
      <c r="W227" s="1333"/>
      <c r="X227" s="1333"/>
      <c r="Y227" s="1333"/>
      <c r="Z227" s="1333"/>
      <c r="AA227" s="1333"/>
      <c r="AB227" s="954"/>
      <c r="AC227" s="954"/>
      <c r="AD227" s="954"/>
      <c r="AE227" s="954"/>
      <c r="AF227" s="954"/>
      <c r="AG227" s="954"/>
      <c r="AH227" s="954"/>
      <c r="AI227" s="954"/>
      <c r="AJ227" s="954"/>
    </row>
    <row r="228" spans="1:36">
      <c r="A228" s="1333"/>
      <c r="B228" s="806" t="str">
        <f>'Iteration II Simulation'!$T$52</f>
        <v>Q10</v>
      </c>
      <c r="C228" s="803" t="str">
        <f>'Iteration II Simulation'!$U$52</f>
        <v>On average, how many hours do you usually spend on a motorbike for commuting each week?</v>
      </c>
      <c r="D228" s="232"/>
      <c r="E228" s="232"/>
      <c r="F228" s="232"/>
      <c r="G228" s="232"/>
      <c r="H228" s="232"/>
      <c r="I228" s="232"/>
      <c r="J228" s="1764"/>
      <c r="K228" s="1838" t="s">
        <v>3715</v>
      </c>
      <c r="L228" s="1839"/>
      <c r="M228" s="1824">
        <f>IF(H20=F17,W53, 1)</f>
        <v>1</v>
      </c>
      <c r="N228" s="1825"/>
      <c r="O228" s="1798"/>
      <c r="P228" s="1799"/>
      <c r="Q228" s="1800"/>
      <c r="R228" s="1333"/>
      <c r="S228" s="1333"/>
      <c r="T228" s="1333"/>
      <c r="U228" s="1333"/>
      <c r="V228" s="1333"/>
      <c r="W228" s="1333"/>
      <c r="X228" s="1333"/>
      <c r="Y228" s="1333"/>
      <c r="Z228" s="1333"/>
      <c r="AA228" s="1333"/>
      <c r="AB228" s="954"/>
      <c r="AC228" s="954"/>
      <c r="AD228" s="954"/>
      <c r="AE228" s="954"/>
      <c r="AF228" s="954"/>
      <c r="AG228" s="954"/>
      <c r="AH228" s="954"/>
      <c r="AI228" s="954"/>
      <c r="AJ228" s="954"/>
    </row>
    <row r="229" spans="1:36">
      <c r="A229" s="1333"/>
      <c r="B229" s="812" t="str">
        <f>'Iteration II Simulation'!$D$79</f>
        <v>Q11</v>
      </c>
      <c r="C229" s="813" t="str">
        <f>'Iteration II Simulation'!$E$79</f>
        <v>Outside of commuting, do you travel by car?</v>
      </c>
      <c r="D229" s="814"/>
      <c r="E229" s="814"/>
      <c r="F229" s="814"/>
      <c r="G229" s="814"/>
      <c r="H229" s="814"/>
      <c r="I229" s="814"/>
      <c r="J229" s="285"/>
      <c r="K229" s="1832"/>
      <c r="L229" s="1833"/>
      <c r="M229" s="1847" t="str">
        <f>I81</f>
        <v>No</v>
      </c>
      <c r="N229" s="1848"/>
      <c r="O229" s="1789"/>
      <c r="P229" s="1790"/>
      <c r="Q229" s="1791"/>
      <c r="R229" s="1333"/>
      <c r="S229" s="1333"/>
      <c r="T229" s="1333"/>
      <c r="U229" s="1333"/>
      <c r="V229" s="1333"/>
      <c r="W229" s="1333"/>
      <c r="X229" s="1333"/>
      <c r="Y229" s="1333"/>
      <c r="Z229" s="1333"/>
      <c r="AA229" s="1333"/>
      <c r="AB229" s="954"/>
      <c r="AC229" s="954"/>
      <c r="AD229" s="954"/>
      <c r="AE229" s="954"/>
      <c r="AF229" s="954"/>
      <c r="AG229" s="954"/>
      <c r="AH229" s="954"/>
      <c r="AI229" s="954"/>
      <c r="AJ229" s="954"/>
    </row>
    <row r="230" spans="1:36">
      <c r="A230" s="1333"/>
      <c r="B230" s="808" t="str">
        <f>'Iteration II Simulation'!$D$84</f>
        <v>Q12</v>
      </c>
      <c r="C230" s="587" t="str">
        <f>'Iteration II Simulation'!$E$84</f>
        <v>What type of car do you have?</v>
      </c>
      <c r="D230" s="285"/>
      <c r="E230" s="285"/>
      <c r="F230" s="285"/>
      <c r="G230" s="285"/>
      <c r="H230" s="285"/>
      <c r="I230" s="285"/>
      <c r="J230" s="285"/>
      <c r="K230" s="1830" t="s">
        <v>194</v>
      </c>
      <c r="L230" s="1831"/>
      <c r="M230" s="1845" t="str">
        <f>IF(I81=F80,I88,"Diesel")</f>
        <v>Diesel</v>
      </c>
      <c r="N230" s="1846"/>
      <c r="O230" s="1795"/>
      <c r="P230" s="1796"/>
      <c r="Q230" s="1797"/>
      <c r="R230" s="1333"/>
      <c r="S230" s="1333"/>
      <c r="T230" s="1333"/>
      <c r="U230" s="1333"/>
      <c r="V230" s="1333"/>
      <c r="W230" s="1333"/>
      <c r="X230" s="1333"/>
      <c r="Y230" s="1333"/>
      <c r="Z230" s="1333"/>
      <c r="AA230" s="1333"/>
      <c r="AB230" s="954"/>
      <c r="AC230" s="954"/>
      <c r="AD230" s="954"/>
      <c r="AE230" s="954"/>
      <c r="AF230" s="954"/>
      <c r="AG230" s="954"/>
      <c r="AH230" s="954"/>
      <c r="AI230" s="954"/>
      <c r="AJ230" s="954"/>
    </row>
    <row r="231" spans="1:36">
      <c r="A231" s="1333"/>
      <c r="B231" s="808" t="str">
        <f>'Iteration II Simulation'!$D$90</f>
        <v>Q13</v>
      </c>
      <c r="C231" s="587" t="str">
        <f>'Iteration II Simulation'!$E$90</f>
        <v>How old is your car?</v>
      </c>
      <c r="D231" s="285"/>
      <c r="E231" s="285"/>
      <c r="F231" s="285"/>
      <c r="G231" s="285"/>
      <c r="H231" s="285"/>
      <c r="I231" s="285"/>
      <c r="J231" s="285"/>
      <c r="K231" s="1830" t="s">
        <v>195</v>
      </c>
      <c r="L231" s="1831"/>
      <c r="M231" s="1845" t="str">
        <f>IF(I81=F80,I95,"Euro 5")</f>
        <v>Euro 5</v>
      </c>
      <c r="N231" s="1846"/>
      <c r="O231" s="1795"/>
      <c r="P231" s="1796"/>
      <c r="Q231" s="1797"/>
      <c r="R231" s="1333"/>
      <c r="S231" s="1333"/>
      <c r="T231" s="1333"/>
      <c r="U231" s="1333"/>
      <c r="V231" s="1333"/>
      <c r="W231" s="1333"/>
      <c r="X231" s="1333"/>
      <c r="Y231" s="1333"/>
      <c r="Z231" s="1333"/>
      <c r="AA231" s="1333"/>
      <c r="AB231" s="954"/>
      <c r="AC231" s="954"/>
      <c r="AD231" s="954"/>
      <c r="AE231" s="954"/>
      <c r="AF231" s="954"/>
      <c r="AG231" s="954"/>
      <c r="AH231" s="954"/>
      <c r="AI231" s="954"/>
      <c r="AJ231" s="954"/>
    </row>
    <row r="232" spans="1:36">
      <c r="A232" s="1333"/>
      <c r="B232" s="808" t="str">
        <f>'Iteration II Simulation'!$D$97</f>
        <v>Q14</v>
      </c>
      <c r="C232" s="587" t="str">
        <f>'Iteration II Simulation'!$E$97</f>
        <v>On average, how many hours do you usually spend in your car outside of commuting each week?</v>
      </c>
      <c r="D232" s="285"/>
      <c r="E232" s="285"/>
      <c r="F232" s="285"/>
      <c r="G232" s="285"/>
      <c r="H232" s="285"/>
      <c r="I232" s="285"/>
      <c r="J232" s="285"/>
      <c r="K232" s="1830" t="s">
        <v>3449</v>
      </c>
      <c r="L232" s="1831"/>
      <c r="M232" s="1845">
        <f>IF(I81=F80,G98,1)</f>
        <v>1</v>
      </c>
      <c r="N232" s="1846"/>
      <c r="O232" s="1795"/>
      <c r="P232" s="1796"/>
      <c r="Q232" s="1797"/>
      <c r="R232" s="1333"/>
      <c r="S232" s="1333"/>
      <c r="T232" s="1333"/>
      <c r="U232" s="1333"/>
      <c r="V232" s="1333"/>
      <c r="W232" s="1333"/>
      <c r="X232" s="1333"/>
      <c r="Y232" s="1333"/>
      <c r="Z232" s="1333"/>
      <c r="AA232" s="1333"/>
      <c r="AB232" s="954"/>
      <c r="AC232" s="954"/>
      <c r="AD232" s="954"/>
      <c r="AE232" s="954"/>
      <c r="AF232" s="954"/>
      <c r="AG232" s="954"/>
      <c r="AH232" s="954"/>
      <c r="AI232" s="954"/>
      <c r="AJ232" s="954"/>
    </row>
    <row r="233" spans="1:36">
      <c r="A233" s="1333"/>
      <c r="B233" s="815" t="str">
        <f>'Iteration II Simulation'!$D$101</f>
        <v>Q15</v>
      </c>
      <c r="C233" s="816" t="str">
        <f>'Iteration II Simulation'!$E$101</f>
        <v>How many people are usually with you in the car at the same time?</v>
      </c>
      <c r="D233" s="817"/>
      <c r="E233" s="817"/>
      <c r="F233" s="817"/>
      <c r="G233" s="817"/>
      <c r="H233" s="817"/>
      <c r="I233" s="817"/>
      <c r="J233" s="1761"/>
      <c r="K233" s="1808" t="s">
        <v>3450</v>
      </c>
      <c r="L233" s="1809"/>
      <c r="M233" s="1843">
        <f>IF(I81=F80,G102,0)</f>
        <v>0</v>
      </c>
      <c r="N233" s="1844"/>
      <c r="O233" s="1798"/>
      <c r="P233" s="1799"/>
      <c r="Q233" s="1800"/>
      <c r="R233" s="1333"/>
      <c r="S233" s="1333"/>
      <c r="T233" s="1333"/>
      <c r="U233" s="1333"/>
      <c r="V233" s="1333"/>
      <c r="W233" s="1333"/>
      <c r="X233" s="1333"/>
      <c r="Y233" s="1333"/>
      <c r="Z233" s="1333"/>
      <c r="AA233" s="1333"/>
      <c r="AB233" s="954"/>
      <c r="AC233" s="954"/>
      <c r="AD233" s="954"/>
      <c r="AE233" s="954"/>
      <c r="AF233" s="954"/>
      <c r="AG233" s="954"/>
      <c r="AH233" s="954"/>
      <c r="AI233" s="954"/>
      <c r="AJ233" s="954"/>
    </row>
    <row r="234" spans="1:36" ht="16" customHeight="1">
      <c r="A234" s="1333"/>
      <c r="B234" s="808" t="str">
        <f>'Iteration II Simulation'!$M$79</f>
        <v>Q16</v>
      </c>
      <c r="C234" s="587" t="str">
        <f>'Iteration II Simulation'!$N$79</f>
        <v>Outside of commuting, do you travel by bus?</v>
      </c>
      <c r="D234" s="285"/>
      <c r="E234" s="285"/>
      <c r="F234" s="285"/>
      <c r="G234" s="285"/>
      <c r="H234" s="285"/>
      <c r="I234" s="285"/>
      <c r="J234" s="285"/>
      <c r="K234" s="1832"/>
      <c r="L234" s="1833"/>
      <c r="M234" s="1845" t="str">
        <f>R81</f>
        <v>No</v>
      </c>
      <c r="N234" s="1846"/>
      <c r="O234" s="1789"/>
      <c r="P234" s="1790"/>
      <c r="Q234" s="1791"/>
      <c r="R234" s="1333"/>
      <c r="S234" s="1333"/>
      <c r="T234" s="1333"/>
      <c r="U234" s="1333"/>
      <c r="V234" s="1333"/>
      <c r="W234" s="1333"/>
      <c r="X234" s="1333"/>
      <c r="Y234" s="1932" t="e">
        <f>Adjustments!S204</f>
        <v>#N/A</v>
      </c>
      <c r="Z234" s="1932"/>
      <c r="AA234" s="1932"/>
      <c r="AB234" s="954"/>
      <c r="AC234" s="954"/>
      <c r="AD234" s="954"/>
      <c r="AE234" s="954"/>
      <c r="AF234" s="954"/>
      <c r="AG234" s="954"/>
      <c r="AH234" s="954"/>
      <c r="AI234" s="954"/>
      <c r="AJ234" s="954"/>
    </row>
    <row r="235" spans="1:36" ht="16" customHeight="1">
      <c r="A235" s="1333"/>
      <c r="B235" s="808" t="str">
        <f>'Iteration II Simulation'!$M$84</f>
        <v>Q17</v>
      </c>
      <c r="C235" s="587" t="str">
        <f>'Iteration II Simulation'!$N$84</f>
        <v>On average, how many hours do you usually spend on a bus outside of commuting each week?</v>
      </c>
      <c r="D235" s="285"/>
      <c r="E235" s="285"/>
      <c r="F235" s="285"/>
      <c r="G235" s="285"/>
      <c r="H235" s="285"/>
      <c r="I235" s="285"/>
      <c r="J235" s="1761"/>
      <c r="K235" s="1808" t="s">
        <v>3451</v>
      </c>
      <c r="L235" s="1809"/>
      <c r="M235" s="1845">
        <f>IF(R81=O80,P85,1)</f>
        <v>1</v>
      </c>
      <c r="N235" s="1846"/>
      <c r="O235" s="1798"/>
      <c r="P235" s="1799"/>
      <c r="Q235" s="1800"/>
      <c r="R235" s="1333"/>
      <c r="S235" s="1333"/>
      <c r="T235" s="1333"/>
      <c r="U235" s="1333"/>
      <c r="V235" s="1333"/>
      <c r="W235" s="1333"/>
      <c r="X235" s="1333"/>
      <c r="Y235" s="1932"/>
      <c r="Z235" s="1932"/>
      <c r="AA235" s="1932"/>
      <c r="AB235" s="954"/>
      <c r="AC235" s="954"/>
      <c r="AD235" s="954"/>
      <c r="AE235" s="954"/>
      <c r="AF235" s="954"/>
      <c r="AG235" s="954"/>
      <c r="AH235" s="954"/>
      <c r="AI235" s="954"/>
      <c r="AJ235" s="954"/>
    </row>
    <row r="236" spans="1:36" ht="16" customHeight="1">
      <c r="A236" s="1333"/>
      <c r="B236" s="818" t="str">
        <f>'Iteration II Simulation'!$D$122</f>
        <v>Q18</v>
      </c>
      <c r="C236" s="819" t="str">
        <f>'Iteration II Simulation'!$E$122</f>
        <v>What is the size of your residence?</v>
      </c>
      <c r="D236" s="820"/>
      <c r="E236" s="820"/>
      <c r="F236" s="820"/>
      <c r="G236" s="820"/>
      <c r="H236" s="820"/>
      <c r="I236" s="820"/>
      <c r="J236" s="289"/>
      <c r="K236" s="1810" t="s">
        <v>3362</v>
      </c>
      <c r="L236" s="1811"/>
      <c r="M236" s="1926">
        <f>I126</f>
        <v>0</v>
      </c>
      <c r="N236" s="1927"/>
      <c r="O236" s="1789"/>
      <c r="P236" s="1790"/>
      <c r="Q236" s="1791"/>
      <c r="R236" s="1333"/>
      <c r="S236" s="1333"/>
      <c r="T236" s="1333"/>
      <c r="U236" s="1333"/>
      <c r="V236" s="1333"/>
      <c r="W236" s="1333"/>
      <c r="X236" s="1333"/>
      <c r="Y236" s="1931" t="e">
        <f>"Your air pollution footprint is "&amp;Y234&amp;" of the average person in the UK."</f>
        <v>#N/A</v>
      </c>
      <c r="Z236" s="1931"/>
      <c r="AA236" s="1931"/>
      <c r="AB236" s="954"/>
      <c r="AC236" s="954"/>
      <c r="AD236" s="954"/>
      <c r="AE236" s="954"/>
      <c r="AF236" s="954"/>
      <c r="AG236" s="954"/>
      <c r="AH236" s="954"/>
      <c r="AI236" s="954"/>
      <c r="AJ236" s="954"/>
    </row>
    <row r="237" spans="1:36">
      <c r="A237" s="1333"/>
      <c r="B237" s="821" t="str">
        <f>'Iteration II Simulation'!$D$128</f>
        <v>Q19</v>
      </c>
      <c r="C237" s="822" t="str">
        <f>'Iteration II Simulation'!$E$128</f>
        <v>How many adults do you live with?</v>
      </c>
      <c r="D237" s="823"/>
      <c r="E237" s="823"/>
      <c r="F237" s="823"/>
      <c r="G237" s="823"/>
      <c r="H237" s="823"/>
      <c r="I237" s="823"/>
      <c r="J237" s="1759"/>
      <c r="K237" s="1804" t="s">
        <v>3455</v>
      </c>
      <c r="L237" s="1805"/>
      <c r="M237" s="1812">
        <f>G129</f>
        <v>0</v>
      </c>
      <c r="N237" s="1813"/>
      <c r="O237" s="1798"/>
      <c r="P237" s="1799"/>
      <c r="Q237" s="1800"/>
      <c r="R237" s="1333"/>
      <c r="S237" s="1333"/>
      <c r="T237" s="1333"/>
      <c r="U237" s="1333"/>
      <c r="V237" s="1333"/>
      <c r="W237" s="1333"/>
      <c r="X237" s="1333"/>
      <c r="Y237" s="1931"/>
      <c r="Z237" s="1931"/>
      <c r="AA237" s="1931"/>
      <c r="AB237" s="954"/>
      <c r="AC237" s="954"/>
      <c r="AD237" s="954"/>
      <c r="AE237" s="954"/>
      <c r="AF237" s="954"/>
      <c r="AG237" s="954"/>
      <c r="AH237" s="954"/>
      <c r="AI237" s="954"/>
      <c r="AJ237" s="954"/>
    </row>
    <row r="238" spans="1:36" ht="16" customHeight="1">
      <c r="A238" s="1333"/>
      <c r="B238" s="809" t="str">
        <f>'Iteration II Simulation'!$L$122</f>
        <v>Q20</v>
      </c>
      <c r="C238" s="798" t="str">
        <f>'Iteration II Simulation'!$M$122</f>
        <v>Do you use a wood-burning stove at home?</v>
      </c>
      <c r="D238" s="289"/>
      <c r="E238" s="289"/>
      <c r="F238" s="289"/>
      <c r="G238" s="289"/>
      <c r="H238" s="289"/>
      <c r="I238" s="289"/>
      <c r="J238" s="289"/>
      <c r="K238" s="1933" t="s">
        <v>3716</v>
      </c>
      <c r="L238" s="1934"/>
      <c r="M238" s="1814" t="str">
        <f>P124</f>
        <v>No</v>
      </c>
      <c r="N238" s="1815"/>
      <c r="O238" s="1789"/>
      <c r="P238" s="1790"/>
      <c r="Q238" s="1791"/>
      <c r="R238" s="1333"/>
      <c r="S238" s="1333"/>
      <c r="T238" s="1333"/>
      <c r="U238" s="1333"/>
      <c r="V238" s="1333"/>
      <c r="W238" s="1333"/>
      <c r="X238" s="1333"/>
      <c r="Y238" s="1767"/>
      <c r="Z238" s="1767"/>
      <c r="AA238" s="1333"/>
      <c r="AB238" s="954"/>
      <c r="AC238" s="954"/>
      <c r="AD238" s="954"/>
      <c r="AE238" s="954"/>
      <c r="AF238" s="954"/>
      <c r="AG238" s="954"/>
      <c r="AH238" s="954"/>
      <c r="AI238" s="954"/>
      <c r="AJ238" s="954"/>
    </row>
    <row r="239" spans="1:36">
      <c r="A239" s="1333"/>
      <c r="B239" s="809" t="str">
        <f>'Iteration II Simulation'!$L$127</f>
        <v>Q21</v>
      </c>
      <c r="C239" s="798" t="str">
        <f>'Iteration II Simulation'!$M$127</f>
        <v>What type of wood-burning stove do you have?</v>
      </c>
      <c r="D239" s="289"/>
      <c r="E239" s="289"/>
      <c r="F239" s="289"/>
      <c r="G239" s="289"/>
      <c r="H239" s="289"/>
      <c r="I239" s="289"/>
      <c r="J239" s="289"/>
      <c r="K239" s="1935"/>
      <c r="L239" s="1936"/>
      <c r="M239" s="1814" t="str">
        <f>IF(P124=M123,P132,"Pellet Stove")</f>
        <v>Pellet Stove</v>
      </c>
      <c r="N239" s="1815"/>
      <c r="O239" s="1795"/>
      <c r="P239" s="1796"/>
      <c r="Q239" s="1797"/>
      <c r="R239" s="1333"/>
      <c r="S239" s="1333"/>
      <c r="T239" s="1333"/>
      <c r="U239" s="1333"/>
      <c r="V239" s="1333"/>
      <c r="W239" s="1333"/>
      <c r="X239" s="1333"/>
      <c r="Y239" s="1333"/>
      <c r="Z239" s="1333"/>
      <c r="AA239" s="1333"/>
      <c r="AB239" s="954"/>
      <c r="AC239" s="954"/>
      <c r="AD239" s="954"/>
      <c r="AE239" s="954"/>
      <c r="AF239" s="954"/>
      <c r="AG239" s="954"/>
      <c r="AH239" s="954"/>
      <c r="AI239" s="954"/>
      <c r="AJ239" s="954"/>
    </row>
    <row r="240" spans="1:36">
      <c r="A240" s="1333"/>
      <c r="B240" s="809" t="str">
        <f>'Iteration II Simulation'!$L$134</f>
        <v>Q22</v>
      </c>
      <c r="C240" s="798" t="str">
        <f>'Iteration II Simulation'!$M$134</f>
        <v>On average, what is the total number of hours you operate your wood burning stove each week?</v>
      </c>
      <c r="D240" s="289"/>
      <c r="E240" s="289"/>
      <c r="F240" s="289"/>
      <c r="G240" s="289"/>
      <c r="H240" s="289"/>
      <c r="I240" s="289"/>
      <c r="J240" s="289"/>
      <c r="K240" s="1822" t="s">
        <v>3757</v>
      </c>
      <c r="L240" s="1823"/>
      <c r="M240" s="1814">
        <f>IF(P124=M123,N135,0)</f>
        <v>0</v>
      </c>
      <c r="N240" s="1815"/>
      <c r="O240" s="1795"/>
      <c r="P240" s="1796"/>
      <c r="Q240" s="1797"/>
      <c r="R240" s="1333"/>
      <c r="S240" s="1333"/>
      <c r="T240" s="1333"/>
      <c r="U240" s="1333"/>
      <c r="V240" s="1333"/>
      <c r="W240" s="1333"/>
      <c r="X240" s="1333"/>
      <c r="Y240" s="1333"/>
      <c r="Z240" s="1333"/>
      <c r="AA240" s="1333"/>
      <c r="AB240" s="954"/>
      <c r="AC240" s="954"/>
      <c r="AD240" s="954"/>
      <c r="AE240" s="954"/>
      <c r="AF240" s="954"/>
      <c r="AG240" s="954"/>
      <c r="AH240" s="954"/>
      <c r="AI240" s="954"/>
      <c r="AJ240" s="954"/>
    </row>
    <row r="241" spans="1:36">
      <c r="A241" s="1333"/>
      <c r="B241" s="824"/>
      <c r="C241" s="289"/>
      <c r="D241" s="289"/>
      <c r="E241" s="289"/>
      <c r="F241" s="289"/>
      <c r="G241" s="289"/>
      <c r="H241" s="289"/>
      <c r="I241" s="289"/>
      <c r="J241" s="1759"/>
      <c r="K241" s="1804" t="s">
        <v>3758</v>
      </c>
      <c r="L241" s="1805"/>
      <c r="M241" s="1814">
        <f>IF(P124=M123,N136,0)</f>
        <v>0</v>
      </c>
      <c r="N241" s="1815"/>
      <c r="O241" s="1798"/>
      <c r="P241" s="1799"/>
      <c r="Q241" s="1800"/>
      <c r="R241" s="1333"/>
      <c r="S241" s="1333"/>
      <c r="T241" s="1333"/>
      <c r="U241" s="1333"/>
      <c r="V241" s="1333"/>
      <c r="W241" s="1333"/>
      <c r="X241" s="1333"/>
      <c r="Y241" s="1333"/>
      <c r="Z241" s="1333"/>
      <c r="AA241" s="1333"/>
      <c r="AB241" s="954"/>
      <c r="AC241" s="954"/>
      <c r="AD241" s="954"/>
      <c r="AE241" s="954"/>
      <c r="AF241" s="954"/>
      <c r="AG241" s="954"/>
      <c r="AH241" s="954"/>
      <c r="AI241" s="954"/>
      <c r="AJ241" s="954"/>
    </row>
    <row r="242" spans="1:36">
      <c r="A242" s="1333"/>
      <c r="B242" s="818" t="str">
        <f>'Iteration II Simulation'!$S$122</f>
        <v>Q23</v>
      </c>
      <c r="C242" s="819" t="str">
        <f>'Iteration II Simulation'!$T$122</f>
        <v>Do you use a gas boiler at home?</v>
      </c>
      <c r="D242" s="820"/>
      <c r="E242" s="820"/>
      <c r="F242" s="820"/>
      <c r="G242" s="820"/>
      <c r="H242" s="820"/>
      <c r="I242" s="820"/>
      <c r="J242" s="289"/>
      <c r="K242" s="1810"/>
      <c r="L242" s="1811"/>
      <c r="M242" s="1926" t="str">
        <f>V124</f>
        <v>No</v>
      </c>
      <c r="N242" s="1927"/>
      <c r="O242" s="1789"/>
      <c r="P242" s="1790"/>
      <c r="Q242" s="1791"/>
      <c r="R242" s="1333"/>
      <c r="S242" s="1333"/>
      <c r="T242" s="1333"/>
      <c r="U242" s="1333"/>
      <c r="V242" s="1333"/>
      <c r="W242" s="1333"/>
      <c r="X242" s="1333"/>
      <c r="Y242" s="1333"/>
      <c r="Z242" s="1333"/>
      <c r="AA242" s="1333"/>
      <c r="AB242" s="954"/>
      <c r="AC242" s="954"/>
      <c r="AD242" s="954"/>
      <c r="AE242" s="954"/>
      <c r="AF242" s="954"/>
      <c r="AG242" s="954"/>
      <c r="AH242" s="954"/>
      <c r="AI242" s="954"/>
      <c r="AJ242" s="954"/>
    </row>
    <row r="243" spans="1:36">
      <c r="A243" s="1333"/>
      <c r="B243" s="821" t="str">
        <f>'Iteration II Simulation'!$S$127</f>
        <v>Q24</v>
      </c>
      <c r="C243" s="822" t="str">
        <f>'Iteration II Simulation'!$T$127</f>
        <v>What is the type of your boiler fuel?</v>
      </c>
      <c r="D243" s="823"/>
      <c r="E243" s="823"/>
      <c r="F243" s="823"/>
      <c r="G243" s="823"/>
      <c r="H243" s="823"/>
      <c r="I243" s="823"/>
      <c r="J243" s="1759"/>
      <c r="K243" s="1804" t="s">
        <v>3452</v>
      </c>
      <c r="L243" s="1805"/>
      <c r="M243" s="1812" t="str">
        <f>IF(V124=T123,V129,"Natural Gas")</f>
        <v>Natural Gas</v>
      </c>
      <c r="N243" s="1813"/>
      <c r="O243" s="1798"/>
      <c r="P243" s="1799"/>
      <c r="Q243" s="1800"/>
      <c r="R243" s="1333"/>
      <c r="S243" s="1333"/>
      <c r="T243" s="1333"/>
      <c r="U243" s="1333"/>
      <c r="V243" s="1333"/>
      <c r="W243" s="1333"/>
      <c r="X243" s="1333"/>
      <c r="Y243" s="1333"/>
      <c r="Z243" s="1333"/>
      <c r="AA243" s="1333"/>
      <c r="AB243" s="954"/>
      <c r="AC243" s="954"/>
      <c r="AD243" s="954"/>
      <c r="AE243" s="954"/>
      <c r="AF243" s="954"/>
      <c r="AG243" s="954"/>
      <c r="AH243" s="954"/>
      <c r="AI243" s="954"/>
      <c r="AJ243" s="954"/>
    </row>
    <row r="244" spans="1:36" ht="17" customHeight="1">
      <c r="A244" s="1333"/>
      <c r="B244" s="809" t="str">
        <f>'Iteration II Simulation'!$Y$122</f>
        <v>Q25</v>
      </c>
      <c r="C244" s="798" t="str">
        <f>'Iteration II Simulation'!$Z$122</f>
        <v>Do you use an electric heat pump?</v>
      </c>
      <c r="D244" s="289"/>
      <c r="E244" s="289"/>
      <c r="F244" s="289"/>
      <c r="G244" s="289"/>
      <c r="H244" s="289"/>
      <c r="I244" s="289"/>
      <c r="J244" s="1760"/>
      <c r="K244" s="1806"/>
      <c r="L244" s="1807"/>
      <c r="M244" s="1814" t="str">
        <f>AC124</f>
        <v>No</v>
      </c>
      <c r="N244" s="1815"/>
      <c r="O244" s="1834"/>
      <c r="P244" s="1835"/>
      <c r="Q244" s="1836"/>
      <c r="R244" s="1333"/>
      <c r="S244" s="1333"/>
      <c r="T244" s="1333"/>
      <c r="U244" s="1333"/>
      <c r="V244" s="1333"/>
      <c r="W244" s="1333"/>
      <c r="X244" s="1333"/>
      <c r="Y244" s="1333"/>
      <c r="Z244" s="1333"/>
      <c r="AA244" s="1333"/>
      <c r="AB244" s="954"/>
      <c r="AC244" s="954"/>
      <c r="AD244" s="954"/>
      <c r="AE244" s="954"/>
      <c r="AF244" s="954"/>
      <c r="AG244" s="954"/>
      <c r="AH244" s="954"/>
      <c r="AI244" s="954"/>
      <c r="AJ244" s="954"/>
    </row>
    <row r="245" spans="1:36">
      <c r="A245" s="1333"/>
      <c r="B245" s="825" t="str">
        <f>'Iteration II Simulation'!$D$164</f>
        <v>Q26</v>
      </c>
      <c r="C245" s="826" t="str">
        <f>'Iteration II Simulation'!$E$164</f>
        <v>Excluding food and takeaway deliveries, do you make online purchases (E.g. Clothing, Beauty, Technology, etc.)?</v>
      </c>
      <c r="D245" s="827"/>
      <c r="E245" s="827"/>
      <c r="F245" s="827"/>
      <c r="G245" s="827"/>
      <c r="H245" s="827"/>
      <c r="I245" s="827"/>
      <c r="J245" s="512"/>
      <c r="K245" s="1783"/>
      <c r="L245" s="1784"/>
      <c r="M245" s="1818" t="str">
        <f>H166</f>
        <v>No</v>
      </c>
      <c r="N245" s="1819"/>
      <c r="O245" s="1789"/>
      <c r="P245" s="1790"/>
      <c r="Q245" s="1791"/>
      <c r="R245" s="1333"/>
      <c r="S245" s="1333"/>
      <c r="T245" s="1333"/>
      <c r="U245" s="1333"/>
      <c r="V245" s="1333"/>
      <c r="W245" s="1333"/>
      <c r="X245" s="1333"/>
      <c r="Y245" s="1333"/>
      <c r="Z245" s="1333"/>
      <c r="AA245" s="1333"/>
      <c r="AB245" s="954"/>
      <c r="AC245" s="954"/>
      <c r="AD245" s="954"/>
      <c r="AE245" s="954"/>
      <c r="AF245" s="954"/>
      <c r="AG245" s="954"/>
      <c r="AH245" s="954"/>
      <c r="AI245" s="954"/>
      <c r="AJ245" s="954"/>
    </row>
    <row r="246" spans="1:36" ht="17" customHeight="1">
      <c r="A246" s="1333"/>
      <c r="B246" s="811" t="str">
        <f>'Iteration II Simulation'!$D$169</f>
        <v>Q27</v>
      </c>
      <c r="C246" s="828" t="str">
        <f>'Iteration II Simulation'!$E$169</f>
        <v>On average, how many online purchases do you make each week?</v>
      </c>
      <c r="D246" s="829"/>
      <c r="E246" s="829"/>
      <c r="F246" s="829"/>
      <c r="G246" s="829"/>
      <c r="H246" s="829"/>
      <c r="I246" s="829"/>
      <c r="J246" s="1758"/>
      <c r="K246" s="1785" t="s">
        <v>3454</v>
      </c>
      <c r="L246" s="1786"/>
      <c r="M246" s="1816">
        <f>IF(H166=E165,G170,1)</f>
        <v>1</v>
      </c>
      <c r="N246" s="1817"/>
      <c r="O246" s="1798"/>
      <c r="P246" s="1799"/>
      <c r="Q246" s="1800"/>
      <c r="R246" s="1333"/>
      <c r="S246" s="1333"/>
      <c r="T246" s="1333"/>
      <c r="U246" s="1333"/>
      <c r="V246" s="1333"/>
      <c r="W246" s="1333"/>
      <c r="X246" s="1333"/>
      <c r="Y246" s="1333"/>
      <c r="Z246" s="1333"/>
      <c r="AA246" s="1333"/>
      <c r="AB246" s="954"/>
      <c r="AC246" s="954"/>
      <c r="AD246" s="954"/>
      <c r="AE246" s="954"/>
      <c r="AF246" s="954"/>
      <c r="AG246" s="954"/>
      <c r="AH246" s="954"/>
      <c r="AI246" s="954"/>
      <c r="AJ246" s="954"/>
    </row>
    <row r="247" spans="1:36">
      <c r="A247" s="1333"/>
      <c r="B247" s="810" t="str">
        <f>'Iteration II Simulation'!$L$164</f>
        <v>Q28</v>
      </c>
      <c r="C247" s="830" t="str">
        <f>'Iteration II Simulation'!$M$164</f>
        <v>Do you shop for grocery online (E.g. Sainsbury, Ocado, Asda, etc.)?</v>
      </c>
      <c r="D247" s="827"/>
      <c r="E247" s="827"/>
      <c r="F247" s="827"/>
      <c r="G247" s="827"/>
      <c r="H247" s="827"/>
      <c r="I247" s="827"/>
      <c r="J247" s="512"/>
      <c r="K247" s="1783"/>
      <c r="L247" s="1784"/>
      <c r="M247" s="1820" t="str">
        <f>P166</f>
        <v>No</v>
      </c>
      <c r="N247" s="1821"/>
      <c r="O247" s="1789"/>
      <c r="P247" s="1790"/>
      <c r="Q247" s="1791"/>
      <c r="R247" s="1333"/>
      <c r="S247" s="1333"/>
      <c r="T247" s="1333"/>
      <c r="U247" s="1333"/>
      <c r="V247" s="1333"/>
      <c r="W247" s="1333"/>
      <c r="X247" s="1333"/>
      <c r="Y247" s="1333"/>
      <c r="Z247" s="1333"/>
      <c r="AA247" s="1333"/>
      <c r="AB247" s="954"/>
      <c r="AC247" s="954"/>
      <c r="AD247" s="954"/>
      <c r="AE247" s="954"/>
      <c r="AF247" s="954"/>
      <c r="AG247" s="954"/>
      <c r="AH247" s="954"/>
      <c r="AI247" s="954"/>
      <c r="AJ247" s="954"/>
    </row>
    <row r="248" spans="1:36">
      <c r="A248" s="1333"/>
      <c r="B248" s="811" t="str">
        <f>'Iteration II Simulation'!$L$169</f>
        <v>Q29</v>
      </c>
      <c r="C248" s="831" t="str">
        <f>'Iteration II Simulation'!$M$169</f>
        <v>On average, how many grocery shops delivery do you make each week?</v>
      </c>
      <c r="D248" s="829"/>
      <c r="E248" s="829"/>
      <c r="F248" s="829"/>
      <c r="G248" s="829"/>
      <c r="H248" s="829"/>
      <c r="I248" s="829"/>
      <c r="J248" s="1758"/>
      <c r="K248" s="1787" t="s">
        <v>3453</v>
      </c>
      <c r="L248" s="1788"/>
      <c r="M248" s="1802">
        <f>IF(P166=M165,O170,1)</f>
        <v>1</v>
      </c>
      <c r="N248" s="1803"/>
      <c r="O248" s="1958"/>
      <c r="P248" s="1959"/>
      <c r="Q248" s="1960"/>
      <c r="R248" s="1333"/>
      <c r="S248" s="1333"/>
      <c r="T248" s="1333"/>
      <c r="U248" s="1333"/>
      <c r="V248" s="1333"/>
      <c r="W248" s="1333"/>
      <c r="X248" s="1333"/>
      <c r="Y248" s="1333"/>
      <c r="Z248" s="1333"/>
      <c r="AA248" s="1333"/>
      <c r="AB248" s="954"/>
      <c r="AC248" s="954"/>
      <c r="AD248" s="954"/>
      <c r="AE248" s="954"/>
      <c r="AF248" s="954"/>
      <c r="AG248" s="954"/>
      <c r="AH248" s="954"/>
      <c r="AI248" s="954"/>
      <c r="AJ248" s="954"/>
    </row>
    <row r="249" spans="1:36" ht="17" customHeight="1">
      <c r="A249" s="1333"/>
      <c r="B249" s="1333"/>
      <c r="C249" s="1333"/>
      <c r="D249" s="1342"/>
      <c r="E249" s="1333"/>
      <c r="F249" s="1333"/>
      <c r="G249" s="1333"/>
      <c r="H249" s="1333"/>
      <c r="I249" s="1333"/>
      <c r="J249" s="1333"/>
      <c r="K249" s="1333"/>
      <c r="L249" s="1333"/>
      <c r="M249" s="1333"/>
      <c r="N249" s="1333"/>
      <c r="O249" s="1333"/>
      <c r="P249" s="1333"/>
      <c r="Q249" s="1333"/>
      <c r="R249" s="1333"/>
      <c r="S249" s="1333"/>
      <c r="T249" s="1333"/>
      <c r="U249" s="1333"/>
      <c r="V249" s="1333"/>
      <c r="W249" s="1333"/>
      <c r="X249" s="1333"/>
      <c r="Y249" s="1333"/>
      <c r="Z249" s="1333"/>
      <c r="AA249" s="1333"/>
      <c r="AB249" s="954"/>
      <c r="AC249" s="954"/>
      <c r="AD249" s="954"/>
      <c r="AE249" s="954"/>
      <c r="AF249" s="954"/>
      <c r="AG249" s="954"/>
      <c r="AH249" s="954"/>
      <c r="AI249" s="954"/>
      <c r="AJ249" s="954"/>
    </row>
    <row r="250" spans="1:36" ht="16" customHeight="1">
      <c r="A250" s="1333"/>
      <c r="B250" s="1333"/>
      <c r="C250" s="1333"/>
      <c r="D250" s="1342"/>
      <c r="E250" s="1333"/>
      <c r="F250" s="1333"/>
      <c r="G250" s="1333"/>
      <c r="H250" s="1333"/>
      <c r="I250" s="1333"/>
      <c r="J250" s="1333"/>
      <c r="K250" s="1333"/>
      <c r="L250" s="1333"/>
      <c r="M250" s="1333"/>
      <c r="N250" s="1333"/>
      <c r="O250" s="1333"/>
      <c r="P250" s="1333"/>
      <c r="Q250" s="1333"/>
      <c r="R250" s="1333"/>
      <c r="S250" s="1333"/>
      <c r="T250" s="1333"/>
      <c r="U250" s="1333"/>
      <c r="V250" s="1333"/>
      <c r="W250" s="1333"/>
      <c r="X250" s="1333"/>
      <c r="Y250" s="1333"/>
      <c r="Z250" s="1333"/>
      <c r="AA250" s="1333"/>
      <c r="AB250" s="954"/>
      <c r="AC250" s="954"/>
      <c r="AD250" s="954"/>
      <c r="AE250" s="954"/>
      <c r="AF250" s="954"/>
      <c r="AG250" s="954"/>
      <c r="AH250" s="954"/>
      <c r="AI250" s="954"/>
      <c r="AJ250" s="954"/>
    </row>
    <row r="251" spans="1:36" ht="16" customHeight="1">
      <c r="A251" s="852"/>
      <c r="B251" s="852"/>
      <c r="C251" s="852"/>
      <c r="D251" s="589"/>
      <c r="E251" s="852"/>
      <c r="F251" s="852"/>
      <c r="G251" s="852"/>
      <c r="H251" s="852"/>
      <c r="I251" s="852"/>
      <c r="J251" s="852"/>
      <c r="K251" s="852"/>
      <c r="L251" s="852"/>
      <c r="M251" s="852"/>
      <c r="N251" s="852"/>
      <c r="O251" s="852"/>
      <c r="P251" s="852"/>
      <c r="Q251" s="852"/>
      <c r="R251" s="852"/>
      <c r="S251" s="852"/>
      <c r="T251" s="852"/>
      <c r="U251" s="852"/>
      <c r="V251" s="852"/>
      <c r="W251" s="852"/>
      <c r="X251" s="852"/>
      <c r="Y251" s="852"/>
      <c r="Z251" s="852"/>
      <c r="AA251" s="852"/>
      <c r="AB251" s="605"/>
      <c r="AC251" s="605"/>
      <c r="AD251" s="605"/>
      <c r="AE251" s="605"/>
      <c r="AF251" s="605"/>
      <c r="AG251" s="605"/>
      <c r="AH251" s="605"/>
      <c r="AI251" s="605"/>
    </row>
    <row r="252" spans="1:36" ht="16" customHeight="1">
      <c r="A252" s="852"/>
      <c r="B252" s="852"/>
      <c r="C252" s="852"/>
      <c r="D252" s="589"/>
      <c r="E252" s="852"/>
      <c r="F252" s="852"/>
      <c r="G252" s="852"/>
      <c r="H252" s="852"/>
      <c r="I252" s="852"/>
      <c r="J252" s="852"/>
      <c r="K252" s="852"/>
      <c r="L252" s="852"/>
      <c r="M252" s="852"/>
      <c r="N252" s="852"/>
      <c r="O252" s="852"/>
      <c r="P252" s="852"/>
      <c r="Q252" s="852"/>
      <c r="R252" s="852"/>
      <c r="S252" s="852"/>
      <c r="T252" s="852"/>
      <c r="U252" s="852"/>
      <c r="V252" s="852"/>
      <c r="W252" s="852"/>
      <c r="X252" s="852"/>
      <c r="Y252" s="852"/>
      <c r="Z252" s="852"/>
      <c r="AA252" s="852"/>
      <c r="AB252" s="605"/>
      <c r="AC252" s="605"/>
      <c r="AD252" s="605"/>
      <c r="AE252" s="605"/>
      <c r="AF252" s="605"/>
      <c r="AG252" s="605"/>
      <c r="AH252" s="605"/>
      <c r="AI252" s="605"/>
    </row>
    <row r="253" spans="1:36" ht="17" customHeight="1">
      <c r="A253" s="1333"/>
      <c r="B253" s="1333"/>
      <c r="C253" s="1333"/>
      <c r="D253" s="1333"/>
      <c r="E253" s="1333"/>
      <c r="F253" s="1333"/>
      <c r="G253" s="1333"/>
      <c r="H253" s="1333"/>
      <c r="I253" s="1333"/>
      <c r="J253" s="1333"/>
      <c r="K253" s="1333"/>
      <c r="L253" s="1333"/>
      <c r="M253" s="1333"/>
      <c r="N253" s="1333"/>
      <c r="O253" s="1333"/>
      <c r="P253" s="1333"/>
      <c r="Q253" s="1333"/>
      <c r="R253" s="1333"/>
      <c r="S253" s="1333"/>
      <c r="T253" s="1333"/>
      <c r="U253" s="1333"/>
      <c r="V253" s="1333"/>
      <c r="W253" s="1333"/>
      <c r="X253" s="1333"/>
      <c r="Y253" s="1333"/>
      <c r="Z253" s="1333"/>
      <c r="AA253" s="1333"/>
      <c r="AB253" s="954"/>
      <c r="AC253" s="954"/>
      <c r="AD253" s="954"/>
      <c r="AE253" s="954"/>
      <c r="AF253" s="954"/>
      <c r="AG253" s="1333"/>
      <c r="AH253" s="1333"/>
      <c r="AI253" s="1333"/>
      <c r="AJ253" s="1333"/>
    </row>
    <row r="254" spans="1:36" ht="17" customHeight="1">
      <c r="A254" s="1333"/>
      <c r="B254" s="1333"/>
      <c r="C254" s="1937" t="s">
        <v>3713</v>
      </c>
      <c r="D254" s="1938"/>
      <c r="E254" s="1938"/>
      <c r="F254" s="1939"/>
      <c r="G254" s="1333"/>
      <c r="H254" s="1333"/>
      <c r="I254" s="1333"/>
      <c r="J254" s="1333"/>
      <c r="K254" s="1333"/>
      <c r="L254" s="1333"/>
      <c r="M254" s="1333"/>
      <c r="N254" s="1333"/>
      <c r="O254" s="1333"/>
      <c r="P254" s="1333"/>
      <c r="Q254" s="1333"/>
      <c r="R254" s="1333"/>
      <c r="S254" s="1333"/>
      <c r="T254" s="1333"/>
      <c r="U254" s="1333"/>
      <c r="V254" s="1333"/>
      <c r="W254" s="1333"/>
      <c r="X254" s="1333"/>
      <c r="Y254" s="1333"/>
      <c r="Z254" s="1333"/>
      <c r="AA254" s="1333"/>
      <c r="AB254" s="954"/>
      <c r="AC254" s="954"/>
      <c r="AD254" s="954"/>
      <c r="AE254" s="954"/>
      <c r="AF254" s="954"/>
      <c r="AG254" s="1333"/>
      <c r="AH254" s="1333"/>
      <c r="AI254" s="1333"/>
      <c r="AJ254" s="1333"/>
    </row>
    <row r="255" spans="1:36" ht="17" customHeight="1">
      <c r="A255" s="1333"/>
      <c r="B255" s="1333"/>
      <c r="C255" s="1940"/>
      <c r="D255" s="1941"/>
      <c r="E255" s="1941"/>
      <c r="F255" s="1942"/>
      <c r="G255" s="1333"/>
      <c r="H255" s="1333"/>
      <c r="I255" s="1333"/>
      <c r="J255" s="1333"/>
      <c r="K255" s="1333"/>
      <c r="L255" s="1333"/>
      <c r="M255" s="1333"/>
      <c r="N255" s="1333"/>
      <c r="O255" s="1333"/>
      <c r="P255" s="1333"/>
      <c r="Q255" s="1333"/>
      <c r="R255" s="1333"/>
      <c r="S255" s="1333"/>
      <c r="T255" s="1333"/>
      <c r="U255" s="1333"/>
      <c r="V255" s="1333"/>
      <c r="W255" s="1333"/>
      <c r="X255" s="1333"/>
      <c r="Y255" s="1333"/>
      <c r="Z255" s="1333"/>
      <c r="AA255" s="1333"/>
      <c r="AB255" s="954"/>
      <c r="AC255" s="954"/>
      <c r="AD255" s="954"/>
      <c r="AE255" s="954"/>
      <c r="AF255" s="954"/>
      <c r="AG255" s="1333"/>
      <c r="AH255" s="1333"/>
      <c r="AI255" s="1333"/>
      <c r="AJ255" s="1333"/>
    </row>
    <row r="256" spans="1:36" ht="16" customHeight="1">
      <c r="A256" s="1333"/>
      <c r="B256" s="1333"/>
      <c r="C256" s="1333"/>
      <c r="D256" s="1333"/>
      <c r="E256" s="1333"/>
      <c r="F256" s="1333"/>
      <c r="G256" s="1333"/>
      <c r="H256" s="1333"/>
      <c r="I256" s="1333"/>
      <c r="J256" s="1333"/>
      <c r="K256" s="1333"/>
      <c r="L256" s="1333"/>
      <c r="M256" s="1333"/>
      <c r="N256" s="1333"/>
      <c r="O256" s="1333"/>
      <c r="P256" s="1333"/>
      <c r="Q256" s="1333"/>
      <c r="R256" s="1333"/>
      <c r="S256" s="1333"/>
      <c r="T256" s="1333"/>
      <c r="U256" s="1333"/>
      <c r="V256" s="1333"/>
      <c r="W256" s="1333"/>
      <c r="X256" s="1333"/>
      <c r="Y256" s="1333"/>
      <c r="Z256" s="1333"/>
      <c r="AA256" s="1333"/>
      <c r="AB256" s="1333"/>
      <c r="AC256" s="1333"/>
      <c r="AD256" s="1333"/>
      <c r="AE256" s="1333"/>
      <c r="AF256" s="1333"/>
      <c r="AG256" s="1333"/>
      <c r="AH256" s="1333"/>
      <c r="AI256" s="1333"/>
      <c r="AJ256" s="1333"/>
    </row>
    <row r="257" spans="1:36" ht="37">
      <c r="A257" s="1333"/>
      <c r="B257" s="1341"/>
      <c r="C257" s="1345" t="s">
        <v>3466</v>
      </c>
      <c r="D257" s="1345"/>
      <c r="E257" s="1345"/>
      <c r="F257" s="1345"/>
      <c r="G257" s="1345"/>
      <c r="H257" s="907"/>
      <c r="I257" s="1345"/>
      <c r="J257" s="1345"/>
      <c r="K257" s="1345"/>
      <c r="L257" s="1345"/>
      <c r="M257" s="907"/>
      <c r="N257" s="907"/>
      <c r="O257" s="907"/>
      <c r="P257" s="907"/>
      <c r="Q257" s="907"/>
      <c r="R257" s="907"/>
      <c r="S257" s="907"/>
      <c r="T257" s="907"/>
      <c r="U257" s="907"/>
      <c r="V257" s="1333"/>
      <c r="W257" s="1333"/>
      <c r="X257" s="1333"/>
      <c r="Y257" s="1333"/>
      <c r="Z257" s="1333"/>
      <c r="AA257" s="1333"/>
      <c r="AB257" s="1333"/>
      <c r="AC257" s="1333"/>
      <c r="AD257" s="1333"/>
      <c r="AE257" s="1333"/>
      <c r="AF257" s="1333"/>
      <c r="AG257" s="1333"/>
      <c r="AH257" s="1333"/>
      <c r="AI257" s="1333"/>
      <c r="AJ257" s="1333"/>
    </row>
    <row r="258" spans="1:36" ht="17" customHeight="1">
      <c r="A258" s="1333"/>
      <c r="B258" s="1341"/>
      <c r="C258" s="1441" t="s">
        <v>3712</v>
      </c>
      <c r="D258" s="1345"/>
      <c r="E258" s="1345"/>
      <c r="F258" s="1345"/>
      <c r="G258" s="1345"/>
      <c r="H258" s="1345"/>
      <c r="I258" s="1345"/>
      <c r="J258" s="1345"/>
      <c r="K258" s="1345"/>
      <c r="L258" s="1345"/>
      <c r="M258" s="907"/>
      <c r="N258" s="907"/>
      <c r="O258" s="907"/>
      <c r="P258" s="907"/>
      <c r="Q258" s="907"/>
      <c r="R258" s="907"/>
      <c r="S258" s="907"/>
      <c r="T258" s="907"/>
      <c r="U258" s="907"/>
      <c r="V258" s="1333"/>
      <c r="W258" s="1333"/>
      <c r="X258" s="1333"/>
      <c r="Y258" s="1333"/>
      <c r="Z258" s="1333"/>
      <c r="AA258" s="1333"/>
      <c r="AB258" s="1333"/>
      <c r="AC258" s="1333"/>
      <c r="AD258" s="1333"/>
      <c r="AE258" s="1333"/>
      <c r="AF258" s="1333"/>
      <c r="AG258" s="1333"/>
      <c r="AH258" s="1333"/>
      <c r="AI258" s="1333"/>
      <c r="AJ258" s="1333"/>
    </row>
    <row r="259" spans="1:36" ht="17" customHeight="1">
      <c r="A259" s="1333"/>
      <c r="B259" s="1333"/>
      <c r="C259" s="1441" t="s">
        <v>3713</v>
      </c>
      <c r="D259" s="907"/>
      <c r="E259" s="907"/>
      <c r="F259" s="907"/>
      <c r="G259" s="907"/>
      <c r="H259" s="907"/>
      <c r="I259" s="907"/>
      <c r="J259" s="907"/>
      <c r="K259" s="907"/>
      <c r="L259" s="907"/>
      <c r="M259" s="907"/>
      <c r="N259" s="907"/>
      <c r="O259" s="907"/>
      <c r="P259" s="907"/>
      <c r="Q259" s="907"/>
      <c r="R259" s="907"/>
      <c r="S259" s="907"/>
      <c r="T259" s="907"/>
      <c r="U259" s="907"/>
      <c r="V259" s="1333"/>
      <c r="W259" s="1333"/>
      <c r="X259" s="1333"/>
      <c r="Y259" s="1333"/>
      <c r="Z259" s="1333"/>
      <c r="AA259" s="1333"/>
      <c r="AB259" s="1333"/>
      <c r="AC259" s="1333"/>
      <c r="AD259" s="1333"/>
      <c r="AE259" s="1333"/>
      <c r="AF259" s="1333"/>
      <c r="AG259" s="1333"/>
      <c r="AH259" s="1333"/>
      <c r="AI259" s="1333"/>
      <c r="AJ259" s="1333"/>
    </row>
    <row r="260" spans="1:36" ht="17" thickBot="1">
      <c r="A260" s="1333"/>
      <c r="B260" s="1333"/>
      <c r="C260" s="907"/>
      <c r="D260" s="907"/>
      <c r="E260" s="907"/>
      <c r="F260" s="907"/>
      <c r="G260" s="907"/>
      <c r="H260" s="907"/>
      <c r="I260" s="907"/>
      <c r="J260" s="907"/>
      <c r="K260" s="907"/>
      <c r="L260" s="907"/>
      <c r="M260" s="907"/>
      <c r="N260" s="907"/>
      <c r="O260" s="907"/>
      <c r="P260" s="907"/>
      <c r="Q260" s="907"/>
      <c r="R260" s="907"/>
      <c r="S260" s="907"/>
      <c r="T260" s="907"/>
      <c r="U260" s="907"/>
      <c r="V260" s="1333"/>
      <c r="W260" s="1333"/>
      <c r="X260" s="1333"/>
      <c r="Y260" s="1333"/>
      <c r="Z260" s="1333"/>
      <c r="AA260" s="1333"/>
      <c r="AB260" s="1333"/>
      <c r="AC260" s="1333"/>
      <c r="AD260" s="1333"/>
      <c r="AE260" s="1333"/>
      <c r="AF260" s="1333"/>
      <c r="AG260" s="1333"/>
      <c r="AH260" s="1333"/>
      <c r="AI260" s="1333"/>
      <c r="AJ260" s="1333"/>
    </row>
    <row r="261" spans="1:36" ht="17" thickBot="1">
      <c r="A261" s="1333"/>
      <c r="B261" s="1333"/>
      <c r="C261" s="907" t="s">
        <v>3481</v>
      </c>
      <c r="D261" s="1397" t="s">
        <v>3463</v>
      </c>
      <c r="E261" s="832">
        <f>SUM(K264:K269)</f>
        <v>0</v>
      </c>
      <c r="F261" s="1404">
        <f>SUM(M264:M269)</f>
        <v>0</v>
      </c>
      <c r="G261" s="1411" t="str">
        <f t="shared" ref="G261:G269" si="2">IF(E261&gt;F261,"↓"&amp;(E261-F261),IF(F261&gt;E261,"↑"&amp;(F261-E261),"0"))</f>
        <v>0</v>
      </c>
      <c r="H261" s="907"/>
      <c r="I261" s="907"/>
      <c r="J261" s="907"/>
      <c r="K261" s="992" t="s">
        <v>3288</v>
      </c>
      <c r="L261" s="914"/>
      <c r="M261" s="914"/>
      <c r="N261" s="993"/>
      <c r="O261" s="907"/>
      <c r="P261" s="1429" t="s">
        <v>3486</v>
      </c>
      <c r="Q261" s="1430"/>
      <c r="R261" s="907"/>
      <c r="S261" s="1429" t="s">
        <v>3486</v>
      </c>
      <c r="T261" s="1430"/>
      <c r="U261" s="907"/>
      <c r="V261" s="1333"/>
      <c r="W261" s="1333"/>
      <c r="X261" s="1333"/>
      <c r="Y261" s="1333"/>
      <c r="Z261" s="1333"/>
      <c r="AA261" s="1333"/>
      <c r="AB261" s="1333"/>
      <c r="AC261" s="1333"/>
      <c r="AD261" s="1333"/>
      <c r="AE261" s="1333"/>
      <c r="AF261" s="1333"/>
      <c r="AG261" s="1333"/>
      <c r="AH261" s="1333"/>
      <c r="AI261" s="1333"/>
      <c r="AJ261" s="1333"/>
    </row>
    <row r="262" spans="1:36" ht="17" customHeight="1" thickBot="1">
      <c r="A262" s="1333"/>
      <c r="B262" s="1333"/>
      <c r="C262" s="907"/>
      <c r="D262" s="1398" t="s">
        <v>3464</v>
      </c>
      <c r="E262" s="835">
        <f>SUM(L264:L269)</f>
        <v>0</v>
      </c>
      <c r="F262" s="1405">
        <f>SUM(N264:N269)</f>
        <v>0</v>
      </c>
      <c r="G262" s="1411" t="str">
        <f t="shared" si="2"/>
        <v>0</v>
      </c>
      <c r="H262" s="907"/>
      <c r="I262" s="907"/>
      <c r="J262" s="907"/>
      <c r="K262" s="992" t="s">
        <v>3457</v>
      </c>
      <c r="L262" s="993"/>
      <c r="M262" s="1414" t="str">
        <f>O218</f>
        <v>Adjustments</v>
      </c>
      <c r="N262" s="1415"/>
      <c r="O262" s="907"/>
      <c r="P262" s="907"/>
      <c r="Q262" s="907"/>
      <c r="R262" s="907"/>
      <c r="S262" s="907"/>
      <c r="T262" s="907"/>
      <c r="U262" s="907"/>
      <c r="V262" s="1333"/>
      <c r="W262" s="1333"/>
      <c r="X262" s="1333"/>
      <c r="Y262" s="1333"/>
      <c r="Z262" s="1333"/>
      <c r="AA262" s="1333"/>
      <c r="AB262" s="1333"/>
      <c r="AC262" s="1333"/>
      <c r="AD262" s="1333"/>
      <c r="AE262" s="1333"/>
      <c r="AF262" s="1333"/>
      <c r="AG262" s="1333"/>
      <c r="AH262" s="1333"/>
      <c r="AI262" s="1333"/>
      <c r="AJ262" s="1333"/>
    </row>
    <row r="263" spans="1:36" ht="17" thickBot="1">
      <c r="A263" s="1333"/>
      <c r="B263" s="1333"/>
      <c r="C263" s="907" t="s">
        <v>3482</v>
      </c>
      <c r="D263" s="1397" t="s">
        <v>3463</v>
      </c>
      <c r="E263" s="836">
        <f>SUM(K270:K271)</f>
        <v>0</v>
      </c>
      <c r="F263" s="1404">
        <f>SUM(M270:M271)</f>
        <v>0</v>
      </c>
      <c r="G263" s="1411" t="str">
        <f t="shared" si="2"/>
        <v>0</v>
      </c>
      <c r="H263" s="907"/>
      <c r="I263" s="907"/>
      <c r="J263" s="907"/>
      <c r="K263" s="992" t="s">
        <v>26</v>
      </c>
      <c r="L263" s="993" t="s">
        <v>25</v>
      </c>
      <c r="M263" s="1414" t="s">
        <v>26</v>
      </c>
      <c r="N263" s="1415" t="s">
        <v>25</v>
      </c>
      <c r="O263" s="907"/>
      <c r="P263" s="1429" t="s">
        <v>3487</v>
      </c>
      <c r="Q263" s="1430"/>
      <c r="R263" s="907"/>
      <c r="S263" s="1429" t="s">
        <v>3706</v>
      </c>
      <c r="T263" s="1430"/>
      <c r="U263" s="907"/>
      <c r="V263" s="1333"/>
      <c r="W263" s="1333"/>
      <c r="X263" s="1333"/>
      <c r="Y263" s="1333"/>
      <c r="Z263" s="1333"/>
      <c r="AA263" s="1333"/>
      <c r="AB263" s="1333"/>
      <c r="AC263" s="1333"/>
      <c r="AD263" s="1333"/>
      <c r="AE263" s="1333"/>
      <c r="AF263" s="1333"/>
      <c r="AG263" s="1333"/>
      <c r="AH263" s="1333"/>
      <c r="AI263" s="1333"/>
      <c r="AJ263" s="1333"/>
    </row>
    <row r="264" spans="1:36" ht="17" thickBot="1">
      <c r="A264" s="1333"/>
      <c r="B264" s="1333"/>
      <c r="C264" s="907"/>
      <c r="D264" s="1398" t="s">
        <v>3464</v>
      </c>
      <c r="E264" s="837">
        <f>SUM(L270:L271)</f>
        <v>0</v>
      </c>
      <c r="F264" s="1406">
        <f>SUM(N270:N271)</f>
        <v>0</v>
      </c>
      <c r="G264" s="1411" t="str">
        <f t="shared" si="2"/>
        <v>0</v>
      </c>
      <c r="H264" s="907"/>
      <c r="I264" s="908" t="s">
        <v>138</v>
      </c>
      <c r="J264" s="909" t="s">
        <v>48</v>
      </c>
      <c r="K264" s="372" t="str">
        <f>IF($H$20=$M$194,$F$71,"  ")</f>
        <v xml:space="preserve">  </v>
      </c>
      <c r="L264" s="994" t="str">
        <f>IF($H$20=$M$194,$G$71,"  ")</f>
        <v xml:space="preserve">  </v>
      </c>
      <c r="M264" s="1417" t="str">
        <f>Adjustments!H190</f>
        <v xml:space="preserve">  </v>
      </c>
      <c r="N264" s="1418" t="str">
        <f>Adjustments!I190</f>
        <v xml:space="preserve">  </v>
      </c>
      <c r="O264" s="907"/>
      <c r="P264" s="919" t="s">
        <v>3481</v>
      </c>
      <c r="Q264" s="1431">
        <f>SUM(K264:K269)</f>
        <v>0</v>
      </c>
      <c r="R264" s="907"/>
      <c r="S264" s="919" t="s">
        <v>3481</v>
      </c>
      <c r="T264" s="1431">
        <f>SUM(N194:O199)</f>
        <v>0</v>
      </c>
      <c r="U264" s="907"/>
      <c r="V264" s="1333"/>
      <c r="W264" s="1333"/>
      <c r="X264" s="1333"/>
      <c r="Y264" s="1333"/>
      <c r="Z264" s="1333"/>
      <c r="AA264" s="1333"/>
      <c r="AB264" s="1333"/>
      <c r="AC264" s="1333"/>
      <c r="AD264" s="1333"/>
      <c r="AE264" s="1333"/>
      <c r="AF264" s="1333"/>
      <c r="AG264" s="1333"/>
      <c r="AH264" s="1333"/>
      <c r="AI264" s="1333"/>
      <c r="AJ264" s="1333"/>
    </row>
    <row r="265" spans="1:36">
      <c r="A265" s="1333"/>
      <c r="B265" s="1333"/>
      <c r="C265" s="907" t="s">
        <v>3483</v>
      </c>
      <c r="D265" s="1397" t="s">
        <v>3463</v>
      </c>
      <c r="E265" s="838" t="e">
        <f>SUM(K272:K275)</f>
        <v>#N/A</v>
      </c>
      <c r="F265" s="1404" t="e">
        <f>SUM(M272:M275)</f>
        <v>#N/A</v>
      </c>
      <c r="G265" s="1411" t="e">
        <f t="shared" si="2"/>
        <v>#N/A</v>
      </c>
      <c r="H265" s="907"/>
      <c r="I265" s="910" t="s">
        <v>138</v>
      </c>
      <c r="J265" s="907" t="s">
        <v>49</v>
      </c>
      <c r="K265" s="373" t="str">
        <f>IF($H$20=$M$195,$N$71," ")</f>
        <v xml:space="preserve"> </v>
      </c>
      <c r="L265" s="995" t="str">
        <f>IF($H$20=$M$195,$O$71," ")</f>
        <v xml:space="preserve"> </v>
      </c>
      <c r="M265" s="1419" t="str">
        <f>Adjustments!H191</f>
        <v xml:space="preserve"> </v>
      </c>
      <c r="N265" s="1420" t="str">
        <f>Adjustments!I191</f>
        <v xml:space="preserve"> </v>
      </c>
      <c r="O265" s="907"/>
      <c r="P265" s="922" t="s">
        <v>3482</v>
      </c>
      <c r="Q265" s="1432">
        <f>SUM(K270:K271)</f>
        <v>0</v>
      </c>
      <c r="R265" s="907"/>
      <c r="S265" s="922" t="s">
        <v>3482</v>
      </c>
      <c r="T265" s="1432">
        <f>SUM(N200:O201)</f>
        <v>0</v>
      </c>
      <c r="U265" s="907"/>
      <c r="V265" s="1333"/>
      <c r="W265" s="1333"/>
      <c r="X265" s="1333"/>
      <c r="Y265" s="1333"/>
      <c r="Z265" s="1333"/>
      <c r="AA265" s="1333"/>
      <c r="AB265" s="1333"/>
      <c r="AC265" s="1333"/>
      <c r="AD265" s="1333"/>
      <c r="AE265" s="1333"/>
      <c r="AF265" s="1333"/>
      <c r="AG265" s="1333"/>
      <c r="AH265" s="1333"/>
      <c r="AI265" s="1333"/>
      <c r="AJ265" s="1333"/>
    </row>
    <row r="266" spans="1:36" ht="17" thickBot="1">
      <c r="A266" s="1333"/>
      <c r="B266" s="1333"/>
      <c r="C266" s="907"/>
      <c r="D266" s="1398" t="s">
        <v>3464</v>
      </c>
      <c r="E266" s="839" t="e">
        <f>SUM(L272:L275)</f>
        <v>#N/A</v>
      </c>
      <c r="F266" s="1405" t="e">
        <f>SUM(N272:N275)</f>
        <v>#N/A</v>
      </c>
      <c r="G266" s="1411" t="e">
        <f t="shared" si="2"/>
        <v>#N/A</v>
      </c>
      <c r="H266" s="907"/>
      <c r="I266" s="910" t="s">
        <v>138</v>
      </c>
      <c r="J266" s="907" t="s">
        <v>50</v>
      </c>
      <c r="K266" s="373" t="str">
        <f>IF($H$20=$M$196,$V$71," ")</f>
        <v xml:space="preserve"> </v>
      </c>
      <c r="L266" s="995" t="str">
        <f>IF($H$20=$M$196,$W$71," ")</f>
        <v xml:space="preserve"> </v>
      </c>
      <c r="M266" s="1419" t="str">
        <f>Adjustments!H192</f>
        <v xml:space="preserve"> </v>
      </c>
      <c r="N266" s="1420" t="str">
        <f>Adjustments!I192</f>
        <v xml:space="preserve"> </v>
      </c>
      <c r="O266" s="907"/>
      <c r="P266" s="922" t="s">
        <v>3483</v>
      </c>
      <c r="Q266" s="1432" t="e">
        <f>SUM(K272:K275)</f>
        <v>#N/A</v>
      </c>
      <c r="R266" s="907"/>
      <c r="S266" s="922" t="s">
        <v>3483</v>
      </c>
      <c r="T266" s="1432" t="e">
        <f>SUM(N202:O205)</f>
        <v>#N/A</v>
      </c>
      <c r="U266" s="907"/>
      <c r="V266" s="1333"/>
      <c r="W266" s="1333"/>
      <c r="X266" s="1333"/>
      <c r="Y266" s="1333"/>
      <c r="Z266" s="1333"/>
      <c r="AA266" s="1333"/>
      <c r="AB266" s="1333"/>
      <c r="AC266" s="1333"/>
      <c r="AD266" s="1333"/>
      <c r="AE266" s="1333"/>
      <c r="AF266" s="1333"/>
      <c r="AG266" s="1333"/>
      <c r="AH266" s="1333"/>
      <c r="AI266" s="1333"/>
      <c r="AJ266" s="1333"/>
    </row>
    <row r="267" spans="1:36">
      <c r="A267" s="1333"/>
      <c r="B267" s="1333"/>
      <c r="C267" s="907" t="s">
        <v>3484</v>
      </c>
      <c r="D267" s="1397" t="s">
        <v>3463</v>
      </c>
      <c r="E267" s="840">
        <f>SUM(K276:K277)</f>
        <v>0</v>
      </c>
      <c r="F267" s="1404">
        <f>SUM(M276:M277)</f>
        <v>0</v>
      </c>
      <c r="G267" s="1411" t="str">
        <f t="shared" si="2"/>
        <v>0</v>
      </c>
      <c r="H267" s="907"/>
      <c r="I267" s="910" t="s">
        <v>138</v>
      </c>
      <c r="J267" s="907" t="s">
        <v>51</v>
      </c>
      <c r="K267" s="373" t="str">
        <f>IF($H$20=$M$197,0," ")</f>
        <v xml:space="preserve"> </v>
      </c>
      <c r="L267" s="995" t="str">
        <f>IF($H$20=$M$197,0," ")</f>
        <v xml:space="preserve"> </v>
      </c>
      <c r="M267" s="1419" t="str">
        <f>Adjustments!H193</f>
        <v xml:space="preserve"> </v>
      </c>
      <c r="N267" s="1420" t="str">
        <f>Adjustments!I193</f>
        <v xml:space="preserve"> </v>
      </c>
      <c r="O267" s="907"/>
      <c r="P267" s="924" t="s">
        <v>3484</v>
      </c>
      <c r="Q267" s="1433">
        <f>SUM(K276:K277)</f>
        <v>0</v>
      </c>
      <c r="R267" s="907"/>
      <c r="S267" s="924" t="s">
        <v>3484</v>
      </c>
      <c r="T267" s="1433">
        <f>SUM(N206:O207)</f>
        <v>0</v>
      </c>
      <c r="U267" s="907"/>
      <c r="V267" s="1333"/>
      <c r="W267" s="1333"/>
      <c r="X267" s="1333"/>
      <c r="Y267" s="1333"/>
      <c r="Z267" s="1333"/>
      <c r="AA267" s="1333"/>
      <c r="AB267" s="1333"/>
      <c r="AC267" s="1333"/>
      <c r="AD267" s="1333"/>
      <c r="AE267" s="1333"/>
      <c r="AF267" s="1333"/>
      <c r="AG267" s="1333"/>
      <c r="AH267" s="1333"/>
      <c r="AI267" s="1333"/>
      <c r="AJ267" s="1333"/>
    </row>
    <row r="268" spans="1:36" ht="17" thickBot="1">
      <c r="A268" s="1333"/>
      <c r="B268" s="1333"/>
      <c r="C268" s="907"/>
      <c r="D268" s="1398" t="s">
        <v>3464</v>
      </c>
      <c r="E268" s="841">
        <f>SUM(L276:L277)</f>
        <v>0</v>
      </c>
      <c r="F268" s="1405">
        <f>SUM(N276:N277)</f>
        <v>0</v>
      </c>
      <c r="G268" s="1411" t="str">
        <f t="shared" si="2"/>
        <v>0</v>
      </c>
      <c r="H268" s="907"/>
      <c r="I268" s="910" t="s">
        <v>138</v>
      </c>
      <c r="J268" s="907" t="s">
        <v>52</v>
      </c>
      <c r="K268" s="373" t="str">
        <f>IF($H$20=$M$198,0," ")</f>
        <v xml:space="preserve"> </v>
      </c>
      <c r="L268" s="995" t="str">
        <f>IF($H$20=$M$198,0," ")</f>
        <v xml:space="preserve"> </v>
      </c>
      <c r="M268" s="1419" t="str">
        <f>Adjustments!H194</f>
        <v xml:space="preserve"> </v>
      </c>
      <c r="N268" s="1420" t="str">
        <f>Adjustments!I194</f>
        <v xml:space="preserve"> </v>
      </c>
      <c r="O268" s="907"/>
      <c r="P268" s="907"/>
      <c r="Q268" s="907"/>
      <c r="R268" s="907"/>
      <c r="S268" s="907"/>
      <c r="T268" s="907"/>
      <c r="U268" s="907"/>
      <c r="V268" s="1333"/>
      <c r="W268" s="1333"/>
      <c r="X268" s="1333"/>
      <c r="Y268" s="1333"/>
      <c r="Z268" s="1333"/>
      <c r="AA268" s="1333"/>
      <c r="AB268" s="1333"/>
      <c r="AC268" s="1333"/>
      <c r="AD268" s="1333"/>
      <c r="AE268" s="1333"/>
      <c r="AF268" s="1333"/>
      <c r="AG268" s="1333"/>
      <c r="AH268" s="1333"/>
      <c r="AI268" s="1333"/>
      <c r="AJ268" s="1333"/>
    </row>
    <row r="269" spans="1:36" ht="17" thickBot="1">
      <c r="A269" s="1333"/>
      <c r="B269" s="1333"/>
      <c r="C269" s="1399" t="s">
        <v>3465</v>
      </c>
      <c r="D269" s="1397" t="s">
        <v>3463</v>
      </c>
      <c r="E269" s="890" t="e">
        <f>E261+E263+E265+E267</f>
        <v>#N/A</v>
      </c>
      <c r="F269" s="1407" t="e">
        <f>F261+F263+F265+F267</f>
        <v>#N/A</v>
      </c>
      <c r="G269" s="1411" t="e">
        <f t="shared" si="2"/>
        <v>#N/A</v>
      </c>
      <c r="H269" s="907"/>
      <c r="I269" s="912" t="s">
        <v>138</v>
      </c>
      <c r="J269" s="913" t="s">
        <v>53</v>
      </c>
      <c r="K269" s="404" t="str">
        <f>IF($H$20=$M$199,0," ")</f>
        <v xml:space="preserve"> </v>
      </c>
      <c r="L269" s="996" t="str">
        <f>IF($H$20=$M$199,0," ")</f>
        <v xml:space="preserve"> </v>
      </c>
      <c r="M269" s="1419" t="str">
        <f>Adjustments!H195</f>
        <v xml:space="preserve"> </v>
      </c>
      <c r="N269" s="1420" t="str">
        <f>Adjustments!I195</f>
        <v xml:space="preserve"> </v>
      </c>
      <c r="O269" s="907"/>
      <c r="P269" s="1429" t="s">
        <v>3485</v>
      </c>
      <c r="Q269" s="1430"/>
      <c r="R269" s="907"/>
      <c r="S269" s="1429" t="s">
        <v>3459</v>
      </c>
      <c r="T269" s="1430"/>
      <c r="U269" s="907"/>
      <c r="V269" s="1333"/>
      <c r="W269" s="1333"/>
      <c r="X269" s="1333"/>
      <c r="Y269" s="1333"/>
      <c r="Z269" s="1333"/>
      <c r="AA269" s="1333"/>
      <c r="AB269" s="1333"/>
      <c r="AC269" s="1333"/>
      <c r="AD269" s="1333"/>
      <c r="AE269" s="1333"/>
      <c r="AF269" s="1333"/>
      <c r="AG269" s="1333"/>
      <c r="AH269" s="1333"/>
      <c r="AI269" s="1333"/>
      <c r="AJ269" s="1333"/>
    </row>
    <row r="270" spans="1:36" ht="17" thickBot="1">
      <c r="A270" s="1333"/>
      <c r="B270" s="1333"/>
      <c r="C270" s="1400"/>
      <c r="D270" s="1401"/>
      <c r="E270" s="834" t="e">
        <f>IF($N$208&gt;$X$207, "&gt; Avg", "&lt; Avg")</f>
        <v>#N/A</v>
      </c>
      <c r="F270" s="849" t="e">
        <f>IF($F$269&gt;$X$207, "&gt; Avg", "&lt; Avg")</f>
        <v>#N/A</v>
      </c>
      <c r="G270" s="907"/>
      <c r="H270" s="907"/>
      <c r="I270" s="908" t="s">
        <v>139</v>
      </c>
      <c r="J270" s="909" t="s">
        <v>48</v>
      </c>
      <c r="K270" s="396" t="str">
        <f>IF($I$81="Yes",$F$115," ")</f>
        <v xml:space="preserve"> </v>
      </c>
      <c r="L270" s="397" t="str">
        <f>IF($I$81="Yes",$G$115," ")</f>
        <v xml:space="preserve"> </v>
      </c>
      <c r="M270" s="1417" t="str">
        <f>Adjustments!H196</f>
        <v xml:space="preserve"> </v>
      </c>
      <c r="N270" s="1418" t="str">
        <f>Adjustments!I196</f>
        <v xml:space="preserve"> </v>
      </c>
      <c r="O270" s="907"/>
      <c r="P270" s="919" t="s">
        <v>3481</v>
      </c>
      <c r="Q270" s="1431">
        <f>SUM(L264:L269)</f>
        <v>0</v>
      </c>
      <c r="R270" s="907"/>
      <c r="S270" s="919" t="s">
        <v>3481</v>
      </c>
      <c r="T270" s="1431">
        <f>SUM(M264:N269)</f>
        <v>0</v>
      </c>
      <c r="U270" s="907"/>
      <c r="V270" s="1333"/>
      <c r="W270" s="1333"/>
      <c r="X270" s="1333"/>
      <c r="Y270" s="1333"/>
      <c r="Z270" s="1333"/>
      <c r="AA270" s="1333"/>
      <c r="AB270" s="1333"/>
      <c r="AC270" s="1333"/>
      <c r="AD270" s="1333"/>
      <c r="AE270" s="1333"/>
      <c r="AF270" s="1333"/>
      <c r="AG270" s="1333"/>
      <c r="AH270" s="1333"/>
      <c r="AI270" s="1333"/>
      <c r="AJ270" s="1333"/>
    </row>
    <row r="271" spans="1:36" ht="17" thickBot="1">
      <c r="A271" s="1333"/>
      <c r="B271" s="1333"/>
      <c r="C271" s="1400"/>
      <c r="D271" s="1397" t="s">
        <v>3464</v>
      </c>
      <c r="E271" s="890" t="e">
        <f>E262+E264+E266+E268</f>
        <v>#N/A</v>
      </c>
      <c r="F271" s="1407" t="e">
        <f>F262+F264+F266+F268</f>
        <v>#N/A</v>
      </c>
      <c r="G271" s="1411" t="e">
        <f>IF(E271&gt;F271,"↓"&amp;(E271-F271),IF(F271&gt;E271,"↑"&amp;(F271-E271),"0"))</f>
        <v>#N/A</v>
      </c>
      <c r="H271" s="907"/>
      <c r="I271" s="912" t="s">
        <v>139</v>
      </c>
      <c r="J271" s="913" t="s">
        <v>49</v>
      </c>
      <c r="K271" s="398" t="str">
        <f>IF($R$81="Yes",$O$115," ")</f>
        <v xml:space="preserve"> </v>
      </c>
      <c r="L271" s="82" t="str">
        <f>IF($R$81="Yes",$P$115," ")</f>
        <v xml:space="preserve"> </v>
      </c>
      <c r="M271" s="1421" t="str">
        <f>Adjustments!H197</f>
        <v xml:space="preserve"> </v>
      </c>
      <c r="N271" s="1422" t="str">
        <f>Adjustments!I197</f>
        <v xml:space="preserve"> </v>
      </c>
      <c r="O271" s="907"/>
      <c r="P271" s="922" t="s">
        <v>3482</v>
      </c>
      <c r="Q271" s="1432">
        <f>SUM(L270:L271)</f>
        <v>0</v>
      </c>
      <c r="R271" s="907"/>
      <c r="S271" s="922" t="s">
        <v>3482</v>
      </c>
      <c r="T271" s="1432">
        <f>SUM(M270:N271)</f>
        <v>0</v>
      </c>
      <c r="U271" s="907"/>
      <c r="V271" s="1333"/>
      <c r="W271" s="1333"/>
      <c r="X271" s="1333"/>
      <c r="Y271" s="1333"/>
      <c r="Z271" s="1333"/>
      <c r="AA271" s="1333"/>
      <c r="AB271" s="1333"/>
      <c r="AC271" s="1333"/>
      <c r="AD271" s="1333"/>
      <c r="AE271" s="1333"/>
      <c r="AF271" s="1333"/>
      <c r="AG271" s="1333"/>
      <c r="AH271" s="1333"/>
      <c r="AI271" s="1333"/>
      <c r="AJ271" s="1333"/>
    </row>
    <row r="272" spans="1:36" ht="17" thickBot="1">
      <c r="A272" s="1333"/>
      <c r="B272" s="1333"/>
      <c r="C272" s="1401"/>
      <c r="D272" s="1401"/>
      <c r="E272" s="834" t="e">
        <f>IF($O$208&gt;$Y$207, "&gt; Avg", "&lt; Avg")</f>
        <v>#N/A</v>
      </c>
      <c r="F272" s="849" t="e">
        <f>IF($F$271&gt;$Y$207, "&gt; Avg", "&lt; Avg")</f>
        <v>#N/A</v>
      </c>
      <c r="G272" s="907"/>
      <c r="H272" s="907"/>
      <c r="I272" s="908" t="s">
        <v>3309</v>
      </c>
      <c r="J272" s="909"/>
      <c r="K272" s="399" t="e">
        <f>$F$157</f>
        <v>#N/A</v>
      </c>
      <c r="L272" s="400" t="e">
        <f>$G$157</f>
        <v>#N/A</v>
      </c>
      <c r="M272" s="1417" t="e">
        <f>Adjustments!H198</f>
        <v>#N/A</v>
      </c>
      <c r="N272" s="1418" t="e">
        <f>Adjustments!I198</f>
        <v>#N/A</v>
      </c>
      <c r="O272" s="907"/>
      <c r="P272" s="922" t="s">
        <v>3483</v>
      </c>
      <c r="Q272" s="1432" t="e">
        <f>SUM(L272:L275)</f>
        <v>#N/A</v>
      </c>
      <c r="R272" s="907"/>
      <c r="S272" s="922" t="s">
        <v>3483</v>
      </c>
      <c r="T272" s="1432" t="e">
        <f>SUM(M272:N275)</f>
        <v>#N/A</v>
      </c>
      <c r="U272" s="907"/>
      <c r="V272" s="1333"/>
      <c r="W272" s="1333"/>
      <c r="X272" s="1333"/>
      <c r="Y272" s="1333"/>
      <c r="Z272" s="1333"/>
      <c r="AA272" s="1333"/>
      <c r="AB272" s="1333"/>
      <c r="AC272" s="1333"/>
      <c r="AD272" s="1333"/>
      <c r="AE272" s="1333"/>
      <c r="AF272" s="1333"/>
      <c r="AG272" s="1333"/>
      <c r="AH272" s="1333"/>
      <c r="AI272" s="1333"/>
      <c r="AJ272" s="1333"/>
    </row>
    <row r="273" spans="1:36" ht="17" thickBot="1">
      <c r="A273" s="1333"/>
      <c r="B273" s="1333"/>
      <c r="C273" s="907"/>
      <c r="D273" s="907"/>
      <c r="E273" s="907"/>
      <c r="F273" s="907"/>
      <c r="G273" s="907"/>
      <c r="H273" s="907"/>
      <c r="I273" s="910" t="s">
        <v>3310</v>
      </c>
      <c r="J273" s="907"/>
      <c r="K273" s="380" t="str">
        <f>IF($P$124="Yes",$N$157," ")</f>
        <v xml:space="preserve"> </v>
      </c>
      <c r="L273" s="381" t="str">
        <f>IF($P$124="Yes",$O$157," ")</f>
        <v xml:space="preserve"> </v>
      </c>
      <c r="M273" s="1419" t="str">
        <f>Adjustments!H199</f>
        <v xml:space="preserve"> </v>
      </c>
      <c r="N273" s="1420" t="str">
        <f>Adjustments!I199</f>
        <v xml:space="preserve"> </v>
      </c>
      <c r="O273" s="907"/>
      <c r="P273" s="924" t="s">
        <v>3484</v>
      </c>
      <c r="Q273" s="1433">
        <f>SUM(L276:L277)</f>
        <v>0</v>
      </c>
      <c r="R273" s="907"/>
      <c r="S273" s="922" t="s">
        <v>3484</v>
      </c>
      <c r="T273" s="1432">
        <f>SUM(M276:N277)</f>
        <v>0</v>
      </c>
      <c r="U273" s="907"/>
      <c r="V273" s="1333"/>
      <c r="W273" s="1333"/>
      <c r="X273" s="1333"/>
      <c r="Y273" s="1333"/>
      <c r="Z273" s="1333"/>
      <c r="AA273" s="1333"/>
      <c r="AB273" s="1333"/>
      <c r="AC273" s="1333"/>
      <c r="AD273" s="1333"/>
      <c r="AE273" s="1333"/>
      <c r="AF273" s="1333"/>
      <c r="AG273" s="1333"/>
      <c r="AH273" s="1333"/>
      <c r="AI273" s="1333"/>
      <c r="AJ273" s="1333"/>
    </row>
    <row r="274" spans="1:36">
      <c r="A274" s="1333"/>
      <c r="B274" s="1333"/>
      <c r="C274" s="907"/>
      <c r="D274" s="1402" t="s">
        <v>3461</v>
      </c>
      <c r="E274" s="833">
        <f>SUM(K284:K289)</f>
        <v>0</v>
      </c>
      <c r="F274" s="1408">
        <f>SUM(M284:M289)</f>
        <v>0</v>
      </c>
      <c r="G274" s="1412" t="str">
        <f t="shared" ref="G274:G282" si="3">IF(E274&gt;F274,"↓"&amp;(E274-F274),IF(F274&gt;E274,"↑"&amp;(F274-E274),"0"))</f>
        <v>0</v>
      </c>
      <c r="H274" s="907"/>
      <c r="I274" s="910" t="s">
        <v>3311</v>
      </c>
      <c r="J274" s="907"/>
      <c r="K274" s="380" t="str">
        <f>IF($V$124="Yes",$U$157," ")</f>
        <v xml:space="preserve"> </v>
      </c>
      <c r="L274" s="381" t="str">
        <f>IF($V$124="Yes",$V$157," ")</f>
        <v xml:space="preserve"> </v>
      </c>
      <c r="M274" s="1419" t="str">
        <f>Adjustments!H200</f>
        <v xml:space="preserve"> </v>
      </c>
      <c r="N274" s="1420" t="str">
        <f>Adjustments!I200</f>
        <v xml:space="preserve"> </v>
      </c>
      <c r="O274" s="907"/>
      <c r="P274" s="907"/>
      <c r="Q274" s="907"/>
      <c r="R274" s="907"/>
      <c r="S274" s="922" t="s">
        <v>3468</v>
      </c>
      <c r="T274" s="1434" t="e">
        <f>IF(($E$271+$E$269)&gt;($F$269+$F$271),($E$271+$E$269)-($F$271+$F$269),0)</f>
        <v>#N/A</v>
      </c>
      <c r="U274" s="907"/>
      <c r="V274" s="1333"/>
      <c r="W274" s="1333"/>
      <c r="X274" s="1333"/>
      <c r="Y274" s="1333"/>
      <c r="Z274" s="1333"/>
      <c r="AA274" s="1333"/>
      <c r="AB274" s="1333"/>
      <c r="AC274" s="1333"/>
      <c r="AD274" s="1333"/>
      <c r="AE274" s="1333"/>
      <c r="AF274" s="1333"/>
      <c r="AG274" s="1333"/>
      <c r="AH274" s="1333"/>
      <c r="AI274" s="1333"/>
      <c r="AJ274" s="1333"/>
    </row>
    <row r="275" spans="1:36" ht="17" thickBot="1">
      <c r="A275" s="1333"/>
      <c r="B275" s="1333"/>
      <c r="C275" s="907"/>
      <c r="D275" s="1403" t="s">
        <v>3462</v>
      </c>
      <c r="E275" s="842">
        <f>SUM(L284:L289)</f>
        <v>0</v>
      </c>
      <c r="F275" s="1409">
        <f>SUM(N284:N289)</f>
        <v>0</v>
      </c>
      <c r="G275" s="1412" t="str">
        <f t="shared" si="3"/>
        <v>0</v>
      </c>
      <c r="H275" s="907"/>
      <c r="I275" s="912" t="s">
        <v>3312</v>
      </c>
      <c r="J275" s="913"/>
      <c r="K275" s="401" t="str">
        <f>IF($AC$124="Yes",$AA$157," ")</f>
        <v xml:space="preserve"> </v>
      </c>
      <c r="L275" s="229" t="str">
        <f>IF($AC$124="Yes",$AB$157," ")</f>
        <v xml:space="preserve"> </v>
      </c>
      <c r="M275" s="1421" t="str">
        <f>Adjustments!H201</f>
        <v xml:space="preserve"> </v>
      </c>
      <c r="N275" s="1422" t="str">
        <f>Adjustments!I201</f>
        <v xml:space="preserve"> </v>
      </c>
      <c r="O275" s="907"/>
      <c r="P275" s="1771" t="s">
        <v>3488</v>
      </c>
      <c r="Q275" s="1772"/>
      <c r="R275" s="907"/>
      <c r="S275" s="924" t="s">
        <v>3467</v>
      </c>
      <c r="T275" s="926" t="e">
        <f>IF(($E$271+$E$269)&lt;($F$269+$F$271),($F$271+$F$269)-($E$271+$E$269),0)</f>
        <v>#N/A</v>
      </c>
      <c r="U275" s="907"/>
      <c r="V275" s="1333"/>
      <c r="W275" s="1333"/>
      <c r="X275" s="1333"/>
      <c r="Y275" s="1333"/>
      <c r="Z275" s="1333"/>
      <c r="AA275" s="1333"/>
      <c r="AB275" s="1333"/>
      <c r="AC275" s="1333"/>
      <c r="AD275" s="1333"/>
      <c r="AE275" s="1333"/>
      <c r="AF275" s="1333"/>
      <c r="AG275" s="1333"/>
      <c r="AH275" s="1333"/>
      <c r="AI275" s="1333"/>
      <c r="AJ275" s="1333"/>
    </row>
    <row r="276" spans="1:36">
      <c r="A276" s="1333"/>
      <c r="B276" s="1333"/>
      <c r="C276" s="907"/>
      <c r="D276" s="1402" t="s">
        <v>3461</v>
      </c>
      <c r="E276" s="843">
        <f>SUM(K290:K291)</f>
        <v>0</v>
      </c>
      <c r="F276" s="1408">
        <f>SUM(M290:M291)</f>
        <v>0</v>
      </c>
      <c r="G276" s="1412" t="str">
        <f t="shared" si="3"/>
        <v>0</v>
      </c>
      <c r="H276" s="907"/>
      <c r="I276" s="908" t="s">
        <v>3313</v>
      </c>
      <c r="J276" s="909"/>
      <c r="K276" s="402" t="str">
        <f>IF($H$166="Yes",$F$184," ")</f>
        <v xml:space="preserve"> </v>
      </c>
      <c r="L276" s="403" t="str">
        <f>IF($H$166="Yes",$G$184," ")</f>
        <v xml:space="preserve"> </v>
      </c>
      <c r="M276" s="1419" t="str">
        <f>Adjustments!H202</f>
        <v xml:space="preserve"> </v>
      </c>
      <c r="N276" s="1420" t="str">
        <f>Adjustments!I202</f>
        <v xml:space="preserve"> </v>
      </c>
      <c r="O276" s="907"/>
      <c r="P276" s="919" t="s">
        <v>3481</v>
      </c>
      <c r="Q276" s="1431">
        <f>SUM(M264:M269)</f>
        <v>0</v>
      </c>
      <c r="R276" s="907"/>
      <c r="S276" s="911"/>
      <c r="T276" s="1435"/>
      <c r="U276" s="907"/>
      <c r="V276" s="1333"/>
      <c r="W276" s="1333"/>
      <c r="X276" s="1333"/>
      <c r="Y276" s="1333"/>
      <c r="Z276" s="1333"/>
      <c r="AA276" s="1333"/>
      <c r="AB276" s="1333"/>
      <c r="AC276" s="1333"/>
      <c r="AD276" s="1333"/>
      <c r="AE276" s="1333"/>
      <c r="AF276" s="1333"/>
      <c r="AG276" s="1333"/>
      <c r="AH276" s="1333"/>
      <c r="AI276" s="1333"/>
      <c r="AJ276" s="1333"/>
    </row>
    <row r="277" spans="1:36" ht="17" thickBot="1">
      <c r="A277" s="1333"/>
      <c r="B277" s="1333"/>
      <c r="C277" s="907"/>
      <c r="D277" s="1403" t="s">
        <v>3462</v>
      </c>
      <c r="E277" s="844">
        <f>SUM(L290:L291)</f>
        <v>0</v>
      </c>
      <c r="F277" s="1409">
        <f>SUM(N290:N291)</f>
        <v>0</v>
      </c>
      <c r="G277" s="1412" t="str">
        <f t="shared" si="3"/>
        <v>0</v>
      </c>
      <c r="H277" s="907"/>
      <c r="I277" s="912" t="s">
        <v>3314</v>
      </c>
      <c r="J277" s="913"/>
      <c r="K277" s="382" t="str">
        <f>IF($P$166="Yes",$N$184," ")</f>
        <v xml:space="preserve"> </v>
      </c>
      <c r="L277" s="383" t="str">
        <f>IF($P$166="Yes",$O$184," ")</f>
        <v xml:space="preserve"> </v>
      </c>
      <c r="M277" s="1421" t="str">
        <f>Adjustments!H203</f>
        <v xml:space="preserve"> </v>
      </c>
      <c r="N277" s="1422" t="str">
        <f>Adjustments!I203</f>
        <v xml:space="preserve"> </v>
      </c>
      <c r="O277" s="907"/>
      <c r="P277" s="922" t="s">
        <v>3482</v>
      </c>
      <c r="Q277" s="1432">
        <f>SUM(M270:M271)</f>
        <v>0</v>
      </c>
      <c r="R277" s="907"/>
      <c r="S277" s="911"/>
      <c r="T277" s="1435"/>
      <c r="U277" s="907"/>
      <c r="V277" s="1333"/>
      <c r="W277" s="1333"/>
      <c r="X277" s="1333"/>
      <c r="Y277" s="1333"/>
      <c r="Z277" s="1333"/>
      <c r="AA277" s="1333"/>
      <c r="AB277" s="1333"/>
      <c r="AC277" s="1333"/>
      <c r="AD277" s="1333"/>
      <c r="AE277" s="1333"/>
      <c r="AF277" s="1333"/>
      <c r="AG277" s="1333"/>
      <c r="AH277" s="1333"/>
      <c r="AI277" s="1333"/>
      <c r="AJ277" s="1333"/>
    </row>
    <row r="278" spans="1:36" ht="17" thickBot="1">
      <c r="A278" s="1333"/>
      <c r="B278" s="1333"/>
      <c r="C278" s="907"/>
      <c r="D278" s="1402" t="s">
        <v>3461</v>
      </c>
      <c r="E278" s="845" t="e">
        <f>SUM(K292:K295)</f>
        <v>#N/A</v>
      </c>
      <c r="F278" s="1408" t="e">
        <f>SUM(M292:M295)</f>
        <v>#N/A</v>
      </c>
      <c r="G278" s="1412" t="e">
        <f t="shared" si="3"/>
        <v>#N/A</v>
      </c>
      <c r="H278" s="907"/>
      <c r="I278" s="907"/>
      <c r="J278" s="907"/>
      <c r="K278" s="915" t="e">
        <f>SUM(K264:K277)</f>
        <v>#N/A</v>
      </c>
      <c r="L278" s="915" t="e">
        <f>SUM(L264:L277)</f>
        <v>#N/A</v>
      </c>
      <c r="M278" s="915" t="e">
        <f>SUM(M264:M277)</f>
        <v>#N/A</v>
      </c>
      <c r="N278" s="915" t="e">
        <f>SUM(N264:N277)</f>
        <v>#N/A</v>
      </c>
      <c r="O278" s="907"/>
      <c r="P278" s="922" t="s">
        <v>3483</v>
      </c>
      <c r="Q278" s="1432" t="e">
        <f>SUM(M272:M275)</f>
        <v>#N/A</v>
      </c>
      <c r="R278" s="907"/>
      <c r="S278" s="911"/>
      <c r="T278" s="1435"/>
      <c r="U278" s="907"/>
      <c r="V278" s="1333"/>
      <c r="W278" s="1333"/>
      <c r="X278" s="1333"/>
      <c r="Y278" s="1333"/>
      <c r="Z278" s="1333"/>
      <c r="AA278" s="1333"/>
      <c r="AB278" s="1333"/>
      <c r="AC278" s="1333"/>
      <c r="AD278" s="1333"/>
      <c r="AE278" s="1333"/>
      <c r="AF278" s="1333"/>
      <c r="AG278" s="1333"/>
      <c r="AH278" s="1333"/>
      <c r="AI278" s="1333"/>
      <c r="AJ278" s="1333"/>
    </row>
    <row r="279" spans="1:36" ht="18" thickTop="1" thickBot="1">
      <c r="A279" s="1333"/>
      <c r="B279" s="1333"/>
      <c r="C279" s="907"/>
      <c r="D279" s="1403" t="s">
        <v>3462</v>
      </c>
      <c r="E279" s="846" t="e">
        <f>SUM(L292:L295)</f>
        <v>#N/A</v>
      </c>
      <c r="F279" s="1409" t="e">
        <f>SUM(N292:N295)</f>
        <v>#N/A</v>
      </c>
      <c r="G279" s="1412" t="e">
        <f t="shared" si="3"/>
        <v>#N/A</v>
      </c>
      <c r="H279" s="907"/>
      <c r="I279" s="907"/>
      <c r="J279" s="907"/>
      <c r="K279" s="834" t="e">
        <f>IF($N$208&gt;$X$207, "&gt; Avg", "&lt; Avg")</f>
        <v>#N/A</v>
      </c>
      <c r="L279" s="834" t="e">
        <f>IF($O$208&gt;$Y$207, "&gt; Avg", "&lt; Avg")</f>
        <v>#N/A</v>
      </c>
      <c r="M279" s="849" t="e">
        <f>IF($F$269&gt;$X$207, "&gt; Avg", "&lt; Avg")</f>
        <v>#N/A</v>
      </c>
      <c r="N279" s="849" t="e">
        <f>IF($F$271&gt;$Y$207, "&gt; Avg", "&lt; Avg")</f>
        <v>#N/A</v>
      </c>
      <c r="O279" s="907"/>
      <c r="P279" s="922" t="s">
        <v>3484</v>
      </c>
      <c r="Q279" s="1432">
        <f>SUM(M276:M277)</f>
        <v>0</v>
      </c>
      <c r="R279" s="907"/>
      <c r="S279" s="911"/>
      <c r="T279" s="1435"/>
      <c r="U279" s="907"/>
      <c r="V279" s="1333"/>
      <c r="W279" s="1333"/>
      <c r="X279" s="1333"/>
      <c r="Y279" s="1333"/>
      <c r="Z279" s="1333"/>
      <c r="AA279" s="1333"/>
      <c r="AB279" s="1333"/>
      <c r="AC279" s="1333"/>
      <c r="AD279" s="1333"/>
      <c r="AE279" s="1333"/>
      <c r="AF279" s="1333"/>
      <c r="AG279" s="1333"/>
      <c r="AH279" s="1333"/>
      <c r="AI279" s="1333"/>
      <c r="AJ279" s="1333"/>
    </row>
    <row r="280" spans="1:36" ht="17" thickBot="1">
      <c r="A280" s="1333"/>
      <c r="B280" s="1333"/>
      <c r="C280" s="907"/>
      <c r="D280" s="1402" t="s">
        <v>3461</v>
      </c>
      <c r="E280" s="847">
        <f>SUM(K296:K297)</f>
        <v>0</v>
      </c>
      <c r="F280" s="1408">
        <f>SUM(M296:M297)</f>
        <v>0</v>
      </c>
      <c r="G280" s="1412" t="str">
        <f t="shared" si="3"/>
        <v>0</v>
      </c>
      <c r="H280" s="907"/>
      <c r="I280" s="907"/>
      <c r="J280" s="907"/>
      <c r="K280" s="907"/>
      <c r="L280" s="907"/>
      <c r="M280" s="907"/>
      <c r="N280" s="907"/>
      <c r="O280" s="907"/>
      <c r="P280" s="922" t="s">
        <v>3468</v>
      </c>
      <c r="Q280" s="1434" t="e">
        <f>IF(E269&gt;F269,E269-F269,0)</f>
        <v>#N/A</v>
      </c>
      <c r="R280" s="907"/>
      <c r="S280" s="911"/>
      <c r="T280" s="1436"/>
      <c r="U280" s="907"/>
      <c r="V280" s="1333"/>
      <c r="W280" s="1333"/>
      <c r="X280" s="1333"/>
      <c r="Y280" s="1333"/>
      <c r="Z280" s="1333"/>
      <c r="AA280" s="1333"/>
      <c r="AB280" s="1333"/>
      <c r="AC280" s="1333"/>
      <c r="AD280" s="1333"/>
      <c r="AE280" s="1333"/>
      <c r="AF280" s="1333"/>
      <c r="AG280" s="1333"/>
      <c r="AH280" s="1333"/>
      <c r="AI280" s="1333"/>
      <c r="AJ280" s="1333"/>
    </row>
    <row r="281" spans="1:36" ht="17" thickBot="1">
      <c r="A281" s="1333"/>
      <c r="B281" s="1333"/>
      <c r="C281" s="907"/>
      <c r="D281" s="1403" t="s">
        <v>3462</v>
      </c>
      <c r="E281" s="848">
        <f>SUM(L296:L297)</f>
        <v>0</v>
      </c>
      <c r="F281" s="1409">
        <f>SUM(N296:N297)</f>
        <v>0</v>
      </c>
      <c r="G281" s="1412" t="str">
        <f t="shared" si="3"/>
        <v>0</v>
      </c>
      <c r="H281" s="907"/>
      <c r="I281" s="907"/>
      <c r="J281" s="907"/>
      <c r="K281" s="1778" t="s">
        <v>253</v>
      </c>
      <c r="L281" s="1779"/>
      <c r="M281" s="1779"/>
      <c r="N281" s="1780"/>
      <c r="O281" s="907"/>
      <c r="P281" s="924" t="s">
        <v>3467</v>
      </c>
      <c r="Q281" s="926" t="e">
        <f>IF(F269&gt;E269,F269-E269,0)</f>
        <v>#N/A</v>
      </c>
      <c r="R281" s="907"/>
      <c r="S281" s="911"/>
      <c r="T281" s="911"/>
      <c r="U281" s="907"/>
      <c r="V281" s="1333"/>
      <c r="W281" s="1333"/>
      <c r="X281" s="1333"/>
      <c r="Y281" s="1333"/>
      <c r="Z281" s="1333"/>
      <c r="AA281" s="1333"/>
      <c r="AB281" s="1333"/>
      <c r="AC281" s="1333"/>
      <c r="AD281" s="1333"/>
      <c r="AE281" s="1333"/>
      <c r="AF281" s="1333"/>
      <c r="AG281" s="1333"/>
      <c r="AH281" s="1333"/>
      <c r="AI281" s="1333"/>
      <c r="AJ281" s="1333"/>
    </row>
    <row r="282" spans="1:36" ht="17" thickBot="1">
      <c r="A282" s="1333"/>
      <c r="B282" s="1333"/>
      <c r="C282" s="1399" t="s">
        <v>3465</v>
      </c>
      <c r="D282" s="1402" t="s">
        <v>3461</v>
      </c>
      <c r="E282" s="850" t="e">
        <f>E274+E276+E278+E280</f>
        <v>#N/A</v>
      </c>
      <c r="F282" s="1410" t="e">
        <f>F274+F276+F278+F280</f>
        <v>#N/A</v>
      </c>
      <c r="G282" s="1413" t="e">
        <f t="shared" si="3"/>
        <v>#N/A</v>
      </c>
      <c r="H282" s="907"/>
      <c r="I282" s="907"/>
      <c r="J282" s="907"/>
      <c r="K282" s="1778" t="s">
        <v>3457</v>
      </c>
      <c r="L282" s="1780"/>
      <c r="M282" s="1781" t="str">
        <f>O218</f>
        <v>Adjustments</v>
      </c>
      <c r="N282" s="1782"/>
      <c r="O282" s="907"/>
      <c r="P282" s="907"/>
      <c r="Q282" s="907"/>
      <c r="R282" s="907"/>
      <c r="S282" s="907"/>
      <c r="T282" s="907"/>
      <c r="U282" s="907"/>
      <c r="V282" s="1333"/>
      <c r="W282" s="1333"/>
      <c r="X282" s="1333"/>
      <c r="Y282" s="1333"/>
      <c r="Z282" s="1333"/>
      <c r="AA282" s="1333"/>
      <c r="AB282" s="1333"/>
      <c r="AC282" s="1333"/>
      <c r="AD282" s="1333"/>
      <c r="AE282" s="1333"/>
      <c r="AF282" s="1333"/>
      <c r="AG282" s="1333"/>
      <c r="AH282" s="1333"/>
      <c r="AI282" s="1333"/>
      <c r="AJ282" s="1333"/>
    </row>
    <row r="283" spans="1:36" ht="17" thickBot="1">
      <c r="A283" s="1333"/>
      <c r="B283" s="1333"/>
      <c r="C283" s="1400"/>
      <c r="D283" s="912"/>
      <c r="E283" s="834" t="e">
        <f>IF($P$208&gt;$AA$200, "&gt; Avg", "&lt; Avg")</f>
        <v>#N/A</v>
      </c>
      <c r="F283" s="849" t="e">
        <f>IF($F$282&gt;$AA$200, "&gt; Avg", "&lt; Avg")</f>
        <v>#N/A</v>
      </c>
      <c r="G283" s="907"/>
      <c r="H283" s="907"/>
      <c r="I283" s="907"/>
      <c r="J283" s="907"/>
      <c r="K283" s="992" t="s">
        <v>26</v>
      </c>
      <c r="L283" s="993" t="s">
        <v>25</v>
      </c>
      <c r="M283" s="1414" t="s">
        <v>26</v>
      </c>
      <c r="N283" s="1415" t="s">
        <v>25</v>
      </c>
      <c r="O283" s="907"/>
      <c r="P283" s="1771" t="s">
        <v>3489</v>
      </c>
      <c r="Q283" s="1772"/>
      <c r="R283" s="907"/>
      <c r="S283" s="1436"/>
      <c r="T283" s="1436"/>
      <c r="U283" s="907"/>
      <c r="V283" s="1333"/>
      <c r="W283" s="1333"/>
      <c r="X283" s="1333"/>
      <c r="Y283" s="1333"/>
      <c r="Z283" s="1333"/>
      <c r="AA283" s="1333"/>
      <c r="AB283" s="1333"/>
      <c r="AC283" s="1333"/>
      <c r="AD283" s="1333"/>
      <c r="AE283" s="1333"/>
      <c r="AF283" s="1333"/>
      <c r="AG283" s="1333"/>
      <c r="AH283" s="1333"/>
      <c r="AI283" s="1333"/>
      <c r="AJ283" s="1333"/>
    </row>
    <row r="284" spans="1:36">
      <c r="A284" s="1333"/>
      <c r="B284" s="1333"/>
      <c r="C284" s="1400"/>
      <c r="D284" s="1402" t="s">
        <v>3462</v>
      </c>
      <c r="E284" s="850" t="e">
        <f>E275+E277+E279+E281</f>
        <v>#N/A</v>
      </c>
      <c r="F284" s="1410" t="e">
        <f>F275+F277+F279+F281</f>
        <v>#N/A</v>
      </c>
      <c r="G284" s="1413" t="e">
        <f>IF(E284&gt;F284,"↓"&amp;(E284-F284),IF(F284&gt;E284,"↑"&amp;(F284-E284),"0"))</f>
        <v>#N/A</v>
      </c>
      <c r="H284" s="907"/>
      <c r="I284" s="908" t="s">
        <v>138</v>
      </c>
      <c r="J284" s="909" t="s">
        <v>48</v>
      </c>
      <c r="K284" s="100" t="str">
        <f>IF($H$20=$M$194,$F$70,"  ")</f>
        <v xml:space="preserve">  </v>
      </c>
      <c r="L284" s="985" t="str">
        <f>IF($H$20=$M$194,$G$70,"  ")</f>
        <v xml:space="preserve">  </v>
      </c>
      <c r="M284" s="1423" t="str">
        <f>Adjustments!J190</f>
        <v xml:space="preserve">  </v>
      </c>
      <c r="N284" s="1424" t="str">
        <f>Adjustments!K190</f>
        <v xml:space="preserve">  </v>
      </c>
      <c r="O284" s="907"/>
      <c r="P284" s="919" t="s">
        <v>3481</v>
      </c>
      <c r="Q284" s="1431">
        <f>SUM(N264:N269)</f>
        <v>0</v>
      </c>
      <c r="R284" s="907"/>
      <c r="S284" s="1436"/>
      <c r="T284" s="1436"/>
      <c r="U284" s="907"/>
      <c r="V284" s="1333"/>
      <c r="W284" s="1333"/>
      <c r="X284" s="1333"/>
      <c r="Y284" s="1333"/>
      <c r="Z284" s="1333"/>
      <c r="AA284" s="1333"/>
      <c r="AB284" s="1333"/>
      <c r="AC284" s="1333"/>
      <c r="AD284" s="1333"/>
      <c r="AE284" s="1333"/>
      <c r="AF284" s="1333"/>
      <c r="AG284" s="1333"/>
      <c r="AH284" s="1333"/>
      <c r="AI284" s="1333"/>
      <c r="AJ284" s="1333"/>
    </row>
    <row r="285" spans="1:36" ht="17" thickBot="1">
      <c r="A285" s="1333"/>
      <c r="B285" s="1333"/>
      <c r="C285" s="1401"/>
      <c r="D285" s="912"/>
      <c r="E285" s="834" t="e">
        <f>IF($Q$208&gt;$AC$200, "&gt; Avg", "&lt; Avg")</f>
        <v>#N/A</v>
      </c>
      <c r="F285" s="849" t="e">
        <f>IF($F$284&gt;$AC$200, "&gt; Avg", "&lt; Avg")</f>
        <v>#N/A</v>
      </c>
      <c r="G285" s="907"/>
      <c r="H285" s="907"/>
      <c r="I285" s="910" t="s">
        <v>138</v>
      </c>
      <c r="J285" s="907" t="s">
        <v>49</v>
      </c>
      <c r="K285" s="101" t="str">
        <f>IF($H$20=$M$195,$N$70," ")</f>
        <v xml:space="preserve"> </v>
      </c>
      <c r="L285" s="986" t="str">
        <f>IF($H$20=$M$195,$O$70," ")</f>
        <v xml:space="preserve"> </v>
      </c>
      <c r="M285" s="1425" t="str">
        <f>Adjustments!J191</f>
        <v xml:space="preserve"> </v>
      </c>
      <c r="N285" s="1426" t="str">
        <f>Adjustments!K191</f>
        <v xml:space="preserve"> </v>
      </c>
      <c r="O285" s="907"/>
      <c r="P285" s="922" t="s">
        <v>3482</v>
      </c>
      <c r="Q285" s="1432">
        <f>SUM(N270:N271)</f>
        <v>0</v>
      </c>
      <c r="R285" s="907"/>
      <c r="S285" s="1436"/>
      <c r="T285" s="1436"/>
      <c r="U285" s="907"/>
      <c r="V285" s="1333"/>
      <c r="W285" s="1333"/>
      <c r="X285" s="1333"/>
      <c r="Y285" s="1333"/>
      <c r="Z285" s="1333"/>
      <c r="AA285" s="1333"/>
      <c r="AB285" s="1333"/>
      <c r="AC285" s="1333"/>
      <c r="AD285" s="1333"/>
      <c r="AE285" s="1333"/>
      <c r="AF285" s="1333"/>
      <c r="AG285" s="1333"/>
      <c r="AH285" s="1333"/>
      <c r="AI285" s="1333"/>
      <c r="AJ285" s="1333"/>
    </row>
    <row r="286" spans="1:36">
      <c r="A286" s="1333"/>
      <c r="B286" s="1333"/>
      <c r="C286" s="907"/>
      <c r="D286" s="907"/>
      <c r="E286" s="907"/>
      <c r="F286" s="907"/>
      <c r="G286" s="907"/>
      <c r="H286" s="907"/>
      <c r="I286" s="910" t="s">
        <v>138</v>
      </c>
      <c r="J286" s="907" t="s">
        <v>50</v>
      </c>
      <c r="K286" s="101" t="str">
        <f>IF($H$20=$M$196,$V$70," ")</f>
        <v xml:space="preserve"> </v>
      </c>
      <c r="L286" s="986" t="str">
        <f>IF($H$20=$M$196,$W$70," ")</f>
        <v xml:space="preserve"> </v>
      </c>
      <c r="M286" s="1425" t="str">
        <f>Adjustments!J192</f>
        <v xml:space="preserve"> </v>
      </c>
      <c r="N286" s="1426" t="str">
        <f>Adjustments!K192</f>
        <v xml:space="preserve"> </v>
      </c>
      <c r="O286" s="907"/>
      <c r="P286" s="922" t="s">
        <v>3483</v>
      </c>
      <c r="Q286" s="1432" t="e">
        <f>SUM(N272:N275)</f>
        <v>#N/A</v>
      </c>
      <c r="R286" s="907"/>
      <c r="S286" s="1436"/>
      <c r="T286" s="1436"/>
      <c r="U286" s="907"/>
      <c r="V286" s="1333"/>
      <c r="W286" s="1333"/>
      <c r="X286" s="1333"/>
      <c r="Y286" s="1333"/>
      <c r="Z286" s="1333"/>
      <c r="AA286" s="1333"/>
      <c r="AB286" s="1333"/>
      <c r="AC286" s="1333"/>
      <c r="AD286" s="1333"/>
      <c r="AE286" s="1333"/>
      <c r="AF286" s="1333"/>
      <c r="AG286" s="1333"/>
      <c r="AH286" s="1333"/>
      <c r="AI286" s="1333"/>
      <c r="AJ286" s="1333"/>
    </row>
    <row r="287" spans="1:36">
      <c r="A287" s="1333"/>
      <c r="B287" s="1333"/>
      <c r="C287" s="907"/>
      <c r="D287" s="907"/>
      <c r="E287" s="907"/>
      <c r="F287" s="907"/>
      <c r="G287" s="907"/>
      <c r="H287" s="907"/>
      <c r="I287" s="910" t="s">
        <v>138</v>
      </c>
      <c r="J287" s="907" t="s">
        <v>51</v>
      </c>
      <c r="K287" s="101" t="str">
        <f>IF($H$20=$M$197,0," ")</f>
        <v xml:space="preserve"> </v>
      </c>
      <c r="L287" s="986" t="str">
        <f>IF($H$20=$M$197,0," ")</f>
        <v xml:space="preserve"> </v>
      </c>
      <c r="M287" s="1425" t="str">
        <f>Adjustments!J193</f>
        <v xml:space="preserve"> </v>
      </c>
      <c r="N287" s="1426" t="str">
        <f>Adjustments!K193</f>
        <v xml:space="preserve"> </v>
      </c>
      <c r="O287" s="907"/>
      <c r="P287" s="922" t="s">
        <v>3484</v>
      </c>
      <c r="Q287" s="1432">
        <f>SUM(N276:N277)</f>
        <v>0</v>
      </c>
      <c r="R287" s="907"/>
      <c r="S287" s="1436"/>
      <c r="T287" s="1436"/>
      <c r="U287" s="1437"/>
      <c r="V287" s="1333"/>
      <c r="W287" s="1333"/>
      <c r="X287" s="1333"/>
      <c r="Y287" s="1333"/>
      <c r="Z287" s="1333"/>
      <c r="AA287" s="1333"/>
      <c r="AB287" s="1333"/>
      <c r="AC287" s="1333"/>
      <c r="AD287" s="1333"/>
      <c r="AE287" s="1333"/>
      <c r="AF287" s="1333"/>
      <c r="AG287" s="1333"/>
      <c r="AH287" s="1333"/>
      <c r="AI287" s="1333"/>
      <c r="AJ287" s="1333"/>
    </row>
    <row r="288" spans="1:36">
      <c r="A288" s="1333"/>
      <c r="B288" s="1333"/>
      <c r="C288" s="907"/>
      <c r="D288" s="907"/>
      <c r="E288" s="907"/>
      <c r="F288" s="907"/>
      <c r="G288" s="907"/>
      <c r="H288" s="907"/>
      <c r="I288" s="910" t="s">
        <v>138</v>
      </c>
      <c r="J288" s="907" t="s">
        <v>52</v>
      </c>
      <c r="K288" s="101" t="str">
        <f>IF($H$20=$M$198,0," ")</f>
        <v xml:space="preserve"> </v>
      </c>
      <c r="L288" s="986" t="str">
        <f>IF($H$20=$M$198,0," ")</f>
        <v xml:space="preserve"> </v>
      </c>
      <c r="M288" s="1425" t="str">
        <f>Adjustments!J194</f>
        <v xml:space="preserve"> </v>
      </c>
      <c r="N288" s="1426" t="str">
        <f>Adjustments!K194</f>
        <v xml:space="preserve"> </v>
      </c>
      <c r="O288" s="907"/>
      <c r="P288" s="922" t="s">
        <v>3468</v>
      </c>
      <c r="Q288" s="1434" t="e">
        <f>IF($E$271&gt;$F$271,$E$271-$F$271,0)</f>
        <v>#N/A</v>
      </c>
      <c r="R288" s="907"/>
      <c r="S288" s="1436"/>
      <c r="T288" s="1436"/>
      <c r="U288" s="907"/>
      <c r="V288" s="1333"/>
      <c r="W288" s="1333"/>
      <c r="X288" s="1333"/>
      <c r="Y288" s="1333"/>
      <c r="Z288" s="1333"/>
      <c r="AA288" s="1333"/>
      <c r="AB288" s="1333"/>
      <c r="AC288" s="1333"/>
      <c r="AD288" s="1333"/>
      <c r="AE288" s="1333"/>
      <c r="AF288" s="1333"/>
      <c r="AG288" s="1333"/>
      <c r="AH288" s="1333"/>
      <c r="AI288" s="1333"/>
      <c r="AJ288" s="1333"/>
    </row>
    <row r="289" spans="1:36" ht="17" thickBot="1">
      <c r="A289" s="1333"/>
      <c r="B289" s="1333"/>
      <c r="C289" s="907"/>
      <c r="D289" s="907"/>
      <c r="E289" s="907"/>
      <c r="F289" s="907"/>
      <c r="G289" s="907"/>
      <c r="H289" s="907"/>
      <c r="I289" s="912" t="s">
        <v>138</v>
      </c>
      <c r="J289" s="913" t="s">
        <v>53</v>
      </c>
      <c r="K289" s="101" t="str">
        <f>IF($H$20=$M$199,0," ")</f>
        <v xml:space="preserve"> </v>
      </c>
      <c r="L289" s="986" t="str">
        <f>IF($H$20=$M$199,0," ")</f>
        <v xml:space="preserve"> </v>
      </c>
      <c r="M289" s="1425" t="str">
        <f>Adjustments!J195</f>
        <v xml:space="preserve"> </v>
      </c>
      <c r="N289" s="1426" t="str">
        <f>Adjustments!K195</f>
        <v xml:space="preserve"> </v>
      </c>
      <c r="O289" s="907"/>
      <c r="P289" s="924" t="s">
        <v>3467</v>
      </c>
      <c r="Q289" s="926" t="e">
        <f>IF($F$271&gt;$E$271,$F$271-$E$271,0)</f>
        <v>#N/A</v>
      </c>
      <c r="R289" s="907"/>
      <c r="S289" s="1436"/>
      <c r="T289" s="1436"/>
      <c r="U289" s="907"/>
      <c r="V289" s="1333"/>
      <c r="W289" s="1333"/>
      <c r="X289" s="1333"/>
      <c r="Y289" s="1333"/>
      <c r="Z289" s="1333"/>
      <c r="AA289" s="1333"/>
      <c r="AB289" s="1333"/>
      <c r="AC289" s="1333"/>
      <c r="AD289" s="1333"/>
      <c r="AE289" s="1333"/>
      <c r="AF289" s="1333"/>
      <c r="AG289" s="1333"/>
      <c r="AH289" s="1333"/>
      <c r="AI289" s="1333"/>
      <c r="AJ289" s="1333"/>
    </row>
    <row r="290" spans="1:36">
      <c r="A290" s="1333"/>
      <c r="B290" s="1333"/>
      <c r="C290" s="907"/>
      <c r="D290" s="907"/>
      <c r="E290" s="907"/>
      <c r="F290" s="907"/>
      <c r="G290" s="907"/>
      <c r="H290" s="907"/>
      <c r="I290" s="908" t="s">
        <v>139</v>
      </c>
      <c r="J290" s="909" t="s">
        <v>48</v>
      </c>
      <c r="K290" s="700" t="str">
        <f>IF($I$81="Yes",$F$114," ")</f>
        <v xml:space="preserve"> </v>
      </c>
      <c r="L290" s="80" t="str">
        <f>IF($I$81="Yes",$G$114," ")</f>
        <v xml:space="preserve"> </v>
      </c>
      <c r="M290" s="1423" t="str">
        <f>Adjustments!J196</f>
        <v xml:space="preserve"> </v>
      </c>
      <c r="N290" s="1424" t="str">
        <f>Adjustments!K196</f>
        <v xml:space="preserve"> </v>
      </c>
      <c r="O290" s="907"/>
      <c r="P290" s="907"/>
      <c r="Q290" s="907"/>
      <c r="R290" s="907"/>
      <c r="S290" s="907"/>
      <c r="T290" s="907"/>
      <c r="U290" s="907"/>
      <c r="V290" s="1333"/>
      <c r="W290" s="1333"/>
      <c r="X290" s="1333"/>
      <c r="Y290" s="1333"/>
      <c r="Z290" s="1333"/>
      <c r="AA290" s="1333"/>
      <c r="AB290" s="1333"/>
      <c r="AC290" s="1333"/>
      <c r="AD290" s="1333"/>
      <c r="AE290" s="1333"/>
      <c r="AF290" s="1333"/>
      <c r="AG290" s="1333"/>
      <c r="AH290" s="1333"/>
      <c r="AI290" s="1333"/>
      <c r="AJ290" s="1333"/>
    </row>
    <row r="291" spans="1:36" ht="17" thickBot="1">
      <c r="A291" s="1333"/>
      <c r="B291" s="1333"/>
      <c r="C291" s="907"/>
      <c r="D291" s="907"/>
      <c r="E291" s="907"/>
      <c r="F291" s="907"/>
      <c r="G291" s="907"/>
      <c r="H291" s="907"/>
      <c r="I291" s="912" t="s">
        <v>139</v>
      </c>
      <c r="J291" s="913" t="s">
        <v>49</v>
      </c>
      <c r="K291" s="701" t="str">
        <f>IF($R$81="Yes",$O$114," ")</f>
        <v xml:space="preserve"> </v>
      </c>
      <c r="L291" s="515" t="str">
        <f>IF($R$81="Yes",$P$114," ")</f>
        <v xml:space="preserve"> </v>
      </c>
      <c r="M291" s="1427" t="str">
        <f>Adjustments!J197</f>
        <v xml:space="preserve"> </v>
      </c>
      <c r="N291" s="1428" t="str">
        <f>Adjustments!K197</f>
        <v xml:space="preserve"> </v>
      </c>
      <c r="O291" s="907"/>
      <c r="P291" s="907"/>
      <c r="Q291" s="907"/>
      <c r="R291" s="907"/>
      <c r="S291" s="907"/>
      <c r="T291" s="907"/>
      <c r="U291" s="907"/>
      <c r="V291" s="1333"/>
      <c r="W291" s="1333"/>
      <c r="X291" s="1333"/>
      <c r="Y291" s="1333"/>
      <c r="Z291" s="1333"/>
      <c r="AA291" s="1333"/>
      <c r="AB291" s="1333"/>
      <c r="AC291" s="1333"/>
      <c r="AD291" s="1333"/>
      <c r="AE291" s="1333"/>
      <c r="AF291" s="1333"/>
      <c r="AG291" s="1333"/>
      <c r="AH291" s="1333"/>
      <c r="AI291" s="1333"/>
      <c r="AJ291" s="1333"/>
    </row>
    <row r="292" spans="1:36">
      <c r="A292" s="1333"/>
      <c r="B292" s="1333"/>
      <c r="C292" s="907"/>
      <c r="D292" s="907"/>
      <c r="E292" s="907"/>
      <c r="F292" s="907"/>
      <c r="G292" s="907"/>
      <c r="H292" s="907"/>
      <c r="I292" s="908" t="s">
        <v>3309</v>
      </c>
      <c r="J292" s="909"/>
      <c r="K292" s="801" t="e">
        <f>$F$156</f>
        <v>#N/A</v>
      </c>
      <c r="L292" s="226" t="e">
        <f>$G$156</f>
        <v>#N/A</v>
      </c>
      <c r="M292" s="1423" t="e">
        <f>Adjustments!J198</f>
        <v>#N/A</v>
      </c>
      <c r="N292" s="1424" t="e">
        <f>Adjustments!K198</f>
        <v>#N/A</v>
      </c>
      <c r="O292" s="907"/>
      <c r="P292" s="907"/>
      <c r="Q292" s="907"/>
      <c r="R292" s="907"/>
      <c r="S292" s="907"/>
      <c r="T292" s="907"/>
      <c r="U292" s="907"/>
      <c r="V292" s="1333"/>
      <c r="W292" s="1333"/>
      <c r="X292" s="1333"/>
      <c r="Y292" s="1333"/>
      <c r="Z292" s="1333"/>
      <c r="AA292" s="1333"/>
      <c r="AB292" s="1333"/>
      <c r="AC292" s="1333"/>
      <c r="AD292" s="1333"/>
      <c r="AE292" s="1333"/>
      <c r="AF292" s="1333"/>
      <c r="AG292" s="1333"/>
      <c r="AH292" s="1333"/>
      <c r="AI292" s="1333"/>
      <c r="AJ292" s="1333"/>
    </row>
    <row r="293" spans="1:36">
      <c r="A293" s="1333"/>
      <c r="B293" s="1333"/>
      <c r="C293" s="907"/>
      <c r="D293" s="907"/>
      <c r="E293" s="907"/>
      <c r="F293" s="907"/>
      <c r="G293" s="907"/>
      <c r="H293" s="907"/>
      <c r="I293" s="910" t="s">
        <v>3310</v>
      </c>
      <c r="J293" s="907"/>
      <c r="K293" s="224" t="str">
        <f>IF($P$124="Yes",$N$156," ")</f>
        <v xml:space="preserve"> </v>
      </c>
      <c r="L293" s="227" t="str">
        <f>IF($P$124="Yes",$O$156," ")</f>
        <v xml:space="preserve"> </v>
      </c>
      <c r="M293" s="1425" t="str">
        <f>Adjustments!J199</f>
        <v xml:space="preserve"> </v>
      </c>
      <c r="N293" s="1426" t="str">
        <f>Adjustments!K199</f>
        <v xml:space="preserve"> </v>
      </c>
      <c r="O293" s="907"/>
      <c r="P293" s="907"/>
      <c r="Q293" s="907"/>
      <c r="R293" s="907"/>
      <c r="S293" s="907"/>
      <c r="T293" s="907"/>
      <c r="U293" s="907"/>
      <c r="V293" s="1333"/>
      <c r="W293" s="1333"/>
      <c r="X293" s="1333"/>
      <c r="Y293" s="1333"/>
      <c r="Z293" s="1333"/>
      <c r="AA293" s="1333"/>
      <c r="AB293" s="1333"/>
      <c r="AC293" s="1333"/>
      <c r="AD293" s="1333"/>
      <c r="AE293" s="1333"/>
      <c r="AF293" s="1333"/>
      <c r="AG293" s="1333"/>
      <c r="AH293" s="1333"/>
      <c r="AI293" s="1333"/>
      <c r="AJ293" s="1333"/>
    </row>
    <row r="294" spans="1:36">
      <c r="A294" s="1333"/>
      <c r="B294" s="1333"/>
      <c r="C294" s="907"/>
      <c r="D294" s="907"/>
      <c r="E294" s="907"/>
      <c r="F294" s="907"/>
      <c r="G294" s="907"/>
      <c r="H294" s="907"/>
      <c r="I294" s="910" t="s">
        <v>3311</v>
      </c>
      <c r="J294" s="907"/>
      <c r="K294" s="224" t="str">
        <f>IF($V$124="Yes",$U$156," ")</f>
        <v xml:space="preserve"> </v>
      </c>
      <c r="L294" s="227" t="str">
        <f>IF($V$124="Yes",$V$156," ")</f>
        <v xml:space="preserve"> </v>
      </c>
      <c r="M294" s="1425" t="str">
        <f>Adjustments!J200</f>
        <v xml:space="preserve"> </v>
      </c>
      <c r="N294" s="1426" t="str">
        <f>Adjustments!K200</f>
        <v xml:space="preserve"> </v>
      </c>
      <c r="O294" s="907"/>
      <c r="P294" s="907"/>
      <c r="Q294" s="907"/>
      <c r="R294" s="907"/>
      <c r="S294" s="907"/>
      <c r="T294" s="907"/>
      <c r="U294" s="907"/>
      <c r="V294" s="1333"/>
      <c r="W294" s="1333"/>
      <c r="X294" s="1333"/>
      <c r="Y294" s="1333"/>
      <c r="Z294" s="1333"/>
      <c r="AA294" s="1333"/>
      <c r="AB294" s="1333"/>
      <c r="AC294" s="1333"/>
      <c r="AD294" s="1333"/>
      <c r="AE294" s="1333"/>
      <c r="AF294" s="1333"/>
      <c r="AG294" s="1333"/>
      <c r="AH294" s="1333"/>
      <c r="AI294" s="1333"/>
      <c r="AJ294" s="1333"/>
    </row>
    <row r="295" spans="1:36" ht="17" thickBot="1">
      <c r="A295" s="1333"/>
      <c r="B295" s="1333"/>
      <c r="C295" s="907"/>
      <c r="D295" s="907"/>
      <c r="E295" s="907"/>
      <c r="F295" s="907"/>
      <c r="G295" s="907"/>
      <c r="H295" s="907"/>
      <c r="I295" s="912" t="s">
        <v>3312</v>
      </c>
      <c r="J295" s="913"/>
      <c r="K295" s="802" t="str">
        <f>IF($AC$124="Yes",$AA$156," ")</f>
        <v xml:space="preserve"> </v>
      </c>
      <c r="L295" s="560" t="str">
        <f>IF($AC$124="Yes",$AB$156," ")</f>
        <v xml:space="preserve"> </v>
      </c>
      <c r="M295" s="1427" t="str">
        <f>Adjustments!J201</f>
        <v xml:space="preserve"> </v>
      </c>
      <c r="N295" s="1428" t="str">
        <f>Adjustments!K201</f>
        <v xml:space="preserve"> </v>
      </c>
      <c r="O295" s="907"/>
      <c r="P295" s="907"/>
      <c r="Q295" s="907"/>
      <c r="R295" s="907"/>
      <c r="S295" s="907"/>
      <c r="T295" s="907"/>
      <c r="U295" s="907"/>
      <c r="V295" s="1333"/>
      <c r="W295" s="1333"/>
      <c r="X295" s="1333"/>
      <c r="Y295" s="1333"/>
      <c r="Z295" s="1333"/>
      <c r="AA295" s="1333"/>
      <c r="AB295" s="1333"/>
      <c r="AC295" s="1333"/>
      <c r="AD295" s="1333"/>
      <c r="AE295" s="1333"/>
      <c r="AF295" s="1333"/>
      <c r="AG295" s="1333"/>
      <c r="AH295" s="1333"/>
      <c r="AI295" s="1333"/>
      <c r="AJ295" s="1333"/>
    </row>
    <row r="296" spans="1:36">
      <c r="A296" s="1333"/>
      <c r="B296" s="1333"/>
      <c r="C296" s="907"/>
      <c r="D296" s="907"/>
      <c r="E296" s="907"/>
      <c r="F296" s="907"/>
      <c r="G296" s="907"/>
      <c r="H296" s="907"/>
      <c r="I296" s="908" t="s">
        <v>3313</v>
      </c>
      <c r="J296" s="909"/>
      <c r="K296" s="566" t="str">
        <f>IF($H$166="Yes",$F$183," ")</f>
        <v xml:space="preserve"> </v>
      </c>
      <c r="L296" s="564" t="str">
        <f>IF($H$166="Yes",$G$183," ")</f>
        <v xml:space="preserve"> </v>
      </c>
      <c r="M296" s="1425" t="str">
        <f>Adjustments!J202</f>
        <v xml:space="preserve"> </v>
      </c>
      <c r="N296" s="1426" t="str">
        <f>Adjustments!K202</f>
        <v xml:space="preserve"> </v>
      </c>
      <c r="O296" s="907"/>
      <c r="P296" s="907"/>
      <c r="Q296" s="907"/>
      <c r="R296" s="907"/>
      <c r="S296" s="907"/>
      <c r="T296" s="907"/>
      <c r="U296" s="907"/>
      <c r="V296" s="1333"/>
      <c r="W296" s="1333"/>
      <c r="X296" s="1333"/>
      <c r="Y296" s="1333"/>
      <c r="Z296" s="1333"/>
      <c r="AA296" s="1333"/>
      <c r="AB296" s="1333"/>
      <c r="AC296" s="1333"/>
      <c r="AD296" s="1333"/>
      <c r="AE296" s="1333"/>
      <c r="AF296" s="1333"/>
      <c r="AG296" s="1333"/>
      <c r="AH296" s="1333"/>
      <c r="AI296" s="1333"/>
      <c r="AJ296" s="1333"/>
    </row>
    <row r="297" spans="1:36" ht="17" thickBot="1">
      <c r="A297" s="1333"/>
      <c r="B297" s="1333"/>
      <c r="C297" s="907"/>
      <c r="D297" s="907"/>
      <c r="E297" s="907"/>
      <c r="F297" s="907"/>
      <c r="G297" s="907"/>
      <c r="H297" s="907"/>
      <c r="I297" s="912" t="s">
        <v>3314</v>
      </c>
      <c r="J297" s="913"/>
      <c r="K297" s="571" t="str">
        <f>IF($P$166="Yes",$N$183," ")</f>
        <v xml:space="preserve"> </v>
      </c>
      <c r="L297" s="568" t="str">
        <f>IF($P$166="Yes",$O$183," ")</f>
        <v xml:space="preserve"> </v>
      </c>
      <c r="M297" s="1427" t="str">
        <f>Adjustments!J203</f>
        <v xml:space="preserve"> </v>
      </c>
      <c r="N297" s="1428" t="str">
        <f>Adjustments!K203</f>
        <v xml:space="preserve"> </v>
      </c>
      <c r="O297" s="907"/>
      <c r="P297" s="907"/>
      <c r="Q297" s="907"/>
      <c r="R297" s="907"/>
      <c r="S297" s="907"/>
      <c r="T297" s="907"/>
      <c r="U297" s="907"/>
      <c r="V297" s="1333"/>
      <c r="W297" s="1333"/>
      <c r="X297" s="1333"/>
      <c r="Y297" s="1333"/>
      <c r="Z297" s="1333"/>
      <c r="AA297" s="1333"/>
      <c r="AB297" s="1333"/>
      <c r="AC297" s="1333"/>
      <c r="AD297" s="1333"/>
      <c r="AE297" s="1333"/>
      <c r="AF297" s="1333"/>
      <c r="AG297" s="1333"/>
      <c r="AH297" s="1333"/>
      <c r="AI297" s="1333"/>
      <c r="AJ297" s="1333"/>
    </row>
    <row r="298" spans="1:36" ht="17" thickBot="1">
      <c r="A298" s="1333"/>
      <c r="B298" s="1333"/>
      <c r="C298" s="907"/>
      <c r="D298" s="907"/>
      <c r="E298" s="907"/>
      <c r="F298" s="907"/>
      <c r="G298" s="907"/>
      <c r="H298" s="907"/>
      <c r="I298" s="907"/>
      <c r="J298" s="907"/>
      <c r="K298" s="1416" t="e">
        <f>SUM(K284:K297)</f>
        <v>#N/A</v>
      </c>
      <c r="L298" s="1416" t="e">
        <f>SUM(L284:L297)</f>
        <v>#N/A</v>
      </c>
      <c r="M298" s="1416" t="e">
        <f>SUM(M284:M297)</f>
        <v>#N/A</v>
      </c>
      <c r="N298" s="1416" t="e">
        <f>SUM(N284:N297)</f>
        <v>#N/A</v>
      </c>
      <c r="O298" s="907"/>
      <c r="P298" s="907"/>
      <c r="Q298" s="907"/>
      <c r="R298" s="907"/>
      <c r="S298" s="907"/>
      <c r="T298" s="907"/>
      <c r="U298" s="907"/>
      <c r="V298" s="1333"/>
      <c r="W298" s="1333"/>
      <c r="X298" s="1333"/>
      <c r="Y298" s="1333"/>
      <c r="Z298" s="1333"/>
      <c r="AA298" s="1333"/>
      <c r="AB298" s="1333"/>
      <c r="AC298" s="1333"/>
      <c r="AD298" s="1333"/>
      <c r="AE298" s="1333"/>
      <c r="AF298" s="1333"/>
      <c r="AG298" s="1333"/>
      <c r="AH298" s="1333"/>
      <c r="AI298" s="1333"/>
      <c r="AJ298" s="1333"/>
    </row>
    <row r="299" spans="1:36" ht="18" thickTop="1" thickBot="1">
      <c r="A299" s="1333"/>
      <c r="B299" s="1333"/>
      <c r="C299" s="907"/>
      <c r="D299" s="907"/>
      <c r="E299" s="907"/>
      <c r="F299" s="907"/>
      <c r="G299" s="907"/>
      <c r="H299" s="907"/>
      <c r="I299" s="907"/>
      <c r="J299" s="907"/>
      <c r="K299" s="834" t="e">
        <f>IF($P$208&gt;$AA$200, "&gt; Avg", "&lt; Avg")</f>
        <v>#N/A</v>
      </c>
      <c r="L299" s="834" t="e">
        <f>IF($Q$208&gt;$AC$200, "&gt; Avg", "&lt; Avg")</f>
        <v>#N/A</v>
      </c>
      <c r="M299" s="849" t="e">
        <f>IF($F$282&gt;$AA$200, "&gt; Avg", "&lt; Avg")</f>
        <v>#N/A</v>
      </c>
      <c r="N299" s="849" t="e">
        <f>IF($F$284&gt;$AC$200, "&gt; Avg", "&lt; Avg")</f>
        <v>#N/A</v>
      </c>
      <c r="O299" s="907"/>
      <c r="P299" s="907"/>
      <c r="Q299" s="907"/>
      <c r="R299" s="907"/>
      <c r="S299" s="907"/>
      <c r="T299" s="907"/>
      <c r="U299" s="907"/>
      <c r="V299" s="1333"/>
      <c r="W299" s="1333"/>
      <c r="X299" s="1333"/>
      <c r="Y299" s="1333"/>
      <c r="Z299" s="1333"/>
      <c r="AA299" s="1333"/>
      <c r="AB299" s="1333"/>
      <c r="AC299" s="1333"/>
      <c r="AD299" s="1333"/>
      <c r="AE299" s="1333"/>
      <c r="AF299" s="1333"/>
      <c r="AG299" s="1333"/>
      <c r="AH299" s="1333"/>
      <c r="AI299" s="1333"/>
      <c r="AJ299" s="1333"/>
    </row>
    <row r="300" spans="1:36">
      <c r="A300" s="1333"/>
      <c r="B300" s="1333"/>
      <c r="C300" s="907"/>
      <c r="D300" s="907"/>
      <c r="E300" s="907"/>
      <c r="F300" s="907"/>
      <c r="G300" s="907"/>
      <c r="H300" s="907"/>
      <c r="I300" s="907"/>
      <c r="J300" s="907"/>
      <c r="K300" s="907"/>
      <c r="L300" s="907"/>
      <c r="M300" s="907"/>
      <c r="N300" s="907"/>
      <c r="O300" s="907"/>
      <c r="P300" s="907"/>
      <c r="Q300" s="907"/>
      <c r="R300" s="907"/>
      <c r="S300" s="907"/>
      <c r="T300" s="907"/>
      <c r="U300" s="907"/>
      <c r="V300" s="1333"/>
      <c r="W300" s="1333"/>
      <c r="X300" s="1333"/>
      <c r="Y300" s="1333"/>
      <c r="Z300" s="1333"/>
      <c r="AA300" s="1333"/>
      <c r="AB300" s="1333"/>
      <c r="AC300" s="1333"/>
      <c r="AD300" s="1333"/>
      <c r="AE300" s="1333"/>
      <c r="AF300" s="1333"/>
      <c r="AG300" s="1333"/>
      <c r="AH300" s="1333"/>
      <c r="AI300" s="1333"/>
      <c r="AJ300" s="1333"/>
    </row>
    <row r="301" spans="1:36">
      <c r="A301" s="1333"/>
      <c r="B301" s="1333"/>
      <c r="C301" s="1333"/>
      <c r="D301" s="1333"/>
      <c r="E301" s="1333"/>
      <c r="F301" s="1333"/>
      <c r="G301" s="1333"/>
      <c r="H301" s="1333"/>
      <c r="I301" s="1333"/>
      <c r="J301" s="1333"/>
      <c r="K301" s="1333"/>
      <c r="L301" s="1333"/>
      <c r="M301" s="1333"/>
      <c r="N301" s="1333"/>
      <c r="O301" s="1333"/>
      <c r="P301" s="1333"/>
      <c r="Q301" s="1333"/>
      <c r="R301" s="1333"/>
      <c r="S301" s="1333"/>
      <c r="T301" s="1333"/>
      <c r="U301" s="1333"/>
      <c r="V301" s="1333"/>
      <c r="W301" s="1333"/>
      <c r="X301" s="1333"/>
      <c r="Y301" s="1333"/>
      <c r="Z301" s="1333"/>
      <c r="AA301" s="1333"/>
      <c r="AB301" s="1333"/>
      <c r="AC301" s="1333"/>
      <c r="AD301" s="1333"/>
      <c r="AE301" s="1333"/>
      <c r="AF301" s="1333"/>
      <c r="AG301" s="1333"/>
      <c r="AH301" s="1333"/>
      <c r="AI301" s="1333"/>
      <c r="AJ301" s="1333"/>
    </row>
  </sheetData>
  <sheetProtection algorithmName="SHA-512" hashValue="+NHQ1nTW1duxtG1w66Kaq9y2TilRBk2edTes9CcZGSBbxLe7hTE1O9T3gQxHD+r9QOU5st7sNcdQILa1Iw95Gw==" saltValue="PkWEcZVtxR+PvXK0ZfFsBw==" spinCount="100000" sheet="1" selectLockedCells="1"/>
  <mergeCells count="156">
    <mergeCell ref="Y221:AA222"/>
    <mergeCell ref="Y236:AA237"/>
    <mergeCell ref="Y234:AA235"/>
    <mergeCell ref="Y218:AA220"/>
    <mergeCell ref="K238:L239"/>
    <mergeCell ref="C254:F255"/>
    <mergeCell ref="U131:V131"/>
    <mergeCell ref="AB126:AC126"/>
    <mergeCell ref="W168:AA171"/>
    <mergeCell ref="H170:I170"/>
    <mergeCell ref="P170:Q170"/>
    <mergeCell ref="E161:I162"/>
    <mergeCell ref="M161:Q162"/>
    <mergeCell ref="O245:Q245"/>
    <mergeCell ref="O246:Q246"/>
    <mergeCell ref="O247:Q247"/>
    <mergeCell ref="O248:Q248"/>
    <mergeCell ref="O241:Q241"/>
    <mergeCell ref="M242:N242"/>
    <mergeCell ref="O242:Q242"/>
    <mergeCell ref="O243:Q243"/>
    <mergeCell ref="O244:Q244"/>
    <mergeCell ref="O238:Q238"/>
    <mergeCell ref="M221:N221"/>
    <mergeCell ref="T190:W191"/>
    <mergeCell ref="S187:U187"/>
    <mergeCell ref="L187:M187"/>
    <mergeCell ref="M235:N235"/>
    <mergeCell ref="M236:N236"/>
    <mergeCell ref="M237:N237"/>
    <mergeCell ref="K224:L224"/>
    <mergeCell ref="K225:L225"/>
    <mergeCell ref="K226:L226"/>
    <mergeCell ref="O230:Q230"/>
    <mergeCell ref="O231:Q231"/>
    <mergeCell ref="O232:Q232"/>
    <mergeCell ref="O234:Q234"/>
    <mergeCell ref="O233:Q233"/>
    <mergeCell ref="O235:Q235"/>
    <mergeCell ref="O236:Q236"/>
    <mergeCell ref="O237:Q237"/>
    <mergeCell ref="B1:G3"/>
    <mergeCell ref="B118:B157"/>
    <mergeCell ref="H55:I55"/>
    <mergeCell ref="P39:Q39"/>
    <mergeCell ref="X53:Y53"/>
    <mergeCell ref="AF38:AG38"/>
    <mergeCell ref="X44:Y44"/>
    <mergeCell ref="AB37:AH37"/>
    <mergeCell ref="E34:I35"/>
    <mergeCell ref="M34:Q35"/>
    <mergeCell ref="U34:Y35"/>
    <mergeCell ref="AC34:AG35"/>
    <mergeCell ref="Z119:AC120"/>
    <mergeCell ref="M119:P120"/>
    <mergeCell ref="T119:V120"/>
    <mergeCell ref="F8:J9"/>
    <mergeCell ref="N76:R77"/>
    <mergeCell ref="E23:F23"/>
    <mergeCell ref="G23:H23"/>
    <mergeCell ref="B7:B30"/>
    <mergeCell ref="B75:B115"/>
    <mergeCell ref="B33:B72"/>
    <mergeCell ref="E98:F98"/>
    <mergeCell ref="E102:F102"/>
    <mergeCell ref="E76:I77"/>
    <mergeCell ref="M38:N38"/>
    <mergeCell ref="E12:F12"/>
    <mergeCell ref="G12:H12"/>
    <mergeCell ref="M219:N219"/>
    <mergeCell ref="M220:N220"/>
    <mergeCell ref="E170:F170"/>
    <mergeCell ref="M170:N170"/>
    <mergeCell ref="N85:O85"/>
    <mergeCell ref="E119:I120"/>
    <mergeCell ref="R86:S86"/>
    <mergeCell ref="H102:I102"/>
    <mergeCell ref="H129:I129"/>
    <mergeCell ref="O136:P136"/>
    <mergeCell ref="K228:L228"/>
    <mergeCell ref="K229:L229"/>
    <mergeCell ref="B160:B184"/>
    <mergeCell ref="M233:N233"/>
    <mergeCell ref="M234:N234"/>
    <mergeCell ref="M228:N228"/>
    <mergeCell ref="M229:N229"/>
    <mergeCell ref="M230:N230"/>
    <mergeCell ref="M231:N231"/>
    <mergeCell ref="M232:N232"/>
    <mergeCell ref="B187:D187"/>
    <mergeCell ref="C218:J218"/>
    <mergeCell ref="K218:L218"/>
    <mergeCell ref="M218:N218"/>
    <mergeCell ref="K227:L227"/>
    <mergeCell ref="K220:L220"/>
    <mergeCell ref="K221:L221"/>
    <mergeCell ref="K219:L219"/>
    <mergeCell ref="K222:L222"/>
    <mergeCell ref="K223:L223"/>
    <mergeCell ref="O239:Q239"/>
    <mergeCell ref="O240:Q240"/>
    <mergeCell ref="M222:N222"/>
    <mergeCell ref="M223:N223"/>
    <mergeCell ref="M224:N224"/>
    <mergeCell ref="M225:N225"/>
    <mergeCell ref="M226:N226"/>
    <mergeCell ref="M227:N227"/>
    <mergeCell ref="K242:L242"/>
    <mergeCell ref="O229:Q229"/>
    <mergeCell ref="K230:L230"/>
    <mergeCell ref="K231:L231"/>
    <mergeCell ref="K232:L232"/>
    <mergeCell ref="K233:L233"/>
    <mergeCell ref="K234:L234"/>
    <mergeCell ref="O225:Q225"/>
    <mergeCell ref="M248:N248"/>
    <mergeCell ref="K243:L243"/>
    <mergeCell ref="K244:L244"/>
    <mergeCell ref="K235:L235"/>
    <mergeCell ref="K236:L236"/>
    <mergeCell ref="K237:L237"/>
    <mergeCell ref="M243:N243"/>
    <mergeCell ref="M244:N244"/>
    <mergeCell ref="M246:N246"/>
    <mergeCell ref="M245:N245"/>
    <mergeCell ref="M247:N247"/>
    <mergeCell ref="M238:N238"/>
    <mergeCell ref="M241:N241"/>
    <mergeCell ref="M240:N240"/>
    <mergeCell ref="M239:N239"/>
    <mergeCell ref="K240:L240"/>
    <mergeCell ref="K241:L241"/>
    <mergeCell ref="P283:Q283"/>
    <mergeCell ref="F190:H193"/>
    <mergeCell ref="D190:E193"/>
    <mergeCell ref="L189:M190"/>
    <mergeCell ref="N192:O192"/>
    <mergeCell ref="P192:Q192"/>
    <mergeCell ref="K281:N281"/>
    <mergeCell ref="K282:L282"/>
    <mergeCell ref="M282:N282"/>
    <mergeCell ref="P275:Q275"/>
    <mergeCell ref="K245:L245"/>
    <mergeCell ref="K246:L246"/>
    <mergeCell ref="K247:L247"/>
    <mergeCell ref="K248:L248"/>
    <mergeCell ref="O220:Q220"/>
    <mergeCell ref="O219:Q219"/>
    <mergeCell ref="O221:Q221"/>
    <mergeCell ref="O222:Q222"/>
    <mergeCell ref="O223:Q223"/>
    <mergeCell ref="O224:Q224"/>
    <mergeCell ref="O218:Q218"/>
    <mergeCell ref="O226:Q226"/>
    <mergeCell ref="O227:Q227"/>
    <mergeCell ref="O228:Q228"/>
  </mergeCells>
  <conditionalFormatting sqref="L41:R71 L40:P40 L34:R39">
    <cfRule type="expression" dxfId="296" priority="243">
      <formula>$H$20&lt;&gt;"Bus"</formula>
    </cfRule>
  </conditionalFormatting>
  <conditionalFormatting sqref="T55:Z71 T54:X54 T34:Z53">
    <cfRule type="expression" dxfId="295" priority="241">
      <formula>$H$20&lt;&gt;"Motorbike"</formula>
    </cfRule>
  </conditionalFormatting>
  <conditionalFormatting sqref="D104:J115 D103:H103 D84:J102">
    <cfRule type="expression" dxfId="294" priority="239">
      <formula>$I$81="No"</formula>
    </cfRule>
  </conditionalFormatting>
  <conditionalFormatting sqref="M84:S85 M87:S115 M86:R86">
    <cfRule type="expression" dxfId="293" priority="238">
      <formula>$R$81="No"</formula>
    </cfRule>
  </conditionalFormatting>
  <conditionalFormatting sqref="L127:Q157">
    <cfRule type="expression" dxfId="292" priority="236">
      <formula>$P$124="No"</formula>
    </cfRule>
  </conditionalFormatting>
  <conditionalFormatting sqref="S133:W158 S132:U132 S127:W131">
    <cfRule type="expression" dxfId="291" priority="235">
      <formula>$V$124="No"</formula>
    </cfRule>
  </conditionalFormatting>
  <conditionalFormatting sqref="Y127:AD157 Y126:AA126">
    <cfRule type="expression" dxfId="290" priority="234">
      <formula>$AC$124="No"</formula>
    </cfRule>
  </conditionalFormatting>
  <conditionalFormatting sqref="AB40:AH71 AB39:AF39 AB34:AH38">
    <cfRule type="expression" dxfId="289" priority="229">
      <formula>OR($H$20="Car",$H$20="Bus",$H$20="Motorbike")</formula>
    </cfRule>
  </conditionalFormatting>
  <conditionalFormatting sqref="O235">
    <cfRule type="expression" dxfId="288" priority="204">
      <formula>$O$234&lt;&gt;$O$80</formula>
    </cfRule>
  </conditionalFormatting>
  <conditionalFormatting sqref="O243">
    <cfRule type="expression" dxfId="287" priority="202">
      <formula>$O$242&lt;&gt;$T$123</formula>
    </cfRule>
  </conditionalFormatting>
  <conditionalFormatting sqref="O221:O224">
    <cfRule type="expression" dxfId="286" priority="208">
      <formula>$O$220&lt;&gt;$F$15</formula>
    </cfRule>
  </conditionalFormatting>
  <conditionalFormatting sqref="O225">
    <cfRule type="expression" dxfId="285" priority="207">
      <formula>$O$220&lt;&gt;$F$16</formula>
    </cfRule>
  </conditionalFormatting>
  <conditionalFormatting sqref="O226:O228">
    <cfRule type="expression" dxfId="284" priority="206">
      <formula>$O$220&lt;&gt;$F$17</formula>
    </cfRule>
  </conditionalFormatting>
  <conditionalFormatting sqref="O230:O233">
    <cfRule type="expression" dxfId="283" priority="205">
      <formula>$O$229&lt;&gt;$F$80</formula>
    </cfRule>
  </conditionalFormatting>
  <conditionalFormatting sqref="O239:O241">
    <cfRule type="expression" dxfId="282" priority="203">
      <formula>$O$238&lt;&gt;$M$123</formula>
    </cfRule>
  </conditionalFormatting>
  <conditionalFormatting sqref="O246">
    <cfRule type="expression" dxfId="281" priority="201">
      <formula>$O$245&lt;&gt;$E$165</formula>
    </cfRule>
  </conditionalFormatting>
  <conditionalFormatting sqref="O248">
    <cfRule type="expression" dxfId="280" priority="200">
      <formula>$O$247&lt;&gt;$M$165</formula>
    </cfRule>
  </conditionalFormatting>
  <conditionalFormatting sqref="G261">
    <cfRule type="expression" dxfId="279" priority="891">
      <formula>$E$261=$F$261</formula>
    </cfRule>
    <cfRule type="expression" dxfId="278" priority="892">
      <formula>$F$261&gt;$E$261</formula>
    </cfRule>
    <cfRule type="expression" dxfId="277" priority="893">
      <formula>$F$261&lt;$E$261</formula>
    </cfRule>
  </conditionalFormatting>
  <conditionalFormatting sqref="G263">
    <cfRule type="expression" dxfId="276" priority="952">
      <formula>$F$263=$E$263</formula>
    </cfRule>
    <cfRule type="expression" dxfId="275" priority="953">
      <formula>$F$263&lt;$E$263</formula>
    </cfRule>
    <cfRule type="expression" dxfId="274" priority="954">
      <formula>$F$263&gt;$E$263</formula>
    </cfRule>
  </conditionalFormatting>
  <conditionalFormatting sqref="G264">
    <cfRule type="expression" dxfId="273" priority="991">
      <formula>$F$264&lt;$E$264</formula>
    </cfRule>
    <cfRule type="expression" dxfId="272" priority="992">
      <formula>$F$264&gt;$E$264</formula>
    </cfRule>
    <cfRule type="expression" dxfId="271" priority="993">
      <formula>$E$264=$F$264</formula>
    </cfRule>
  </conditionalFormatting>
  <conditionalFormatting sqref="G265">
    <cfRule type="expression" dxfId="270" priority="994">
      <formula>$F$265=$E$265</formula>
    </cfRule>
    <cfRule type="expression" dxfId="269" priority="995">
      <formula>$F$265&lt;$E$265</formula>
    </cfRule>
    <cfRule type="expression" dxfId="268" priority="996">
      <formula>$F$265&gt;$E$265</formula>
    </cfRule>
  </conditionalFormatting>
  <conditionalFormatting sqref="G266">
    <cfRule type="expression" dxfId="267" priority="997">
      <formula>$F$266=$E$266</formula>
    </cfRule>
    <cfRule type="expression" dxfId="266" priority="998">
      <formula>$F$266&lt;$E$266</formula>
    </cfRule>
    <cfRule type="expression" dxfId="265" priority="999">
      <formula>$F$266&gt;$E$266</formula>
    </cfRule>
  </conditionalFormatting>
  <conditionalFormatting sqref="G267">
    <cfRule type="expression" dxfId="264" priority="1006">
      <formula>$F$267=$E$267</formula>
    </cfRule>
    <cfRule type="expression" dxfId="263" priority="1007">
      <formula>$F$267&lt;$E$267</formula>
    </cfRule>
    <cfRule type="expression" dxfId="262" priority="1008">
      <formula>$F$267&gt;$E$267</formula>
    </cfRule>
  </conditionalFormatting>
  <conditionalFormatting sqref="G268">
    <cfRule type="expression" dxfId="261" priority="1009">
      <formula>$F$268=$E$268</formula>
    </cfRule>
    <cfRule type="expression" dxfId="260" priority="1010">
      <formula>$F$268&lt;$E$268</formula>
    </cfRule>
    <cfRule type="expression" dxfId="259" priority="1011">
      <formula>$F$268&gt;$E$268</formula>
    </cfRule>
  </conditionalFormatting>
  <conditionalFormatting sqref="G262">
    <cfRule type="expression" dxfId="258" priority="894">
      <formula>$F$262=$E$262</formula>
    </cfRule>
    <cfRule type="expression" dxfId="257" priority="895">
      <formula>$F$262&lt;$E$262</formula>
    </cfRule>
    <cfRule type="expression" dxfId="256" priority="896">
      <formula>$F$262&gt;$E$262</formula>
    </cfRule>
  </conditionalFormatting>
  <conditionalFormatting sqref="G269">
    <cfRule type="expression" dxfId="255" priority="1024">
      <formula>$F$269=$E$269</formula>
    </cfRule>
    <cfRule type="expression" dxfId="254" priority="1025">
      <formula>$F$269&lt;$E$269</formula>
    </cfRule>
    <cfRule type="expression" dxfId="253" priority="1026">
      <formula>$F$269&gt;$E$269</formula>
    </cfRule>
  </conditionalFormatting>
  <conditionalFormatting sqref="E283">
    <cfRule type="containsText" dxfId="252" priority="123" operator="containsText" text="&lt; Avg">
      <formula>NOT(ISERROR(SEARCH("&lt; Avg",E283)))</formula>
    </cfRule>
    <cfRule type="containsText" dxfId="251" priority="124" operator="containsText" text="&gt; Avg">
      <formula>NOT(ISERROR(SEARCH("&gt; Avg",E283)))</formula>
    </cfRule>
  </conditionalFormatting>
  <conditionalFormatting sqref="E285">
    <cfRule type="containsText" dxfId="250" priority="121" operator="containsText" text="&lt; Avg">
      <formula>NOT(ISERROR(SEARCH("&lt; Avg",E285)))</formula>
    </cfRule>
    <cfRule type="containsText" dxfId="249" priority="122" operator="containsText" text="&gt; Avg">
      <formula>NOT(ISERROR(SEARCH("&gt; Avg",E285)))</formula>
    </cfRule>
  </conditionalFormatting>
  <conditionalFormatting sqref="F283">
    <cfRule type="containsText" dxfId="248" priority="119" operator="containsText" text="&lt; Avg">
      <formula>NOT(ISERROR(SEARCH("&lt; Avg",F283)))</formula>
    </cfRule>
    <cfRule type="containsText" dxfId="247" priority="120" operator="containsText" text="&gt; Avg">
      <formula>NOT(ISERROR(SEARCH("&gt; Avg",F283)))</formula>
    </cfRule>
  </conditionalFormatting>
  <conditionalFormatting sqref="F285">
    <cfRule type="containsText" dxfId="246" priority="117" operator="containsText" text="&lt; Avg">
      <formula>NOT(ISERROR(SEARCH("&lt; Avg",F285)))</formula>
    </cfRule>
    <cfRule type="containsText" dxfId="245" priority="118" operator="containsText" text="&gt; Avg">
      <formula>NOT(ISERROR(SEARCH("&gt; Avg",F285)))</formula>
    </cfRule>
  </conditionalFormatting>
  <conditionalFormatting sqref="G274">
    <cfRule type="expression" dxfId="244" priority="1078">
      <formula>$E$274=$F$274</formula>
    </cfRule>
    <cfRule type="expression" dxfId="243" priority="1079">
      <formula>$F$274&lt;$E$274</formula>
    </cfRule>
    <cfRule type="expression" dxfId="242" priority="1080">
      <formula>$F$274&gt;$E$274</formula>
    </cfRule>
  </conditionalFormatting>
  <conditionalFormatting sqref="G276">
    <cfRule type="expression" dxfId="241" priority="1081">
      <formula>$F$276=$E$276</formula>
    </cfRule>
    <cfRule type="expression" dxfId="240" priority="1082">
      <formula>$F$276&lt;$E$276</formula>
    </cfRule>
    <cfRule type="expression" dxfId="239" priority="1083">
      <formula>$F$276&gt;$E$276</formula>
    </cfRule>
  </conditionalFormatting>
  <conditionalFormatting sqref="G277">
    <cfRule type="expression" dxfId="238" priority="1084">
      <formula>$F$277=$E$277</formula>
    </cfRule>
    <cfRule type="expression" dxfId="237" priority="1085">
      <formula>$F$277&lt;$E$277</formula>
    </cfRule>
    <cfRule type="expression" dxfId="236" priority="1086">
      <formula>$F$277&gt;$E$277</formula>
    </cfRule>
  </conditionalFormatting>
  <conditionalFormatting sqref="G278">
    <cfRule type="expression" dxfId="235" priority="1087">
      <formula>$F$278=$E$278</formula>
    </cfRule>
    <cfRule type="expression" dxfId="234" priority="1088">
      <formula>$F$278&lt;$E$278</formula>
    </cfRule>
    <cfRule type="expression" dxfId="233" priority="1089">
      <formula>$F$278&gt;$E$278</formula>
    </cfRule>
  </conditionalFormatting>
  <conditionalFormatting sqref="G279">
    <cfRule type="expression" dxfId="232" priority="1090">
      <formula>$F$279&lt;$E$279</formula>
    </cfRule>
    <cfRule type="expression" dxfId="231" priority="1091">
      <formula>$F$279&gt;$E$279</formula>
    </cfRule>
    <cfRule type="expression" dxfId="230" priority="1092">
      <formula>$E$279=$F$279</formula>
    </cfRule>
  </conditionalFormatting>
  <conditionalFormatting sqref="G280">
    <cfRule type="expression" dxfId="229" priority="1093">
      <formula>$E$280=$F$280</formula>
    </cfRule>
    <cfRule type="expression" dxfId="228" priority="1094">
      <formula>$F$280&lt;$E$280</formula>
    </cfRule>
    <cfRule type="expression" dxfId="227" priority="1095">
      <formula>$F$280&gt;$E$280</formula>
    </cfRule>
  </conditionalFormatting>
  <conditionalFormatting sqref="G281">
    <cfRule type="expression" dxfId="226" priority="1096">
      <formula>$F$281=$E$281</formula>
    </cfRule>
    <cfRule type="expression" dxfId="225" priority="1097">
      <formula>$F$281&lt;$E$281</formula>
    </cfRule>
    <cfRule type="expression" dxfId="224" priority="1098">
      <formula>$F$281&gt;$E$281</formula>
    </cfRule>
  </conditionalFormatting>
  <conditionalFormatting sqref="G275">
    <cfRule type="expression" dxfId="223" priority="1099">
      <formula>$F$275=$E$275</formula>
    </cfRule>
    <cfRule type="expression" dxfId="222" priority="1100">
      <formula>$F$275&lt;$E$275</formula>
    </cfRule>
    <cfRule type="expression" dxfId="221" priority="1101">
      <formula>$F$275&gt;$E$275</formula>
    </cfRule>
  </conditionalFormatting>
  <conditionalFormatting sqref="G282">
    <cfRule type="expression" dxfId="220" priority="1102">
      <formula>$F$282=$E$282</formula>
    </cfRule>
    <cfRule type="expression" dxfId="219" priority="1103">
      <formula>$F$282&lt;$E$282</formula>
    </cfRule>
    <cfRule type="expression" dxfId="218" priority="1104">
      <formula>$F$282&gt;$E$282</formula>
    </cfRule>
  </conditionalFormatting>
  <conditionalFormatting sqref="G284">
    <cfRule type="expression" dxfId="217" priority="1105">
      <formula>$F$284=$E$284</formula>
    </cfRule>
    <cfRule type="expression" dxfId="216" priority="1106">
      <formula>$F$284&lt;$E$284</formula>
    </cfRule>
    <cfRule type="expression" dxfId="215" priority="1107">
      <formula>$F$284&gt;$E$284</formula>
    </cfRule>
  </conditionalFormatting>
  <conditionalFormatting sqref="G271">
    <cfRule type="expression" dxfId="214" priority="1108">
      <formula>$F$271=$E$271</formula>
    </cfRule>
    <cfRule type="expression" dxfId="213" priority="1109">
      <formula>$F$271&lt;$E$271</formula>
    </cfRule>
    <cfRule type="expression" dxfId="212" priority="1110">
      <formula>$F$271&gt;$E$271</formula>
    </cfRule>
  </conditionalFormatting>
  <conditionalFormatting sqref="E270">
    <cfRule type="containsText" dxfId="211" priority="95" operator="containsText" text="&lt; Avg">
      <formula>NOT(ISERROR(SEARCH("&lt; Avg",E270)))</formula>
    </cfRule>
    <cfRule type="containsText" dxfId="210" priority="96" operator="containsText" text="&gt; Avg">
      <formula>NOT(ISERROR(SEARCH("&gt; Avg",E270)))</formula>
    </cfRule>
  </conditionalFormatting>
  <conditionalFormatting sqref="F270">
    <cfRule type="containsText" dxfId="209" priority="93" operator="containsText" text="&lt; Avg">
      <formula>NOT(ISERROR(SEARCH("&lt; Avg",F270)))</formula>
    </cfRule>
    <cfRule type="containsText" dxfId="208" priority="94" operator="containsText" text="&gt; Avg">
      <formula>NOT(ISERROR(SEARCH("&gt; Avg",F270)))</formula>
    </cfRule>
  </conditionalFormatting>
  <conditionalFormatting sqref="E272">
    <cfRule type="containsText" dxfId="207" priority="91" operator="containsText" text="&lt; Avg">
      <formula>NOT(ISERROR(SEARCH("&lt; Avg",E272)))</formula>
    </cfRule>
    <cfRule type="containsText" dxfId="206" priority="92" operator="containsText" text="&gt; Avg">
      <formula>NOT(ISERROR(SEARCH("&gt; Avg",E272)))</formula>
    </cfRule>
  </conditionalFormatting>
  <conditionalFormatting sqref="F272">
    <cfRule type="containsText" dxfId="205" priority="89" operator="containsText" text="&lt; Avg">
      <formula>NOT(ISERROR(SEARCH("&lt; Avg",F272)))</formula>
    </cfRule>
    <cfRule type="containsText" dxfId="204" priority="90" operator="containsText" text="&gt; Avg">
      <formula>NOT(ISERROR(SEARCH("&gt; Avg",F272)))</formula>
    </cfRule>
  </conditionalFormatting>
  <conditionalFormatting sqref="N209">
    <cfRule type="containsText" dxfId="203" priority="87" operator="containsText" text="&lt; Avg">
      <formula>NOT(ISERROR(SEARCH("&lt; Avg",N209)))</formula>
    </cfRule>
    <cfRule type="containsText" dxfId="202" priority="88" operator="containsText" text="&gt; Avg">
      <formula>NOT(ISERROR(SEARCH("&gt; Avg",N209)))</formula>
    </cfRule>
  </conditionalFormatting>
  <conditionalFormatting sqref="O209">
    <cfRule type="containsText" dxfId="201" priority="86" operator="containsText" text="&lt; Avg">
      <formula>NOT(ISERROR(SEARCH("&lt; Avg",O209)))</formula>
    </cfRule>
    <cfRule type="containsText" dxfId="200" priority="1116" operator="containsText" text="&gt; Avg">
      <formula>NOT(ISERROR(SEARCH("&gt; Avg",O209)))</formula>
    </cfRule>
  </conditionalFormatting>
  <conditionalFormatting sqref="P209">
    <cfRule type="containsText" dxfId="199" priority="84" operator="containsText" text="&lt; Avg">
      <formula>NOT(ISERROR(SEARCH("&lt; Avg",P209)))</formula>
    </cfRule>
    <cfRule type="containsText" dxfId="198" priority="85" operator="containsText" text="&gt; Avg">
      <formula>NOT(ISERROR(SEARCH("&gt; Avg",P209)))</formula>
    </cfRule>
  </conditionalFormatting>
  <conditionalFormatting sqref="Q209">
    <cfRule type="containsText" dxfId="197" priority="82" operator="containsText" text="&lt; Avg">
      <formula>NOT(ISERROR(SEARCH("&lt; Avg",Q209)))</formula>
    </cfRule>
    <cfRule type="containsText" dxfId="196" priority="83" operator="containsText" text="&gt; Avg">
      <formula>NOT(ISERROR(SEARCH("&gt; Avg",Q209)))</formula>
    </cfRule>
  </conditionalFormatting>
  <conditionalFormatting sqref="K279">
    <cfRule type="containsText" dxfId="195" priority="79" operator="containsText" text="&lt; Avg">
      <formula>NOT(ISERROR(SEARCH("&lt; Avg",K279)))</formula>
    </cfRule>
    <cfRule type="containsText" dxfId="194" priority="80" operator="containsText" text="&gt; Avg">
      <formula>NOT(ISERROR(SEARCH("&gt; Avg",K279)))</formula>
    </cfRule>
  </conditionalFormatting>
  <conditionalFormatting sqref="L279">
    <cfRule type="containsText" dxfId="193" priority="77" operator="containsText" text="&lt; Avg">
      <formula>NOT(ISERROR(SEARCH("&lt; Avg",L279)))</formula>
    </cfRule>
    <cfRule type="containsText" dxfId="192" priority="78" operator="containsText" text="&gt; Avg">
      <formula>NOT(ISERROR(SEARCH("&gt; Avg",L279)))</formula>
    </cfRule>
  </conditionalFormatting>
  <conditionalFormatting sqref="M279">
    <cfRule type="containsText" dxfId="191" priority="75" operator="containsText" text="&lt; Avg">
      <formula>NOT(ISERROR(SEARCH("&lt; Avg",M279)))</formula>
    </cfRule>
    <cfRule type="containsText" dxfId="190" priority="76" operator="containsText" text="&gt; Avg">
      <formula>NOT(ISERROR(SEARCH("&gt; Avg",M279)))</formula>
    </cfRule>
  </conditionalFormatting>
  <conditionalFormatting sqref="N279">
    <cfRule type="containsText" dxfId="189" priority="73" operator="containsText" text="&lt; Avg">
      <formula>NOT(ISERROR(SEARCH("&lt; Avg",N279)))</formula>
    </cfRule>
    <cfRule type="containsText" dxfId="188" priority="74" operator="containsText" text="&gt; Avg">
      <formula>NOT(ISERROR(SEARCH("&gt; Avg",N279)))</formula>
    </cfRule>
  </conditionalFormatting>
  <conditionalFormatting sqref="K299">
    <cfRule type="containsText" dxfId="187" priority="71" operator="containsText" text="&lt; Avg">
      <formula>NOT(ISERROR(SEARCH("&lt; Avg",K299)))</formula>
    </cfRule>
    <cfRule type="containsText" dxfId="186" priority="72" operator="containsText" text="&gt; Avg">
      <formula>NOT(ISERROR(SEARCH("&gt; Avg",K299)))</formula>
    </cfRule>
  </conditionalFormatting>
  <conditionalFormatting sqref="L299">
    <cfRule type="containsText" dxfId="185" priority="69" operator="containsText" text="&lt; Avg">
      <formula>NOT(ISERROR(SEARCH("&lt; Avg",L299)))</formula>
    </cfRule>
    <cfRule type="containsText" dxfId="184" priority="70" operator="containsText" text="&gt; Avg">
      <formula>NOT(ISERROR(SEARCH("&gt; Avg",L299)))</formula>
    </cfRule>
  </conditionalFormatting>
  <conditionalFormatting sqref="M299">
    <cfRule type="containsText" dxfId="183" priority="67" operator="containsText" text="&lt; Avg">
      <formula>NOT(ISERROR(SEARCH("&lt; Avg",M299)))</formula>
    </cfRule>
    <cfRule type="containsText" dxfId="182" priority="68" operator="containsText" text="&gt; Avg">
      <formula>NOT(ISERROR(SEARCH("&gt; Avg",M299)))</formula>
    </cfRule>
  </conditionalFormatting>
  <conditionalFormatting sqref="N299">
    <cfRule type="containsText" dxfId="181" priority="65" operator="containsText" text="&lt; Avg">
      <formula>NOT(ISERROR(SEARCH("&lt; Avg",N299)))</formula>
    </cfRule>
    <cfRule type="containsText" dxfId="180" priority="66" operator="containsText" text="&gt; Avg">
      <formula>NOT(ISERROR(SEARCH("&gt; Avg",N299)))</formula>
    </cfRule>
  </conditionalFormatting>
  <conditionalFormatting sqref="Q85:R85">
    <cfRule type="expression" dxfId="179" priority="50">
      <formula>$I$81="No"</formula>
    </cfRule>
  </conditionalFormatting>
  <conditionalFormatting sqref="M82:O82">
    <cfRule type="expression" dxfId="178" priority="47">
      <formula>$R$81&lt;&gt;$O$80</formula>
    </cfRule>
  </conditionalFormatting>
  <conditionalFormatting sqref="M83:O83">
    <cfRule type="expression" dxfId="177" priority="46">
      <formula>$R$81&lt;&gt;$O$81</formula>
    </cfRule>
  </conditionalFormatting>
  <conditionalFormatting sqref="D82:F82">
    <cfRule type="expression" dxfId="176" priority="45">
      <formula>$I$81&lt;&gt;$F$80</formula>
    </cfRule>
  </conditionalFormatting>
  <conditionalFormatting sqref="D83:F83">
    <cfRule type="expression" dxfId="175" priority="44">
      <formula>$I$81&lt;&gt;$F$81</formula>
    </cfRule>
  </conditionalFormatting>
  <conditionalFormatting sqref="L126:N126">
    <cfRule type="expression" dxfId="174" priority="42">
      <formula>$P$124&lt;&gt;$M$124</formula>
    </cfRule>
  </conditionalFormatting>
  <conditionalFormatting sqref="L125:N125">
    <cfRule type="expression" dxfId="173" priority="41">
      <formula>$P$124&lt;&gt;$M$123</formula>
    </cfRule>
  </conditionalFormatting>
  <conditionalFormatting sqref="S126:U126">
    <cfRule type="expression" dxfId="172" priority="40">
      <formula>$V$124&lt;&gt;$T$124</formula>
    </cfRule>
  </conditionalFormatting>
  <conditionalFormatting sqref="S125:U125">
    <cfRule type="expression" dxfId="171" priority="39">
      <formula>$V$124&lt;&gt;$T$123</formula>
    </cfRule>
  </conditionalFormatting>
  <conditionalFormatting sqref="D168:F168">
    <cfRule type="expression" dxfId="170" priority="35">
      <formula>$H$166&lt;&gt;$E$166</formula>
    </cfRule>
  </conditionalFormatting>
  <conditionalFormatting sqref="D167:F167">
    <cfRule type="expression" dxfId="169" priority="34">
      <formula>$H$166&lt;&gt;$E$165</formula>
    </cfRule>
  </conditionalFormatting>
  <conditionalFormatting sqref="L168:N168">
    <cfRule type="expression" dxfId="168" priority="29">
      <formula>$P$166&lt;&gt;$M$166</formula>
    </cfRule>
  </conditionalFormatting>
  <conditionalFormatting sqref="L167:N167">
    <cfRule type="expression" dxfId="167" priority="28">
      <formula>$P$166&lt;&gt;$M$165</formula>
    </cfRule>
  </conditionalFormatting>
  <conditionalFormatting sqref="D34:J71">
    <cfRule type="expression" dxfId="166" priority="27">
      <formula>$H$20&lt;&gt;$F$15</formula>
    </cfRule>
  </conditionalFormatting>
  <conditionalFormatting sqref="L189:Q209">
    <cfRule type="expression" dxfId="165" priority="81">
      <formula>$L$187=$L$192</formula>
    </cfRule>
  </conditionalFormatting>
  <conditionalFormatting sqref="L169:R184">
    <cfRule type="expression" dxfId="164" priority="16">
      <formula>$P$166=$M$166</formula>
    </cfRule>
  </conditionalFormatting>
  <conditionalFormatting sqref="D169:J184">
    <cfRule type="expression" dxfId="163" priority="15">
      <formula>$H$166=$E$166</formula>
    </cfRule>
  </conditionalFormatting>
  <conditionalFormatting sqref="S189:AJ209">
    <cfRule type="expression" dxfId="162" priority="14">
      <formula>$S$187=$Y$191</formula>
    </cfRule>
  </conditionalFormatting>
  <conditionalFormatting sqref="C257:U300">
    <cfRule type="expression" dxfId="161" priority="13">
      <formula>$C$254=$C$259</formula>
    </cfRule>
  </conditionalFormatting>
  <conditionalFormatting sqref="M221:N224">
    <cfRule type="expression" dxfId="160" priority="10">
      <formula>$M$220&lt;&gt;"Car"</formula>
    </cfRule>
  </conditionalFormatting>
  <conditionalFormatting sqref="M225:N225">
    <cfRule type="expression" dxfId="159" priority="8">
      <formula>$M$220&lt;&gt;"Bus"</formula>
    </cfRule>
  </conditionalFormatting>
  <conditionalFormatting sqref="M226:N228">
    <cfRule type="expression" dxfId="158" priority="7">
      <formula>$M$220&lt;&gt;"Motorbike"</formula>
    </cfRule>
  </conditionalFormatting>
  <conditionalFormatting sqref="M230:N233">
    <cfRule type="expression" dxfId="157" priority="6">
      <formula>$M$229="No"</formula>
    </cfRule>
  </conditionalFormatting>
  <conditionalFormatting sqref="M235:N235">
    <cfRule type="expression" dxfId="156" priority="5">
      <formula>$M$234="No"</formula>
    </cfRule>
  </conditionalFormatting>
  <conditionalFormatting sqref="M239:N241">
    <cfRule type="expression" dxfId="155" priority="4">
      <formula>$M$238="No"</formula>
    </cfRule>
  </conditionalFormatting>
  <conditionalFormatting sqref="M243:N243">
    <cfRule type="expression" dxfId="154" priority="3">
      <formula>$M$242="No"</formula>
    </cfRule>
  </conditionalFormatting>
  <conditionalFormatting sqref="M246:N246">
    <cfRule type="expression" dxfId="153" priority="2">
      <formula>$M$245="No"</formula>
    </cfRule>
  </conditionalFormatting>
  <conditionalFormatting sqref="M248:N248">
    <cfRule type="expression" dxfId="152" priority="1">
      <formula>$M$247="No"</formula>
    </cfRule>
  </conditionalFormatting>
  <dataValidations count="18">
    <dataValidation type="list" allowBlank="1" showInputMessage="1" showErrorMessage="1" sqref="H41 I88 O221 O230" xr:uid="{DBE6B8A7-E79B-9F4B-A847-56D637BCEAEF}">
      <formula1>$F$38:$F$41</formula1>
    </dataValidation>
    <dataValidation type="list" allowBlank="1" showInputMessage="1" showErrorMessage="1" sqref="X44:Y44 O226" xr:uid="{BA40ED7C-7A9C-9D45-9B27-D8E57D73CDCA}">
      <formula1>$V$38:$V$44</formula1>
    </dataValidation>
    <dataValidation type="list" allowBlank="1" showInputMessage="1" showErrorMessage="1" sqref="H20 O220" xr:uid="{3216246B-5232-7E4D-8584-3238A0CC8890}">
      <formula1>$F$15:$F$20</formula1>
    </dataValidation>
    <dataValidation type="list" allowBlank="1" showInputMessage="1" showErrorMessage="1" sqref="I81 Q42 AF41 R81 O229 O234" xr:uid="{3F487E67-6398-BB4E-B36E-1704551CA903}">
      <formula1>$F$80:$F$81</formula1>
    </dataValidation>
    <dataValidation type="list" allowBlank="1" showInputMessage="1" showErrorMessage="1" sqref="X49 O227" xr:uid="{4CCE3F21-8FCB-8945-9EC6-3697F63FE3EA}">
      <formula1>$W$47:$W$49</formula1>
    </dataValidation>
    <dataValidation type="list" allowBlank="1" showInputMessage="1" showErrorMessage="1" sqref="H48 O222" xr:uid="{6582C3F9-17EA-D14F-910C-94E7B9E6AFEC}">
      <formula1>$G$44:$G$48</formula1>
    </dataValidation>
    <dataValidation type="list" allowBlank="1" showInputMessage="1" showErrorMessage="1" sqref="I126 O236" xr:uid="{740B3901-86D7-8645-BD7B-1607E29B3589}">
      <formula1>$E$123:$E$125</formula1>
    </dataValidation>
    <dataValidation type="list" allowBlank="1" showInputMessage="1" showErrorMessage="1" sqref="P132 O239" xr:uid="{DAE1EC45-4CC7-2349-BB7B-853B4D9BED07}">
      <formula1>$M$128:$M$131</formula1>
    </dataValidation>
    <dataValidation type="list" allowBlank="1" showInputMessage="1" showErrorMessage="1" sqref="P124 O238" xr:uid="{A9849946-D370-B345-B64A-85BA64059C69}">
      <formula1>$M$123:$M$124</formula1>
    </dataValidation>
    <dataValidation type="list" allowBlank="1" showInputMessage="1" showErrorMessage="1" sqref="I128" xr:uid="{74F95C2D-7984-3B45-A4C4-BD227D203C43}">
      <formula1>$F$123:$F$128</formula1>
    </dataValidation>
    <dataValidation type="list" allowBlank="1" showInputMessage="1" showErrorMessage="1" sqref="V124 O242" xr:uid="{41A8EDA0-6486-9843-937E-CAF8DC4ADC6A}">
      <formula1>$T$123:$T$124</formula1>
    </dataValidation>
    <dataValidation type="list" allowBlank="1" showInputMessage="1" showErrorMessage="1" sqref="V129 O243" xr:uid="{C3B4288E-3E87-B446-A77E-95241E1651F3}">
      <formula1>$T$128:$T$129</formula1>
    </dataValidation>
    <dataValidation type="list" allowBlank="1" showInputMessage="1" showErrorMessage="1" sqref="AC124 O244" xr:uid="{B51ACFAC-7EDE-2940-A8C4-3D78D7682D1B}">
      <formula1>$Z$123:$Z$124</formula1>
    </dataValidation>
    <dataValidation type="list" allowBlank="1" showInputMessage="1" showErrorMessage="1" sqref="H166 P166 O245 O247" xr:uid="{595E448D-96FC-734F-9A33-708524376125}">
      <formula1>$E$165:$E$166</formula1>
    </dataValidation>
    <dataValidation type="list" allowBlank="1" showInputMessage="1" showErrorMessage="1" sqref="I95 O231" xr:uid="{F50EEC43-6D4E-AD4C-8F37-E3E51E72CFDC}">
      <formula1>$G$91:$G$95</formula1>
    </dataValidation>
    <dataValidation type="list" allowBlank="1" showInputMessage="1" showErrorMessage="1" sqref="L187" xr:uid="{F30F32FD-E857-514D-B972-805E169235A9}">
      <formula1>$L$191:$L$192</formula1>
    </dataValidation>
    <dataValidation type="list" allowBlank="1" showInputMessage="1" showErrorMessage="1" sqref="S187:U187" xr:uid="{E0F5F58D-4D54-9F4A-9FCF-BED940DD508F}">
      <formula1>$Y$190:$Y$191</formula1>
    </dataValidation>
    <dataValidation type="list" allowBlank="1" showInputMessage="1" showErrorMessage="1" sqref="C254:F255" xr:uid="{21D16528-E19F-3146-9101-76130F899AC3}">
      <formula1>$C$258:$C$259</formula1>
    </dataValidation>
  </dataValidations>
  <hyperlinks>
    <hyperlink ref="J55" location="'Iteration II Simulation'!D79" display="Next -&gt;" xr:uid="{079249B2-7453-D747-9695-121B049487F7}"/>
    <hyperlink ref="F82" location="'Iteration II Simulation'!D84" display="Next -&gt;" xr:uid="{45131D34-FF90-F745-BF58-964262BB91DE}"/>
    <hyperlink ref="F83" location="'Iteration II Simulation'!M79" display="Next -&gt;" xr:uid="{0438E6B5-F4DC-3944-BBAA-6871B3687F5A}"/>
    <hyperlink ref="O82" location="'Iteration II Simulation'!M84" display="Next -&gt;" xr:uid="{758694F4-0357-8348-944E-5D531D0094C1}"/>
    <hyperlink ref="O83" location="'Iteration II Simulation'!D122" display="Next -&gt;" xr:uid="{BF1FEA33-D284-7249-8D00-187DBB87A4D2}"/>
    <hyperlink ref="J129" location="'Iteration II Simulation'!L122" display="Next -&gt;" xr:uid="{079DB52D-519A-9142-8DF8-E4F4D04E4558}"/>
    <hyperlink ref="N125" location="'Iteration II Simulation'!L127" display="Next -&gt;" xr:uid="{1CC9940E-AFFD-344C-BBFB-868A8BF30039}"/>
    <hyperlink ref="N126" location="'Iteration II Simulation'!S122" display="Next -&gt;" xr:uid="{83B38934-ECDA-1041-AD17-46B79B21D7DA}"/>
    <hyperlink ref="R39" location="'Iteration II Simulation'!D79" display="Next -&gt;" xr:uid="{DA4D9F31-607B-0142-A3FD-68F69905FFCE}"/>
    <hyperlink ref="Z53" location="'Iteration II Simulation'!D79" display="Next -&gt;" xr:uid="{0F8B231C-1866-0443-82AA-96580546EBB8}"/>
    <hyperlink ref="AH38" location="'Iteration II Simulation'!D79" display="Next -&gt;" xr:uid="{851535AB-1BAD-9F4A-B757-0BDA3DFA829D}"/>
    <hyperlink ref="J102" location="'Iteration II Simulation'!M79" display="Next -&gt;" xr:uid="{6A8471CC-DC07-7841-9F61-20BC8B5C4D20}"/>
    <hyperlink ref="S85" location="'Iteration II Simulation'!D122" display="Next -&gt;" xr:uid="{ED67929B-DEC2-3046-A4FE-F6905F9E3305}"/>
    <hyperlink ref="Q136" location="'Iteration II Simulation'!S122" display="Next -&gt;" xr:uid="{6F2B3933-DD2D-1646-A9DB-7ED43C84BA9F}"/>
    <hyperlink ref="U125" location="'Iteration II Simulation'!S127" display="Next -&gt;" xr:uid="{70EF897B-B372-DA4C-B9A5-8CE6C60B68A6}"/>
    <hyperlink ref="U126" location="'Iteration II Simulation'!Y122" display="Next -&gt;" xr:uid="{71A0EC58-F19B-D548-A287-1836B78042F5}"/>
    <hyperlink ref="W131" location="'Iteration II Simulation'!Y122" display="Next -&gt;" xr:uid="{60B433AE-C092-044F-AB10-DE405EE71BC5}"/>
    <hyperlink ref="AD126" location="'Iteration II Simulation'!D164" display="Next -&gt;" xr:uid="{38B63C9C-B4CD-F549-A1AD-1E2A00970DA2}"/>
    <hyperlink ref="F168" location="'Iteration II Simulation'!L164" display="Next -&gt;" xr:uid="{D8299568-68C1-9C45-A11F-274683C75E41}"/>
    <hyperlink ref="F167" location="'Iteration II Simulation'!D169" display="Next -&gt;" xr:uid="{3A0D32B0-3B08-6E41-8AFF-88194D216A5F}"/>
    <hyperlink ref="J170" location="'Iteration II Simulation'!L164" display="Next -&gt;" xr:uid="{294A6CEC-5C34-9F49-89B8-F089DBDB11BE}"/>
    <hyperlink ref="R170" location="'Iteration II Simulation'!W168" display="Next -&gt;" xr:uid="{FEC4B5E0-A7C0-464D-A1C5-FCF196A238B9}"/>
    <hyperlink ref="N168" location="'Iteration II Simulation'!L164" display="Next -&gt;" xr:uid="{87123502-CEB4-1142-AE7F-E2F600FA9C5D}"/>
    <hyperlink ref="N167" location="'Iteration II Simulation'!D169" display="Next -&gt;" xr:uid="{AFE29FA2-EC8F-D441-AB6F-19AD2DCB9544}"/>
    <hyperlink ref="AA172" location="'Iteration II Simulation'!B187" display="Click Here" xr:uid="{F71FC17C-6221-4641-8D36-908E5B448CBE}"/>
    <hyperlink ref="AA173" location="'Iteration II Simulation'!B216" display="Click Here" xr:uid="{FFDEFF76-58B8-0C49-8FA9-464DD39017B4}"/>
    <hyperlink ref="AA174" location="'Iteration II Simulation'!B254" display="Click Here" xr:uid="{BB1AB502-516A-104C-B81C-59A18992F19A}"/>
  </hyperlinks>
  <pageMargins left="0.7" right="0.7" top="0.75" bottom="0.75" header="0.3" footer="0.3"/>
  <pageSetup paperSize="9" scale="84"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6413" r:id="rId3" name="Button 29">
              <controlPr locked="0" defaultSize="0" print="0" autoFill="0" autoPict="0" macro="[0]!Macro4" altText="Refresh">
                <anchor moveWithCells="1" sizeWithCells="1">
                  <from>
                    <xdr:col>7</xdr:col>
                    <xdr:colOff>317500</xdr:colOff>
                    <xdr:row>2</xdr:row>
                    <xdr:rowOff>139700</xdr:rowOff>
                  </from>
                  <to>
                    <xdr:col>8</xdr:col>
                    <xdr:colOff>698500</xdr:colOff>
                    <xdr:row>3</xdr:row>
                    <xdr:rowOff>304800</xdr:rowOff>
                  </to>
                </anchor>
              </controlPr>
            </control>
          </mc:Choice>
        </mc:AlternateContent>
        <mc:AlternateContent xmlns:mc="http://schemas.openxmlformats.org/markup-compatibility/2006">
          <mc:Choice Requires="x14">
            <control shapeId="16445" r:id="rId4" name="Button 61">
              <controlPr defaultSize="0" print="0" autoFill="0" autoPict="0" macro="[0]!Macro10">
                <anchor moveWithCells="1" sizeWithCells="1">
                  <from>
                    <xdr:col>14</xdr:col>
                    <xdr:colOff>723900</xdr:colOff>
                    <xdr:row>214</xdr:row>
                    <xdr:rowOff>127000</xdr:rowOff>
                  </from>
                  <to>
                    <xdr:col>15</xdr:col>
                    <xdr:colOff>1003300</xdr:colOff>
                    <xdr:row>215</xdr:row>
                    <xdr:rowOff>317500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7D519A4F-8395-3145-8AED-E6AD794C45C0}">
          <x14:formula1>
            <xm:f>Outward!$B$2:$B$2983</xm:f>
          </x14:formula1>
          <xm:sqref>G12:H12 G23:H23 O219</xm:sqref>
        </x14:dataValidation>
        <x14:dataValidation type="list" allowBlank="1" showInputMessage="1" showErrorMessage="1" xr:uid="{7D7F8296-12B1-F541-968C-18F29339490E}">
          <x14:formula1>
            <xm:f>Outward!$D$2:$D$169</xm:f>
          </x14:formula1>
          <xm:sqref>P85 G98 W53 O38 G51 O223 O225 O228 O232 O235</xm:sqref>
        </x14:dataValidation>
        <x14:dataValidation type="list" allowBlank="1" showInputMessage="1" showErrorMessage="1" xr:uid="{1ADD0C03-823A-B346-BC8C-86F617F2D24A}">
          <x14:formula1>
            <xm:f>Outward!$D$2:$D$201</xm:f>
          </x14:formula1>
          <xm:sqref>G170 O170 O246 O248</xm:sqref>
        </x14:dataValidation>
        <x14:dataValidation type="list" allowBlank="1" showInputMessage="1" showErrorMessage="1" xr:uid="{011B48BD-AD80-7A41-B891-914AF43EA424}">
          <x14:formula1>
            <xm:f>Outward!$D$1:$D$169</xm:f>
          </x14:formula1>
          <xm:sqref>N135:N136 O240:O241</xm:sqref>
        </x14:dataValidation>
        <x14:dataValidation type="list" allowBlank="1" showInputMessage="1" showErrorMessage="1" xr:uid="{F8F7D234-C303-C441-9A46-3CA10AA3AA82}">
          <x14:formula1>
            <xm:f>Outward!$D$1:$D$11</xm:f>
          </x14:formula1>
          <xm:sqref>G55 G102 O224:Q224 O233:Q233</xm:sqref>
        </x14:dataValidation>
        <x14:dataValidation type="list" allowBlank="1" showInputMessage="1" showErrorMessage="1" xr:uid="{50908425-8B5E-5C4A-BFCA-AD3C4D730FAC}">
          <x14:formula1>
            <xm:f>Outward!$D$1:$D$21</xm:f>
          </x14:formula1>
          <xm:sqref>G129 O237:Q237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976DC-622D-3A42-B777-610C26DD43DF}">
  <sheetPr codeName="Sheet4">
    <tabColor rgb="FFFFC000"/>
  </sheetPr>
  <dimension ref="A1:O56"/>
  <sheetViews>
    <sheetView topLeftCell="A2" zoomScale="112" zoomScaleNormal="100" workbookViewId="0">
      <selection activeCell="C31" sqref="C31:L33"/>
    </sheetView>
  </sheetViews>
  <sheetFormatPr baseColWidth="10" defaultRowHeight="16"/>
  <cols>
    <col min="1" max="1" width="3.6640625" style="176" customWidth="1"/>
    <col min="2" max="2" width="6.1640625" style="176" customWidth="1"/>
    <col min="3" max="16384" width="10.83203125" style="176"/>
  </cols>
  <sheetData>
    <row r="1" spans="1:12" ht="19">
      <c r="A1" s="1446" t="s">
        <v>3721</v>
      </c>
      <c r="B1" s="1446"/>
    </row>
    <row r="2" spans="1:12" ht="16" customHeight="1">
      <c r="A2" s="1971" t="s">
        <v>3701</v>
      </c>
      <c r="B2" s="1769" t="s">
        <v>3759</v>
      </c>
      <c r="C2" s="1769"/>
      <c r="D2" s="1769"/>
      <c r="E2" s="1769"/>
      <c r="F2" s="1769"/>
      <c r="G2" s="1769"/>
      <c r="H2" s="1769"/>
      <c r="I2" s="1769"/>
      <c r="J2" s="1769"/>
      <c r="K2" s="1769"/>
    </row>
    <row r="3" spans="1:12">
      <c r="A3" s="1971"/>
      <c r="B3" s="1769"/>
      <c r="C3" s="1769"/>
      <c r="D3" s="1769"/>
      <c r="E3" s="1769"/>
      <c r="F3" s="1769"/>
      <c r="G3" s="1769"/>
      <c r="H3" s="1769"/>
      <c r="I3" s="1769"/>
      <c r="J3" s="1769"/>
      <c r="K3" s="1769"/>
    </row>
    <row r="4" spans="1:12">
      <c r="A4" s="1971" t="s">
        <v>3701</v>
      </c>
      <c r="B4" s="1769" t="s">
        <v>3724</v>
      </c>
      <c r="C4" s="1769"/>
      <c r="D4" s="1769"/>
      <c r="E4" s="1769"/>
      <c r="F4" s="1769"/>
      <c r="G4" s="1769"/>
      <c r="H4" s="1769"/>
      <c r="I4" s="1769"/>
      <c r="J4" s="1769"/>
      <c r="K4" s="1769"/>
    </row>
    <row r="5" spans="1:12" ht="16" customHeight="1">
      <c r="A5" s="1971"/>
      <c r="B5" s="1769"/>
      <c r="C5" s="1769"/>
      <c r="D5" s="1769"/>
      <c r="E5" s="1769"/>
      <c r="F5" s="1769"/>
      <c r="G5" s="1769"/>
      <c r="H5" s="1769"/>
      <c r="I5" s="1769"/>
      <c r="J5" s="1769"/>
      <c r="K5" s="1769"/>
    </row>
    <row r="6" spans="1:12">
      <c r="A6" s="1445" t="s">
        <v>3701</v>
      </c>
      <c r="B6" s="1970" t="s">
        <v>3725</v>
      </c>
      <c r="C6" s="1970"/>
      <c r="D6" s="1970"/>
      <c r="E6" s="1970"/>
      <c r="F6" s="1970"/>
      <c r="G6" s="1970"/>
      <c r="H6" s="1970"/>
      <c r="I6" s="1970"/>
      <c r="J6" s="1970"/>
      <c r="K6" s="1970"/>
    </row>
    <row r="7" spans="1:12" ht="16" customHeight="1">
      <c r="B7" s="114"/>
      <c r="C7" s="114"/>
      <c r="D7" s="114"/>
      <c r="E7" s="114"/>
      <c r="F7" s="114"/>
      <c r="G7" s="114"/>
      <c r="H7" s="114"/>
    </row>
    <row r="8" spans="1:12" ht="16" customHeight="1" thickBot="1">
      <c r="B8" s="1449" t="s">
        <v>3722</v>
      </c>
      <c r="C8" s="974" t="s">
        <v>3734</v>
      </c>
      <c r="D8" s="114"/>
      <c r="E8" s="114"/>
      <c r="F8" s="114"/>
      <c r="G8" s="114"/>
      <c r="H8" s="114"/>
    </row>
    <row r="9" spans="1:12">
      <c r="B9" s="1438"/>
      <c r="C9" s="1961" t="s">
        <v>125</v>
      </c>
      <c r="D9" s="1962"/>
      <c r="E9" s="1962"/>
      <c r="F9" s="1962"/>
      <c r="G9" s="1962"/>
      <c r="H9" s="1962"/>
      <c r="I9" s="1962"/>
      <c r="J9" s="1962"/>
      <c r="K9" s="1962"/>
      <c r="L9" s="1963"/>
    </row>
    <row r="10" spans="1:12">
      <c r="B10" s="1438"/>
      <c r="C10" s="1964"/>
      <c r="D10" s="1965"/>
      <c r="E10" s="1965"/>
      <c r="F10" s="1965"/>
      <c r="G10" s="1965"/>
      <c r="H10" s="1965"/>
      <c r="I10" s="1965"/>
      <c r="J10" s="1965"/>
      <c r="K10" s="1965"/>
      <c r="L10" s="1966"/>
    </row>
    <row r="11" spans="1:12" ht="16" customHeight="1" thickBot="1">
      <c r="B11" s="1438"/>
      <c r="C11" s="1967"/>
      <c r="D11" s="1968"/>
      <c r="E11" s="1968"/>
      <c r="F11" s="1968"/>
      <c r="G11" s="1968"/>
      <c r="H11" s="1968"/>
      <c r="I11" s="1968"/>
      <c r="J11" s="1968"/>
      <c r="K11" s="1968"/>
      <c r="L11" s="1969"/>
    </row>
    <row r="12" spans="1:12" ht="16" customHeight="1">
      <c r="B12" s="1438"/>
      <c r="C12" s="1448"/>
      <c r="D12" s="1448"/>
      <c r="E12" s="1448"/>
      <c r="F12" s="1448"/>
      <c r="G12" s="1448"/>
      <c r="H12" s="1448"/>
      <c r="I12" s="1448"/>
      <c r="J12" s="1448"/>
      <c r="K12" s="1448"/>
    </row>
    <row r="13" spans="1:12">
      <c r="B13" s="1449" t="s">
        <v>3741</v>
      </c>
      <c r="C13" s="1450" t="s">
        <v>3735</v>
      </c>
      <c r="D13" s="114"/>
      <c r="E13" s="114"/>
      <c r="F13" s="114"/>
      <c r="G13" s="114"/>
      <c r="H13" s="114"/>
    </row>
    <row r="14" spans="1:12">
      <c r="B14" s="1438"/>
      <c r="C14" s="114" t="s">
        <v>3727</v>
      </c>
      <c r="D14" s="1447"/>
      <c r="E14" s="1447"/>
      <c r="F14" s="1447"/>
      <c r="G14" s="1447"/>
      <c r="H14" s="1447"/>
    </row>
    <row r="15" spans="1:12" ht="17" thickBot="1">
      <c r="B15" s="1438"/>
      <c r="C15" s="114" t="s">
        <v>3728</v>
      </c>
      <c r="D15" s="1447"/>
      <c r="E15" s="1447"/>
      <c r="F15" s="1447"/>
      <c r="G15" s="1447"/>
      <c r="H15" s="1447"/>
    </row>
    <row r="16" spans="1:12">
      <c r="B16" s="1438"/>
      <c r="C16" s="1961"/>
      <c r="D16" s="1962"/>
      <c r="E16" s="1962"/>
      <c r="F16" s="1962"/>
      <c r="G16" s="1962"/>
      <c r="H16" s="1962"/>
      <c r="I16" s="1962"/>
      <c r="J16" s="1962"/>
      <c r="K16" s="1962"/>
      <c r="L16" s="1963"/>
    </row>
    <row r="17" spans="2:15">
      <c r="B17" s="1438"/>
      <c r="C17" s="1964"/>
      <c r="D17" s="1965"/>
      <c r="E17" s="1965"/>
      <c r="F17" s="1965"/>
      <c r="G17" s="1965"/>
      <c r="H17" s="1965"/>
      <c r="I17" s="1965"/>
      <c r="J17" s="1965"/>
      <c r="K17" s="1965"/>
      <c r="L17" s="1966"/>
    </row>
    <row r="18" spans="2:15" ht="17" thickBot="1">
      <c r="B18" s="1438"/>
      <c r="C18" s="1967"/>
      <c r="D18" s="1968"/>
      <c r="E18" s="1968"/>
      <c r="F18" s="1968"/>
      <c r="G18" s="1968"/>
      <c r="H18" s="1968"/>
      <c r="I18" s="1968"/>
      <c r="J18" s="1968"/>
      <c r="K18" s="1968"/>
      <c r="L18" s="1969"/>
    </row>
    <row r="19" spans="2:15">
      <c r="B19" s="1438"/>
      <c r="C19" s="1448"/>
      <c r="D19" s="1448"/>
      <c r="E19" s="1448"/>
      <c r="F19" s="1448"/>
      <c r="G19" s="1448"/>
      <c r="H19" s="1448"/>
      <c r="I19" s="1448"/>
      <c r="J19" s="1448"/>
      <c r="K19" s="1448"/>
    </row>
    <row r="20" spans="2:15">
      <c r="B20" s="1451" t="s">
        <v>3742</v>
      </c>
      <c r="C20" s="974" t="s">
        <v>3736</v>
      </c>
      <c r="D20" s="114"/>
      <c r="E20" s="114"/>
      <c r="F20" s="114"/>
      <c r="G20" s="114"/>
      <c r="H20" s="114"/>
    </row>
    <row r="21" spans="2:15">
      <c r="B21" s="1438"/>
      <c r="C21" s="114" t="s">
        <v>3729</v>
      </c>
      <c r="D21" s="114"/>
      <c r="E21" s="114"/>
      <c r="F21" s="114"/>
      <c r="G21" s="114"/>
      <c r="H21" s="114"/>
    </row>
    <row r="22" spans="2:15" ht="16" customHeight="1" thickBot="1">
      <c r="B22" s="1438"/>
      <c r="C22" s="114" t="s">
        <v>3730</v>
      </c>
      <c r="D22" s="114"/>
      <c r="E22" s="114"/>
      <c r="F22" s="114"/>
      <c r="G22" s="114"/>
      <c r="H22" s="114"/>
    </row>
    <row r="23" spans="2:15">
      <c r="B23" s="1438"/>
      <c r="C23" s="1961"/>
      <c r="D23" s="1962"/>
      <c r="E23" s="1962"/>
      <c r="F23" s="1962"/>
      <c r="G23" s="1962"/>
      <c r="H23" s="1962"/>
      <c r="I23" s="1962"/>
      <c r="J23" s="1962"/>
      <c r="K23" s="1962"/>
      <c r="L23" s="1963"/>
    </row>
    <row r="24" spans="2:15" ht="16" customHeight="1">
      <c r="B24" s="1438"/>
      <c r="C24" s="1964"/>
      <c r="D24" s="1965"/>
      <c r="E24" s="1965"/>
      <c r="F24" s="1965"/>
      <c r="G24" s="1965"/>
      <c r="H24" s="1965"/>
      <c r="I24" s="1965"/>
      <c r="J24" s="1965"/>
      <c r="K24" s="1965"/>
      <c r="L24" s="1966"/>
    </row>
    <row r="25" spans="2:15" ht="16" customHeight="1" thickBot="1">
      <c r="B25" s="1438"/>
      <c r="C25" s="1967"/>
      <c r="D25" s="1968"/>
      <c r="E25" s="1968"/>
      <c r="F25" s="1968"/>
      <c r="G25" s="1968"/>
      <c r="H25" s="1968"/>
      <c r="I25" s="1968"/>
      <c r="J25" s="1968"/>
      <c r="K25" s="1968"/>
      <c r="L25" s="1969"/>
    </row>
    <row r="26" spans="2:15" ht="16" customHeight="1">
      <c r="B26" s="1438"/>
      <c r="C26" s="1448"/>
      <c r="D26" s="1448"/>
      <c r="E26" s="1448"/>
      <c r="F26" s="1448"/>
      <c r="G26" s="1448"/>
      <c r="H26" s="1448"/>
      <c r="I26" s="1448"/>
      <c r="J26" s="1448"/>
      <c r="K26" s="1448"/>
    </row>
    <row r="27" spans="2:15" ht="16" customHeight="1">
      <c r="B27" s="1451" t="s">
        <v>3743</v>
      </c>
      <c r="C27" s="1972" t="s">
        <v>3737</v>
      </c>
      <c r="D27" s="1972"/>
      <c r="E27" s="1972"/>
      <c r="F27" s="1972"/>
      <c r="G27" s="1972"/>
      <c r="H27" s="1972"/>
      <c r="I27" s="1972"/>
      <c r="J27" s="1972"/>
      <c r="K27" s="1972"/>
      <c r="L27" s="1972"/>
    </row>
    <row r="28" spans="2:15">
      <c r="B28" s="1452"/>
      <c r="C28" s="1972"/>
      <c r="D28" s="1972"/>
      <c r="E28" s="1972"/>
      <c r="F28" s="1972"/>
      <c r="G28" s="1972"/>
      <c r="H28" s="1972"/>
      <c r="I28" s="1972"/>
      <c r="J28" s="1972"/>
      <c r="K28" s="1972"/>
      <c r="L28" s="1972"/>
    </row>
    <row r="29" spans="2:15">
      <c r="B29" s="1445"/>
      <c r="C29" s="1447" t="s">
        <v>3731</v>
      </c>
      <c r="D29" s="433"/>
      <c r="E29" s="433"/>
      <c r="F29" s="433"/>
      <c r="G29" s="433"/>
      <c r="H29" s="433"/>
    </row>
    <row r="30" spans="2:15" ht="17" thickBot="1">
      <c r="B30" s="1438"/>
      <c r="C30" s="1447" t="s">
        <v>3726</v>
      </c>
      <c r="D30" s="114"/>
      <c r="E30" s="114"/>
      <c r="F30" s="114"/>
      <c r="G30" s="114"/>
      <c r="H30" s="114"/>
      <c r="O30" s="176" t="s">
        <v>125</v>
      </c>
    </row>
    <row r="31" spans="2:15">
      <c r="B31" s="1438"/>
      <c r="C31" s="1961"/>
      <c r="D31" s="1962"/>
      <c r="E31" s="1962"/>
      <c r="F31" s="1962"/>
      <c r="G31" s="1962"/>
      <c r="H31" s="1962"/>
      <c r="I31" s="1962"/>
      <c r="J31" s="1962"/>
      <c r="K31" s="1962"/>
      <c r="L31" s="1963"/>
    </row>
    <row r="32" spans="2:15">
      <c r="B32" s="1438"/>
      <c r="C32" s="1964"/>
      <c r="D32" s="1965"/>
      <c r="E32" s="1965"/>
      <c r="F32" s="1965"/>
      <c r="G32" s="1965"/>
      <c r="H32" s="1965"/>
      <c r="I32" s="1965"/>
      <c r="J32" s="1965"/>
      <c r="K32" s="1965"/>
      <c r="L32" s="1966"/>
    </row>
    <row r="33" spans="2:12" ht="16" customHeight="1" thickBot="1">
      <c r="B33" s="1438"/>
      <c r="C33" s="1967"/>
      <c r="D33" s="1968"/>
      <c r="E33" s="1968"/>
      <c r="F33" s="1968"/>
      <c r="G33" s="1968"/>
      <c r="H33" s="1968"/>
      <c r="I33" s="1968"/>
      <c r="J33" s="1968"/>
      <c r="K33" s="1968"/>
      <c r="L33" s="1969"/>
    </row>
    <row r="34" spans="2:12">
      <c r="B34" s="1438"/>
      <c r="C34" s="114"/>
      <c r="D34" s="114"/>
      <c r="E34" s="114"/>
      <c r="F34" s="114"/>
      <c r="G34" s="114"/>
      <c r="H34" s="114"/>
    </row>
    <row r="35" spans="2:12">
      <c r="B35" s="1451" t="s">
        <v>3744</v>
      </c>
      <c r="C35" s="1973" t="s">
        <v>3738</v>
      </c>
      <c r="D35" s="1973"/>
      <c r="E35" s="1973"/>
      <c r="F35" s="1973"/>
      <c r="G35" s="1973"/>
      <c r="H35" s="1973"/>
      <c r="I35" s="1973"/>
      <c r="J35" s="1973"/>
      <c r="K35" s="1973"/>
      <c r="L35" s="1973"/>
    </row>
    <row r="36" spans="2:12">
      <c r="B36" s="1449"/>
      <c r="C36" s="1973"/>
      <c r="D36" s="1973"/>
      <c r="E36" s="1973"/>
      <c r="F36" s="1973"/>
      <c r="G36" s="1973"/>
      <c r="H36" s="1973"/>
      <c r="I36" s="1973"/>
      <c r="J36" s="1973"/>
      <c r="K36" s="1973"/>
      <c r="L36" s="1973"/>
    </row>
    <row r="37" spans="2:12" ht="16" customHeight="1">
      <c r="B37" s="1438"/>
      <c r="C37" s="114" t="s">
        <v>3732</v>
      </c>
      <c r="D37" s="114"/>
      <c r="E37" s="114"/>
      <c r="F37" s="114"/>
      <c r="G37" s="114"/>
      <c r="H37" s="114"/>
    </row>
    <row r="38" spans="2:12" ht="17" thickBot="1">
      <c r="B38" s="1438"/>
      <c r="C38" s="114" t="s">
        <v>3733</v>
      </c>
      <c r="D38" s="114"/>
      <c r="E38" s="114"/>
      <c r="F38" s="114"/>
      <c r="G38" s="114"/>
      <c r="H38" s="114"/>
    </row>
    <row r="39" spans="2:12">
      <c r="B39" s="1438"/>
      <c r="C39" s="1961"/>
      <c r="D39" s="1962"/>
      <c r="E39" s="1962"/>
      <c r="F39" s="1962"/>
      <c r="G39" s="1962"/>
      <c r="H39" s="1962"/>
      <c r="I39" s="1962"/>
      <c r="J39" s="1962"/>
      <c r="K39" s="1962"/>
      <c r="L39" s="1963"/>
    </row>
    <row r="40" spans="2:12">
      <c r="B40" s="1438"/>
      <c r="C40" s="1964"/>
      <c r="D40" s="1965"/>
      <c r="E40" s="1965"/>
      <c r="F40" s="1965"/>
      <c r="G40" s="1965"/>
      <c r="H40" s="1965"/>
      <c r="I40" s="1965"/>
      <c r="J40" s="1965"/>
      <c r="K40" s="1965"/>
      <c r="L40" s="1966"/>
    </row>
    <row r="41" spans="2:12" ht="17" thickBot="1">
      <c r="B41" s="1438"/>
      <c r="C41" s="1967"/>
      <c r="D41" s="1968"/>
      <c r="E41" s="1968"/>
      <c r="F41" s="1968"/>
      <c r="G41" s="1968"/>
      <c r="H41" s="1968"/>
      <c r="I41" s="1968"/>
      <c r="J41" s="1968"/>
      <c r="K41" s="1968"/>
      <c r="L41" s="1969"/>
    </row>
    <row r="42" spans="2:12">
      <c r="B42" s="1438"/>
      <c r="C42" s="114"/>
      <c r="D42" s="114"/>
      <c r="E42" s="114"/>
      <c r="F42" s="114"/>
      <c r="G42" s="114"/>
      <c r="H42" s="114"/>
    </row>
    <row r="43" spans="2:12">
      <c r="B43" s="1449" t="s">
        <v>3745</v>
      </c>
      <c r="C43" s="1974" t="s">
        <v>3739</v>
      </c>
      <c r="D43" s="1974"/>
      <c r="E43" s="1974"/>
      <c r="F43" s="1974"/>
      <c r="G43" s="1974"/>
      <c r="H43" s="1974"/>
      <c r="I43" s="1974"/>
      <c r="J43" s="1974"/>
      <c r="K43" s="1974"/>
      <c r="L43" s="1974"/>
    </row>
    <row r="44" spans="2:12" ht="17" thickBot="1">
      <c r="B44" s="1449"/>
      <c r="C44" s="1974"/>
      <c r="D44" s="1974"/>
      <c r="E44" s="1974"/>
      <c r="F44" s="1974"/>
      <c r="G44" s="1974"/>
      <c r="H44" s="1974"/>
      <c r="I44" s="1974"/>
      <c r="J44" s="1974"/>
      <c r="K44" s="1974"/>
      <c r="L44" s="1974"/>
    </row>
    <row r="45" spans="2:12">
      <c r="B45" s="1438"/>
      <c r="C45" s="1961"/>
      <c r="D45" s="1962"/>
      <c r="E45" s="1962"/>
      <c r="F45" s="1962"/>
      <c r="G45" s="1962"/>
      <c r="H45" s="1962"/>
      <c r="I45" s="1962"/>
      <c r="J45" s="1962"/>
      <c r="K45" s="1962"/>
      <c r="L45" s="1963"/>
    </row>
    <row r="46" spans="2:12">
      <c r="B46" s="1438"/>
      <c r="C46" s="1964"/>
      <c r="D46" s="1965"/>
      <c r="E46" s="1965"/>
      <c r="F46" s="1965"/>
      <c r="G46" s="1965"/>
      <c r="H46" s="1965"/>
      <c r="I46" s="1965"/>
      <c r="J46" s="1965"/>
      <c r="K46" s="1965"/>
      <c r="L46" s="1966"/>
    </row>
    <row r="47" spans="2:12" ht="17" thickBot="1">
      <c r="B47" s="1438"/>
      <c r="C47" s="1967"/>
      <c r="D47" s="1968"/>
      <c r="E47" s="1968"/>
      <c r="F47" s="1968"/>
      <c r="G47" s="1968"/>
      <c r="H47" s="1968"/>
      <c r="I47" s="1968"/>
      <c r="J47" s="1968"/>
      <c r="K47" s="1968"/>
      <c r="L47" s="1969"/>
    </row>
    <row r="48" spans="2:12">
      <c r="B48" s="1438"/>
      <c r="C48" s="114"/>
      <c r="D48" s="114"/>
      <c r="E48" s="114"/>
      <c r="F48" s="114"/>
      <c r="G48" s="114"/>
      <c r="H48" s="114"/>
    </row>
    <row r="49" spans="2:12" ht="17" thickBot="1">
      <c r="B49" s="1449" t="s">
        <v>3746</v>
      </c>
      <c r="C49" s="974" t="s">
        <v>3740</v>
      </c>
      <c r="D49" s="114"/>
      <c r="E49" s="114"/>
      <c r="F49" s="114"/>
      <c r="G49" s="114"/>
      <c r="H49" s="114"/>
    </row>
    <row r="50" spans="2:12">
      <c r="B50" s="1438"/>
      <c r="C50" s="1961"/>
      <c r="D50" s="1962"/>
      <c r="E50" s="1962"/>
      <c r="F50" s="1962"/>
      <c r="G50" s="1962"/>
      <c r="H50" s="1962"/>
      <c r="I50" s="1962"/>
      <c r="J50" s="1962"/>
      <c r="K50" s="1962"/>
      <c r="L50" s="1963"/>
    </row>
    <row r="51" spans="2:12">
      <c r="B51" s="1438"/>
      <c r="C51" s="1964"/>
      <c r="D51" s="1965"/>
      <c r="E51" s="1965"/>
      <c r="F51" s="1965"/>
      <c r="G51" s="1965"/>
      <c r="H51" s="1965"/>
      <c r="I51" s="1965"/>
      <c r="J51" s="1965"/>
      <c r="K51" s="1965"/>
      <c r="L51" s="1966"/>
    </row>
    <row r="52" spans="2:12" ht="17" thickBot="1">
      <c r="B52" s="1438"/>
      <c r="C52" s="1967"/>
      <c r="D52" s="1968"/>
      <c r="E52" s="1968"/>
      <c r="F52" s="1968"/>
      <c r="G52" s="1968"/>
      <c r="H52" s="1968"/>
      <c r="I52" s="1968"/>
      <c r="J52" s="1968"/>
      <c r="K52" s="1968"/>
      <c r="L52" s="1969"/>
    </row>
    <row r="54" spans="2:12" ht="19">
      <c r="B54" s="1446"/>
    </row>
    <row r="56" spans="2:12" ht="19">
      <c r="D56" s="1446"/>
      <c r="F56" s="1446"/>
      <c r="G56" s="1446" t="s">
        <v>3747</v>
      </c>
    </row>
  </sheetData>
  <sheetProtection algorithmName="SHA-512" hashValue="eVHLr2MKtsyqIhupIkmXWfX0uujFr6kpJ+G+mEN7beSQeUgal//AVYJ2QeDB0yYT3MmHZ8X8FHbu1W3U/049mQ==" saltValue="0P3A/T1clW04KNBvrJCseQ==" spinCount="100000" sheet="1" selectLockedCells="1"/>
  <mergeCells count="15">
    <mergeCell ref="C50:L52"/>
    <mergeCell ref="B6:K6"/>
    <mergeCell ref="A4:A5"/>
    <mergeCell ref="A2:A3"/>
    <mergeCell ref="C23:L25"/>
    <mergeCell ref="C16:L18"/>
    <mergeCell ref="C9:L11"/>
    <mergeCell ref="C27:L28"/>
    <mergeCell ref="B2:K3"/>
    <mergeCell ref="B4:K5"/>
    <mergeCell ref="C31:L33"/>
    <mergeCell ref="C35:L36"/>
    <mergeCell ref="C39:L41"/>
    <mergeCell ref="C43:L44"/>
    <mergeCell ref="C45:L47"/>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510BE-E5DC-7948-A8F0-F21156C5D033}">
  <sheetPr codeName="Sheet5">
    <tabColor theme="8" tint="0.59999389629810485"/>
  </sheetPr>
  <dimension ref="A1:P121"/>
  <sheetViews>
    <sheetView topLeftCell="A94" zoomScale="75" zoomScaleNormal="100" workbookViewId="0">
      <selection activeCell="F29" sqref="F29"/>
    </sheetView>
  </sheetViews>
  <sheetFormatPr baseColWidth="10" defaultRowHeight="16"/>
  <cols>
    <col min="1" max="1" width="7.1640625" style="176" customWidth="1"/>
    <col min="2" max="2" width="10.83203125" style="176"/>
    <col min="3" max="3" width="34.33203125" style="176" bestFit="1" customWidth="1"/>
    <col min="4" max="4" width="15.83203125" style="176" customWidth="1"/>
    <col min="5" max="5" width="15.5" style="176" customWidth="1"/>
    <col min="6" max="6" width="10.83203125" style="176"/>
    <col min="7" max="7" width="14" style="176" customWidth="1"/>
    <col min="8" max="8" width="10.83203125" style="176"/>
    <col min="9" max="9" width="18" style="176" customWidth="1"/>
    <col min="10" max="10" width="16.1640625" style="176" customWidth="1"/>
    <col min="11" max="11" width="18.6640625" style="176" customWidth="1"/>
    <col min="12" max="12" width="15.33203125" style="176" customWidth="1"/>
    <col min="13" max="13" width="14.6640625" style="176" customWidth="1"/>
    <col min="14" max="16384" width="10.83203125" style="176"/>
  </cols>
  <sheetData>
    <row r="1" spans="1:14">
      <c r="A1" s="2000" t="s">
        <v>3607</v>
      </c>
      <c r="B1" s="2000"/>
      <c r="C1" s="2000"/>
      <c r="D1" s="2000"/>
    </row>
    <row r="2" spans="1:14">
      <c r="A2" s="2000"/>
      <c r="B2" s="2000"/>
      <c r="C2" s="2000"/>
      <c r="D2" s="2000"/>
    </row>
    <row r="3" spans="1:14">
      <c r="A3" s="2000"/>
      <c r="B3" s="2000"/>
      <c r="C3" s="2000"/>
      <c r="D3" s="2000"/>
    </row>
    <row r="4" spans="1:14" ht="21">
      <c r="A4" s="1331" t="s">
        <v>3704</v>
      </c>
      <c r="B4" s="1036"/>
      <c r="C4" s="1036"/>
      <c r="D4" s="1036"/>
    </row>
    <row r="6" spans="1:14" ht="19">
      <c r="A6" s="1245" t="s">
        <v>3565</v>
      </c>
      <c r="B6" s="1246" t="s">
        <v>3632</v>
      </c>
      <c r="C6" s="1247"/>
      <c r="D6" s="1247"/>
      <c r="E6" s="1247"/>
      <c r="F6" s="1247"/>
      <c r="G6" s="1247"/>
      <c r="H6" s="1247"/>
      <c r="I6" s="1247"/>
      <c r="J6" s="1247"/>
      <c r="K6" s="1247"/>
      <c r="L6" s="1247"/>
      <c r="M6" s="1247"/>
      <c r="N6" s="1247"/>
    </row>
    <row r="7" spans="1:14" ht="21">
      <c r="A7" s="1036"/>
      <c r="B7" s="176" t="s">
        <v>250</v>
      </c>
      <c r="C7" s="176" t="s">
        <v>3596</v>
      </c>
      <c r="D7" s="1037"/>
    </row>
    <row r="8" spans="1:14" ht="21">
      <c r="A8" s="1036"/>
      <c r="C8" s="176" t="s">
        <v>3597</v>
      </c>
      <c r="D8" s="1037"/>
    </row>
    <row r="9" spans="1:14" ht="21">
      <c r="A9" s="1036"/>
      <c r="C9" s="176" t="s">
        <v>3598</v>
      </c>
      <c r="D9" s="1037"/>
    </row>
    <row r="10" spans="1:14" ht="21">
      <c r="A10" s="1036"/>
      <c r="C10" s="176" t="s">
        <v>3599</v>
      </c>
      <c r="D10" s="1037"/>
    </row>
    <row r="11" spans="1:14" ht="21">
      <c r="A11" s="1036"/>
      <c r="C11" s="176" t="s">
        <v>3600</v>
      </c>
      <c r="D11" s="1037"/>
    </row>
    <row r="12" spans="1:14" ht="21">
      <c r="A12" s="1036"/>
      <c r="D12" s="1037"/>
    </row>
    <row r="13" spans="1:14" ht="21">
      <c r="A13" s="1036"/>
      <c r="B13" s="1042" t="s">
        <v>251</v>
      </c>
      <c r="C13" s="120" t="str">
        <f>"Q1: "&amp;'Iteration II Simulation'!$E$11</f>
        <v>Q1: Please enter the outward postcode (First 3-4 characters of your postcode) of the area in which your residence is located.</v>
      </c>
      <c r="D13" s="1043"/>
      <c r="E13" s="592"/>
    </row>
    <row r="14" spans="1:14" ht="21">
      <c r="A14" s="1036"/>
      <c r="B14" s="1038"/>
      <c r="C14" s="1038"/>
      <c r="D14" s="1036"/>
    </row>
    <row r="15" spans="1:14" ht="21">
      <c r="A15" s="1036"/>
      <c r="B15" s="1038"/>
      <c r="C15" s="1038"/>
      <c r="D15" s="1036"/>
    </row>
    <row r="18" spans="1:14" ht="19">
      <c r="A18" s="1245" t="s">
        <v>3567</v>
      </c>
      <c r="B18" s="1246" t="s">
        <v>3630</v>
      </c>
      <c r="C18" s="1247"/>
      <c r="D18" s="1247"/>
      <c r="E18" s="1247"/>
      <c r="F18" s="1247"/>
      <c r="G18" s="1247"/>
      <c r="H18" s="1247"/>
      <c r="I18" s="1247"/>
      <c r="J18" s="1247"/>
      <c r="K18" s="1247"/>
      <c r="L18" s="1247"/>
      <c r="M18" s="1247"/>
      <c r="N18" s="1247"/>
    </row>
    <row r="19" spans="1:14">
      <c r="B19" s="107" t="s">
        <v>56</v>
      </c>
      <c r="C19" s="176" t="s">
        <v>3606</v>
      </c>
    </row>
    <row r="26" spans="1:14" ht="19">
      <c r="A26" s="1245" t="s">
        <v>3569</v>
      </c>
      <c r="B26" s="1246" t="s">
        <v>3617</v>
      </c>
      <c r="C26" s="1247"/>
      <c r="D26" s="1247"/>
      <c r="E26" s="1247"/>
      <c r="F26" s="1247"/>
      <c r="G26" s="1247"/>
      <c r="H26" s="1247"/>
      <c r="I26" s="1247"/>
      <c r="J26" s="1247"/>
      <c r="K26" s="1247"/>
      <c r="L26" s="1247"/>
      <c r="M26" s="1247"/>
      <c r="N26" s="1247"/>
    </row>
    <row r="27" spans="1:14">
      <c r="B27" s="107" t="s">
        <v>3594</v>
      </c>
      <c r="C27" s="176" t="s">
        <v>3631</v>
      </c>
    </row>
    <row r="33" spans="1:14" ht="19">
      <c r="A33" s="1245" t="s">
        <v>3574</v>
      </c>
      <c r="B33" s="1246" t="s">
        <v>3629</v>
      </c>
      <c r="C33" s="1247"/>
      <c r="D33" s="1247"/>
      <c r="E33" s="1247"/>
      <c r="F33" s="1247"/>
      <c r="G33" s="1247"/>
      <c r="H33" s="1247"/>
      <c r="I33" s="1247"/>
      <c r="J33" s="1247"/>
      <c r="K33" s="1247"/>
      <c r="L33" s="1247"/>
      <c r="M33" s="1247"/>
      <c r="N33" s="1247"/>
    </row>
    <row r="34" spans="1:14" s="1115" customFormat="1" ht="20" thickBot="1">
      <c r="A34" s="988"/>
      <c r="B34" s="1244" t="s">
        <v>3270</v>
      </c>
      <c r="C34" s="1046"/>
      <c r="D34" s="1046"/>
      <c r="E34" s="1046"/>
      <c r="F34" s="1046"/>
      <c r="G34" s="1046"/>
      <c r="H34" s="1046"/>
      <c r="I34" s="1046"/>
      <c r="J34" s="1046"/>
      <c r="K34" s="1046"/>
      <c r="L34" s="1046"/>
      <c r="M34" s="1046"/>
      <c r="N34" s="1046"/>
    </row>
    <row r="35" spans="1:14">
      <c r="B35" s="526" t="str">
        <f>'Iteration II Simulation'!$D$122</f>
        <v>Q18</v>
      </c>
      <c r="C35" s="2004" t="str">
        <f>'Iteration II Simulation'!$E$122</f>
        <v>What is the size of your residence?</v>
      </c>
      <c r="D35" s="2005"/>
      <c r="E35" s="2005"/>
      <c r="F35" s="2005"/>
      <c r="G35" s="2006"/>
    </row>
    <row r="36" spans="1:14" ht="17" thickBot="1">
      <c r="B36" s="527" t="str">
        <f>'Iteration II Simulation'!$D$128</f>
        <v>Q19</v>
      </c>
      <c r="C36" s="2007" t="str">
        <f>'Iteration II Simulation'!$E$128</f>
        <v>How many adults do you live with?</v>
      </c>
      <c r="D36" s="2008"/>
      <c r="E36" s="2008"/>
      <c r="F36" s="2008"/>
      <c r="G36" s="2009"/>
    </row>
    <row r="37" spans="1:14">
      <c r="B37" s="526" t="str">
        <f>'Iteration II Simulation'!$L$122</f>
        <v>Q20</v>
      </c>
      <c r="C37" s="2004" t="str">
        <f>'Iteration II Simulation'!$M$122</f>
        <v>Do you use a wood-burning stove at home?</v>
      </c>
      <c r="D37" s="2005"/>
      <c r="E37" s="2005"/>
      <c r="F37" s="2005"/>
      <c r="G37" s="2006"/>
    </row>
    <row r="38" spans="1:14">
      <c r="B38" s="528" t="str">
        <f>'Iteration II Simulation'!$L$127</f>
        <v>Q21</v>
      </c>
      <c r="C38" s="2010" t="str">
        <f>'Iteration II Simulation'!$M$127</f>
        <v>What type of wood-burning stove do you have?</v>
      </c>
      <c r="D38" s="2011"/>
      <c r="E38" s="2011"/>
      <c r="F38" s="2011"/>
      <c r="G38" s="2012"/>
    </row>
    <row r="39" spans="1:14" ht="17" thickBot="1">
      <c r="B39" s="527" t="str">
        <f>'Iteration II Simulation'!$L$134</f>
        <v>Q22</v>
      </c>
      <c r="C39" s="2007" t="str">
        <f>'Iteration II Simulation'!$M$134</f>
        <v>On average, what is the total number of hours you operate your wood burning stove each week?</v>
      </c>
      <c r="D39" s="2008"/>
      <c r="E39" s="2008"/>
      <c r="F39" s="2008"/>
      <c r="G39" s="2009"/>
    </row>
    <row r="40" spans="1:14">
      <c r="B40" s="526" t="str">
        <f>'Iteration II Simulation'!$S$122</f>
        <v>Q23</v>
      </c>
      <c r="C40" s="2004" t="str">
        <f>'Iteration II Simulation'!$T$122</f>
        <v>Do you use a gas boiler at home?</v>
      </c>
      <c r="D40" s="2005"/>
      <c r="E40" s="2005"/>
      <c r="F40" s="2005"/>
      <c r="G40" s="2006"/>
    </row>
    <row r="41" spans="1:14" ht="17" thickBot="1">
      <c r="B41" s="527" t="str">
        <f>'Iteration II Simulation'!$S$127</f>
        <v>Q24</v>
      </c>
      <c r="C41" s="2007" t="str">
        <f>'Iteration II Simulation'!$T$127</f>
        <v>What is the type of your boiler fuel?</v>
      </c>
      <c r="D41" s="2008"/>
      <c r="E41" s="2008"/>
      <c r="F41" s="2008"/>
      <c r="G41" s="2009"/>
    </row>
    <row r="42" spans="1:14" ht="17" thickBot="1">
      <c r="B42" s="529" t="str">
        <f>'Iteration II Simulation'!$Y$122</f>
        <v>Q25</v>
      </c>
      <c r="C42" s="2013" t="str">
        <f>'Iteration II Simulation'!$Z$122</f>
        <v>Do you use an electric heat pump?</v>
      </c>
      <c r="D42" s="2014"/>
      <c r="E42" s="2014"/>
      <c r="F42" s="2014"/>
      <c r="G42" s="2015"/>
    </row>
    <row r="43" spans="1:14">
      <c r="B43" s="983"/>
      <c r="C43" s="1116"/>
      <c r="D43" s="1116"/>
      <c r="E43" s="1116"/>
      <c r="F43" s="1116"/>
      <c r="G43" s="1116"/>
    </row>
    <row r="44" spans="1:14">
      <c r="B44" s="983"/>
      <c r="C44" s="1116"/>
      <c r="D44" s="1116"/>
      <c r="E44" s="1116"/>
      <c r="F44" s="1116"/>
      <c r="G44" s="1116"/>
    </row>
    <row r="45" spans="1:14">
      <c r="B45" s="983"/>
      <c r="C45" s="1116"/>
      <c r="D45" s="1116"/>
      <c r="E45" s="1116"/>
      <c r="F45" s="1116"/>
      <c r="G45" s="1116"/>
    </row>
    <row r="46" spans="1:14">
      <c r="B46" s="983"/>
      <c r="C46" s="1116"/>
      <c r="D46" s="1116"/>
      <c r="E46" s="1116"/>
      <c r="F46" s="1116"/>
      <c r="G46" s="1116"/>
    </row>
    <row r="47" spans="1:14">
      <c r="B47" s="983"/>
      <c r="C47" s="1116"/>
      <c r="D47" s="1116"/>
      <c r="E47" s="1116"/>
      <c r="F47" s="1116"/>
      <c r="G47" s="1116"/>
    </row>
    <row r="48" spans="1:14">
      <c r="B48" s="983"/>
      <c r="C48" s="1116"/>
      <c r="D48" s="1116"/>
      <c r="E48" s="1116"/>
      <c r="F48" s="1116"/>
      <c r="G48" s="1116"/>
    </row>
    <row r="49" spans="2:7">
      <c r="B49" s="983"/>
      <c r="C49" s="1116"/>
      <c r="D49" s="1116"/>
      <c r="E49" s="1116"/>
      <c r="F49" s="1116"/>
      <c r="G49" s="1116"/>
    </row>
    <row r="50" spans="2:7">
      <c r="B50" s="983"/>
      <c r="C50" s="1116"/>
      <c r="D50" s="1116"/>
      <c r="E50" s="1116"/>
      <c r="F50" s="1116"/>
      <c r="G50" s="1116"/>
    </row>
    <row r="51" spans="2:7">
      <c r="B51" s="983"/>
      <c r="C51" s="1116"/>
      <c r="D51" s="1116"/>
      <c r="E51" s="1116"/>
      <c r="F51" s="1116"/>
      <c r="G51" s="1116"/>
    </row>
    <row r="52" spans="2:7">
      <c r="B52" s="983"/>
      <c r="C52" s="1116"/>
      <c r="D52" s="1116"/>
      <c r="E52" s="1116"/>
      <c r="F52" s="1116"/>
      <c r="G52" s="1116"/>
    </row>
    <row r="53" spans="2:7">
      <c r="B53" s="983"/>
      <c r="C53" s="1116"/>
      <c r="D53" s="1116"/>
      <c r="E53" s="1116"/>
      <c r="F53" s="1116"/>
      <c r="G53" s="1116"/>
    </row>
    <row r="54" spans="2:7">
      <c r="B54" s="983"/>
      <c r="C54" s="1116"/>
      <c r="D54" s="1116"/>
      <c r="E54" s="1116"/>
      <c r="F54" s="1116"/>
      <c r="G54" s="1116"/>
    </row>
    <row r="55" spans="2:7">
      <c r="B55" s="983"/>
      <c r="C55" s="1116"/>
      <c r="D55" s="1116"/>
      <c r="E55" s="1116"/>
      <c r="F55" s="1116"/>
      <c r="G55" s="1116"/>
    </row>
    <row r="56" spans="2:7">
      <c r="B56" s="983"/>
      <c r="C56" s="1116"/>
      <c r="D56" s="1116"/>
      <c r="E56" s="1116"/>
      <c r="F56" s="1116"/>
      <c r="G56" s="1116"/>
    </row>
    <row r="57" spans="2:7">
      <c r="B57" s="983"/>
      <c r="C57" s="1116"/>
      <c r="D57" s="1116"/>
      <c r="E57" s="1116"/>
      <c r="F57" s="1116"/>
      <c r="G57" s="1116"/>
    </row>
    <row r="58" spans="2:7">
      <c r="B58" s="983"/>
      <c r="C58" s="1116"/>
      <c r="D58" s="1116"/>
      <c r="E58" s="1116"/>
      <c r="F58" s="1116"/>
      <c r="G58" s="1116"/>
    </row>
    <row r="59" spans="2:7">
      <c r="B59" s="983"/>
      <c r="C59" s="1116"/>
      <c r="D59" s="1116"/>
      <c r="E59" s="1116"/>
      <c r="F59" s="1116"/>
      <c r="G59" s="1116"/>
    </row>
    <row r="60" spans="2:7">
      <c r="B60" s="983"/>
      <c r="C60" s="1116"/>
      <c r="D60" s="1116"/>
      <c r="E60" s="1116"/>
      <c r="F60" s="1116"/>
      <c r="G60" s="1116"/>
    </row>
    <row r="61" spans="2:7">
      <c r="B61" s="983"/>
      <c r="C61" s="1116"/>
      <c r="D61" s="1116"/>
      <c r="E61" s="1116"/>
      <c r="F61" s="1116"/>
      <c r="G61" s="1116"/>
    </row>
    <row r="62" spans="2:7">
      <c r="B62" s="983"/>
      <c r="C62" s="1116"/>
      <c r="D62" s="1116"/>
      <c r="E62" s="1116"/>
      <c r="F62" s="1116"/>
      <c r="G62" s="1116"/>
    </row>
    <row r="63" spans="2:7" s="106" customFormat="1">
      <c r="B63" s="983"/>
      <c r="C63" s="1116"/>
      <c r="D63" s="1116"/>
      <c r="E63" s="1116"/>
      <c r="F63" s="1116"/>
      <c r="G63" s="1116"/>
    </row>
    <row r="64" spans="2:7" s="106" customFormat="1">
      <c r="B64" s="983"/>
      <c r="C64" s="1116"/>
      <c r="D64" s="1116"/>
      <c r="E64" s="1116"/>
      <c r="F64" s="1116"/>
      <c r="G64" s="1116"/>
    </row>
    <row r="65" spans="2:7" s="106" customFormat="1" ht="17" thickBot="1">
      <c r="B65" s="127" t="s">
        <v>3287</v>
      </c>
      <c r="C65" s="1116"/>
      <c r="D65" s="1116"/>
      <c r="E65" s="1116"/>
      <c r="F65" s="1116"/>
      <c r="G65" s="1116"/>
    </row>
    <row r="66" spans="2:7">
      <c r="B66" s="530" t="str">
        <f>'Iteration II Simulation'!$D$164</f>
        <v>Q26</v>
      </c>
      <c r="C66" s="2016" t="str">
        <f>'Iteration II Simulation'!$E$164</f>
        <v>Excluding food and takeaway deliveries, do you make online purchases (E.g. Clothing, Beauty, Technology, etc.)?</v>
      </c>
      <c r="D66" s="2017"/>
      <c r="E66" s="2017"/>
      <c r="F66" s="2017"/>
      <c r="G66" s="2018"/>
    </row>
    <row r="67" spans="2:7" ht="17" thickBot="1">
      <c r="B67" s="531" t="str">
        <f>'Iteration II Simulation'!$D$169</f>
        <v>Q27</v>
      </c>
      <c r="C67" s="2001" t="str">
        <f>'Iteration II Simulation'!$E$169</f>
        <v>On average, how many online purchases do you make each week?</v>
      </c>
      <c r="D67" s="2002"/>
      <c r="E67" s="2002"/>
      <c r="F67" s="2002"/>
      <c r="G67" s="2003"/>
    </row>
    <row r="68" spans="2:7">
      <c r="B68" s="532" t="str">
        <f>'Iteration II Simulation'!$L$164</f>
        <v>Q28</v>
      </c>
      <c r="C68" s="2016" t="str">
        <f>'Iteration II Simulation'!$M$164</f>
        <v>Do you shop for grocery online (E.g. Sainsbury, Ocado, Asda, etc.)?</v>
      </c>
      <c r="D68" s="2017"/>
      <c r="E68" s="2017"/>
      <c r="F68" s="2017"/>
      <c r="G68" s="2018"/>
    </row>
    <row r="69" spans="2:7" ht="17" thickBot="1">
      <c r="B69" s="531" t="str">
        <f>'Iteration II Simulation'!$L$169</f>
        <v>Q29</v>
      </c>
      <c r="C69" s="2001" t="str">
        <f>'Iteration II Simulation'!$M$169</f>
        <v>On average, how many grocery shops delivery do you make each week?</v>
      </c>
      <c r="D69" s="2002"/>
      <c r="E69" s="2002"/>
      <c r="F69" s="2002"/>
      <c r="G69" s="2003"/>
    </row>
    <row r="70" spans="2:7">
      <c r="B70" s="983"/>
      <c r="C70" s="1116"/>
      <c r="D70" s="1116"/>
      <c r="E70" s="1116"/>
      <c r="F70" s="1116"/>
      <c r="G70" s="1116"/>
    </row>
    <row r="71" spans="2:7">
      <c r="B71" s="983"/>
      <c r="C71" s="1116"/>
      <c r="D71" s="1116"/>
      <c r="E71" s="1116"/>
      <c r="F71" s="1116"/>
      <c r="G71" s="1116"/>
    </row>
    <row r="72" spans="2:7">
      <c r="B72" s="983"/>
      <c r="C72" s="1116"/>
      <c r="D72" s="1116"/>
      <c r="E72" s="1116"/>
      <c r="F72" s="1116"/>
      <c r="G72" s="1116"/>
    </row>
    <row r="73" spans="2:7">
      <c r="B73" s="983"/>
      <c r="C73" s="1116"/>
      <c r="D73" s="1116"/>
      <c r="E73" s="1116"/>
      <c r="F73" s="1116"/>
      <c r="G73" s="1116"/>
    </row>
    <row r="74" spans="2:7">
      <c r="B74" s="983"/>
      <c r="C74" s="1116"/>
      <c r="D74" s="1116"/>
      <c r="E74" s="1116"/>
      <c r="F74" s="1116"/>
      <c r="G74" s="1116"/>
    </row>
    <row r="75" spans="2:7">
      <c r="B75" s="983"/>
      <c r="C75" s="1116"/>
      <c r="D75" s="1116"/>
      <c r="E75" s="1116"/>
      <c r="F75" s="1116"/>
      <c r="G75" s="1116"/>
    </row>
    <row r="76" spans="2:7">
      <c r="B76" s="983"/>
      <c r="C76" s="1116"/>
      <c r="D76" s="1116"/>
      <c r="E76" s="1116"/>
      <c r="F76" s="1116"/>
      <c r="G76" s="1116"/>
    </row>
    <row r="77" spans="2:7">
      <c r="B77" s="983"/>
      <c r="C77" s="1116"/>
      <c r="D77" s="1116"/>
      <c r="E77" s="1116"/>
      <c r="F77" s="1116"/>
      <c r="G77" s="1116"/>
    </row>
    <row r="78" spans="2:7">
      <c r="B78" s="983"/>
      <c r="C78" s="1116"/>
      <c r="D78" s="1116"/>
      <c r="E78" s="1116"/>
      <c r="F78" s="1116"/>
      <c r="G78" s="1116"/>
    </row>
    <row r="79" spans="2:7">
      <c r="B79" s="983"/>
      <c r="C79" s="1116"/>
      <c r="D79" s="1116"/>
      <c r="E79" s="1116"/>
      <c r="F79" s="1116"/>
      <c r="G79" s="1116"/>
    </row>
    <row r="80" spans="2:7">
      <c r="B80" s="983"/>
      <c r="C80" s="1116"/>
      <c r="D80" s="1116"/>
      <c r="E80" s="1116"/>
      <c r="F80" s="1116"/>
      <c r="G80" s="1116"/>
    </row>
    <row r="81" spans="1:15">
      <c r="B81" s="983"/>
      <c r="C81" s="1116"/>
      <c r="D81" s="1116"/>
      <c r="E81" s="1116"/>
      <c r="F81" s="1116"/>
      <c r="G81" s="1116"/>
    </row>
    <row r="82" spans="1:15">
      <c r="B82" s="983"/>
      <c r="C82" s="1116"/>
      <c r="D82" s="1116"/>
      <c r="E82" s="1116"/>
      <c r="F82" s="1116"/>
      <c r="G82" s="1116"/>
    </row>
    <row r="83" spans="1:15">
      <c r="B83" s="983"/>
      <c r="C83" s="1116"/>
      <c r="D83" s="1116"/>
      <c r="E83" s="1116"/>
      <c r="F83" s="1116"/>
      <c r="G83" s="1116"/>
    </row>
    <row r="84" spans="1:15">
      <c r="B84" s="983"/>
      <c r="C84" s="1116"/>
      <c r="D84" s="1116"/>
      <c r="E84" s="1116"/>
      <c r="F84" s="1116"/>
      <c r="G84" s="1116"/>
    </row>
    <row r="85" spans="1:15">
      <c r="B85" s="983"/>
      <c r="C85" s="1116"/>
      <c r="D85" s="1116"/>
      <c r="E85" s="1116"/>
      <c r="F85" s="1116"/>
      <c r="G85" s="1116"/>
    </row>
    <row r="86" spans="1:15">
      <c r="B86" s="983"/>
      <c r="C86" s="1116"/>
      <c r="D86" s="1116"/>
      <c r="E86" s="1116"/>
      <c r="F86" s="1116"/>
      <c r="G86" s="1116"/>
    </row>
    <row r="87" spans="1:15">
      <c r="B87" s="983"/>
      <c r="C87" s="1116"/>
      <c r="D87" s="1116"/>
      <c r="E87" s="1116"/>
      <c r="F87" s="1116"/>
      <c r="G87" s="1116"/>
    </row>
    <row r="88" spans="1:15">
      <c r="B88" s="983"/>
      <c r="C88" s="1116"/>
      <c r="D88" s="1116"/>
      <c r="E88" s="1116"/>
      <c r="F88" s="1116"/>
      <c r="G88" s="1116"/>
    </row>
    <row r="89" spans="1:15">
      <c r="B89" s="983"/>
      <c r="C89" s="1116"/>
      <c r="D89" s="1116"/>
      <c r="E89" s="1116"/>
      <c r="F89" s="1116"/>
      <c r="G89" s="1116"/>
    </row>
    <row r="91" spans="1:15" ht="19">
      <c r="A91" s="1245" t="s">
        <v>3575</v>
      </c>
      <c r="B91" s="1246" t="s">
        <v>3601</v>
      </c>
      <c r="C91" s="1247"/>
      <c r="D91" s="1247"/>
      <c r="E91" s="1247"/>
      <c r="F91" s="1247"/>
      <c r="G91" s="1247"/>
      <c r="H91" s="1247"/>
      <c r="I91" s="1247"/>
      <c r="J91" s="1247"/>
      <c r="K91" s="1247"/>
      <c r="L91" s="1247"/>
      <c r="M91" s="1247"/>
      <c r="N91" s="1247"/>
      <c r="O91" s="1247"/>
    </row>
    <row r="92" spans="1:15" s="106" customFormat="1" ht="19">
      <c r="A92" s="1044"/>
      <c r="B92" s="120"/>
      <c r="C92" s="120" t="s">
        <v>3627</v>
      </c>
      <c r="D92" s="1114" t="s">
        <v>3519</v>
      </c>
      <c r="E92" s="1045"/>
      <c r="F92" s="1045"/>
      <c r="G92" s="1045"/>
      <c r="H92" s="1045"/>
      <c r="I92" s="1045"/>
      <c r="J92" s="1045"/>
      <c r="K92" s="1045"/>
      <c r="L92" s="1045"/>
      <c r="M92" s="1124"/>
      <c r="N92" s="1046" t="s">
        <v>3636</v>
      </c>
      <c r="O92" s="1045"/>
    </row>
    <row r="93" spans="1:15" s="106" customFormat="1" ht="19">
      <c r="A93" s="1044"/>
      <c r="B93" s="120"/>
      <c r="C93" s="120" t="s">
        <v>3626</v>
      </c>
      <c r="D93" s="1114" t="s">
        <v>3519</v>
      </c>
      <c r="E93" s="1045"/>
      <c r="F93" s="1045"/>
      <c r="G93" s="1045"/>
      <c r="H93" s="1045"/>
      <c r="I93" s="1045"/>
      <c r="J93" s="1045"/>
      <c r="K93" s="1045"/>
      <c r="L93" s="1045"/>
      <c r="M93" s="1125"/>
      <c r="N93" s="1046" t="s">
        <v>3634</v>
      </c>
      <c r="O93" s="1045"/>
    </row>
    <row r="94" spans="1:15" s="106" customFormat="1" ht="19">
      <c r="A94" s="1044"/>
      <c r="B94" s="120"/>
      <c r="C94" s="120"/>
      <c r="D94" s="1114"/>
      <c r="E94" s="1045"/>
      <c r="F94" s="1045"/>
      <c r="G94" s="1045"/>
      <c r="H94" s="1045"/>
      <c r="I94" s="1045"/>
      <c r="J94" s="1045"/>
      <c r="K94" s="1045"/>
      <c r="L94" s="1045"/>
      <c r="M94" s="1126"/>
      <c r="N94" s="1046" t="s">
        <v>3635</v>
      </c>
      <c r="O94" s="1045"/>
    </row>
    <row r="95" spans="1:15" s="106" customFormat="1" ht="20" thickBot="1">
      <c r="A95" s="1044"/>
      <c r="B95" s="132"/>
      <c r="C95" s="1045"/>
      <c r="D95" s="1045"/>
      <c r="E95" s="1045"/>
      <c r="F95" s="1045"/>
      <c r="G95" s="1045"/>
      <c r="H95" s="1045"/>
      <c r="I95" s="1045"/>
      <c r="J95" s="1045"/>
      <c r="K95" s="1045"/>
      <c r="L95" s="1045"/>
      <c r="M95" s="1045"/>
      <c r="N95" s="1045"/>
      <c r="O95" s="1045"/>
    </row>
    <row r="96" spans="1:15" ht="18" customHeight="1" thickBot="1">
      <c r="A96" s="1039"/>
      <c r="B96" s="1269" t="s">
        <v>185</v>
      </c>
      <c r="C96" s="1269" t="s">
        <v>186</v>
      </c>
      <c r="D96" s="1985" t="s">
        <v>187</v>
      </c>
      <c r="E96" s="1986"/>
      <c r="F96" s="1269" t="s">
        <v>3407</v>
      </c>
      <c r="G96" s="1987" t="s">
        <v>188</v>
      </c>
      <c r="H96" s="1988"/>
      <c r="I96" s="1988"/>
      <c r="J96" s="1989"/>
      <c r="K96" s="1269" t="s">
        <v>189</v>
      </c>
      <c r="L96" s="1268" t="s">
        <v>190</v>
      </c>
      <c r="M96" s="1300" t="s">
        <v>191</v>
      </c>
      <c r="N96" s="1269" t="s">
        <v>192</v>
      </c>
      <c r="O96" s="1311" t="s">
        <v>3628</v>
      </c>
    </row>
    <row r="97" spans="1:16" ht="34">
      <c r="A97" s="106"/>
      <c r="B97" s="1270" t="s">
        <v>193</v>
      </c>
      <c r="C97" s="1279" t="s">
        <v>129</v>
      </c>
      <c r="D97" s="1252" t="s">
        <v>3417</v>
      </c>
      <c r="E97" s="1288" t="s">
        <v>48</v>
      </c>
      <c r="F97" s="1270" t="s">
        <v>136</v>
      </c>
      <c r="G97" s="1252" t="s">
        <v>194</v>
      </c>
      <c r="H97" s="1253" t="s">
        <v>195</v>
      </c>
      <c r="I97" s="1253" t="s">
        <v>196</v>
      </c>
      <c r="J97" s="1288" t="s">
        <v>197</v>
      </c>
      <c r="K97" s="1270" t="s">
        <v>3368</v>
      </c>
      <c r="L97" s="1252" t="s">
        <v>198</v>
      </c>
      <c r="M97" s="1301" t="s">
        <v>199</v>
      </c>
      <c r="N97" s="1319" t="s">
        <v>200</v>
      </c>
      <c r="O97" s="1312" t="s">
        <v>193</v>
      </c>
      <c r="P97" s="997" t="s">
        <v>3602</v>
      </c>
    </row>
    <row r="98" spans="1:16" ht="17" customHeight="1">
      <c r="B98" s="1990" t="s">
        <v>201</v>
      </c>
      <c r="C98" s="1991" t="s">
        <v>115</v>
      </c>
      <c r="D98" s="1992" t="s">
        <v>3418</v>
      </c>
      <c r="E98" s="1993" t="s">
        <v>3410</v>
      </c>
      <c r="F98" s="1997" t="s">
        <v>3408</v>
      </c>
      <c r="G98" s="1992" t="s">
        <v>3364</v>
      </c>
      <c r="H98" s="1994" t="s">
        <v>197</v>
      </c>
      <c r="I98" s="1995"/>
      <c r="J98" s="1996"/>
      <c r="K98" s="1329" t="s">
        <v>202</v>
      </c>
      <c r="L98" s="1975" t="s">
        <v>206</v>
      </c>
      <c r="M98" s="1977" t="s">
        <v>206</v>
      </c>
      <c r="N98" s="1979" t="s">
        <v>200</v>
      </c>
      <c r="O98" s="1980" t="s">
        <v>201</v>
      </c>
    </row>
    <row r="99" spans="1:16" ht="17" customHeight="1">
      <c r="B99" s="1990"/>
      <c r="C99" s="1991"/>
      <c r="D99" s="1992"/>
      <c r="E99" s="1993"/>
      <c r="F99" s="1998"/>
      <c r="G99" s="1992"/>
      <c r="H99" s="1994"/>
      <c r="I99" s="1995"/>
      <c r="J99" s="1996"/>
      <c r="K99" s="1330" t="s">
        <v>203</v>
      </c>
      <c r="L99" s="1976"/>
      <c r="M99" s="1978"/>
      <c r="N99" s="1979"/>
      <c r="O99" s="1980"/>
    </row>
    <row r="100" spans="1:16" ht="17" customHeight="1">
      <c r="B100" s="1990"/>
      <c r="C100" s="1991"/>
      <c r="D100" s="1992"/>
      <c r="E100" s="1993"/>
      <c r="F100" s="1998"/>
      <c r="G100" s="1992"/>
      <c r="H100" s="1994"/>
      <c r="I100" s="1995"/>
      <c r="J100" s="1996"/>
      <c r="K100" s="1330" t="s">
        <v>204</v>
      </c>
      <c r="L100" s="1981" t="s">
        <v>207</v>
      </c>
      <c r="M100" s="1983" t="s">
        <v>208</v>
      </c>
      <c r="N100" s="1979"/>
      <c r="O100" s="1980"/>
    </row>
    <row r="101" spans="1:16" ht="17">
      <c r="B101" s="1990"/>
      <c r="C101" s="1991"/>
      <c r="D101" s="1992"/>
      <c r="E101" s="1993"/>
      <c r="F101" s="1999"/>
      <c r="G101" s="1992"/>
      <c r="H101" s="1994"/>
      <c r="I101" s="1995"/>
      <c r="J101" s="1996"/>
      <c r="K101" s="1328" t="s">
        <v>205</v>
      </c>
      <c r="L101" s="1982"/>
      <c r="M101" s="1984"/>
      <c r="N101" s="1979"/>
      <c r="O101" s="1980"/>
    </row>
    <row r="102" spans="1:16" ht="68">
      <c r="B102" s="1271" t="s">
        <v>209</v>
      </c>
      <c r="C102" s="1280" t="s">
        <v>210</v>
      </c>
      <c r="D102" s="1254" t="s">
        <v>3419</v>
      </c>
      <c r="E102" s="1289" t="s">
        <v>3411</v>
      </c>
      <c r="F102" s="1271" t="s">
        <v>44</v>
      </c>
      <c r="G102" s="1254" t="s">
        <v>3364</v>
      </c>
      <c r="H102" s="1248"/>
      <c r="I102" s="1248"/>
      <c r="J102" s="1297"/>
      <c r="K102" s="1271" t="s">
        <v>211</v>
      </c>
      <c r="L102" s="1254" t="s">
        <v>212</v>
      </c>
      <c r="M102" s="1302" t="s">
        <v>213</v>
      </c>
      <c r="N102" s="1320" t="s">
        <v>200</v>
      </c>
      <c r="O102" s="1313" t="s">
        <v>209</v>
      </c>
    </row>
    <row r="103" spans="1:16" ht="34">
      <c r="B103" s="1271" t="s">
        <v>214</v>
      </c>
      <c r="C103" s="1280" t="s">
        <v>128</v>
      </c>
      <c r="D103" s="1254" t="s">
        <v>3420</v>
      </c>
      <c r="E103" s="1289" t="s">
        <v>49</v>
      </c>
      <c r="F103" s="1271" t="s">
        <v>44</v>
      </c>
      <c r="G103" s="1254" t="s">
        <v>3364</v>
      </c>
      <c r="H103" s="1248"/>
      <c r="I103" s="1248"/>
      <c r="J103" s="1297"/>
      <c r="K103" s="1271" t="s">
        <v>211</v>
      </c>
      <c r="L103" s="1254" t="s">
        <v>215</v>
      </c>
      <c r="M103" s="1302" t="s">
        <v>216</v>
      </c>
      <c r="N103" s="1320" t="s">
        <v>200</v>
      </c>
      <c r="O103" s="1313" t="s">
        <v>214</v>
      </c>
    </row>
    <row r="104" spans="1:16" ht="34">
      <c r="B104" s="1271" t="s">
        <v>220</v>
      </c>
      <c r="C104" s="1280" t="s">
        <v>221</v>
      </c>
      <c r="D104" s="1254" t="s">
        <v>3417</v>
      </c>
      <c r="E104" s="1289" t="s">
        <v>49</v>
      </c>
      <c r="F104" s="1271" t="s">
        <v>136</v>
      </c>
      <c r="G104" s="1254" t="s">
        <v>197</v>
      </c>
      <c r="H104" s="1248"/>
      <c r="I104" s="1248"/>
      <c r="J104" s="1297"/>
      <c r="K104" s="1271" t="s">
        <v>222</v>
      </c>
      <c r="L104" s="1254" t="s">
        <v>3442</v>
      </c>
      <c r="M104" s="1302" t="s">
        <v>41</v>
      </c>
      <c r="N104" s="1320" t="s">
        <v>200</v>
      </c>
      <c r="O104" s="1313" t="s">
        <v>3603</v>
      </c>
      <c r="P104" s="1041" t="s">
        <v>3604</v>
      </c>
    </row>
    <row r="105" spans="1:16" ht="35" thickBot="1">
      <c r="B105" s="1272" t="s">
        <v>223</v>
      </c>
      <c r="C105" s="1281" t="s">
        <v>224</v>
      </c>
      <c r="D105" s="1255" t="s">
        <v>3417</v>
      </c>
      <c r="E105" s="1290" t="s">
        <v>50</v>
      </c>
      <c r="F105" s="1272" t="s">
        <v>136</v>
      </c>
      <c r="G105" s="1255" t="s">
        <v>225</v>
      </c>
      <c r="H105" s="1256" t="s">
        <v>226</v>
      </c>
      <c r="I105" s="1256" t="s">
        <v>196</v>
      </c>
      <c r="J105" s="1290" t="s">
        <v>197</v>
      </c>
      <c r="K105" s="1272" t="s">
        <v>3363</v>
      </c>
      <c r="L105" s="1255" t="s">
        <v>198</v>
      </c>
      <c r="M105" s="1303" t="s">
        <v>199</v>
      </c>
      <c r="N105" s="1321" t="s">
        <v>200</v>
      </c>
      <c r="O105" s="1314" t="s">
        <v>223</v>
      </c>
      <c r="P105" s="1040" t="s">
        <v>3605</v>
      </c>
    </row>
    <row r="106" spans="1:16" ht="51">
      <c r="B106" s="1273" t="s">
        <v>217</v>
      </c>
      <c r="C106" s="1282" t="s">
        <v>3403</v>
      </c>
      <c r="D106" s="1262" t="s">
        <v>3417</v>
      </c>
      <c r="E106" s="1291" t="s">
        <v>3412</v>
      </c>
      <c r="F106" s="1273" t="s">
        <v>3244</v>
      </c>
      <c r="G106" s="1262" t="s">
        <v>218</v>
      </c>
      <c r="H106" s="1263" t="s">
        <v>197</v>
      </c>
      <c r="I106" s="1264"/>
      <c r="J106" s="1298"/>
      <c r="K106" s="1273" t="s">
        <v>3445</v>
      </c>
      <c r="L106" s="1262" t="s">
        <v>3440</v>
      </c>
      <c r="M106" s="1304" t="s">
        <v>3441</v>
      </c>
      <c r="N106" s="1322" t="s">
        <v>200</v>
      </c>
      <c r="O106" s="1315" t="s">
        <v>217</v>
      </c>
      <c r="P106" s="1040"/>
    </row>
    <row r="107" spans="1:16" ht="51">
      <c r="B107" s="1274" t="s">
        <v>219</v>
      </c>
      <c r="C107" s="1283" t="s">
        <v>3351</v>
      </c>
      <c r="D107" s="1265" t="s">
        <v>3418</v>
      </c>
      <c r="E107" s="1292" t="s">
        <v>3339</v>
      </c>
      <c r="F107" s="1274" t="s">
        <v>3409</v>
      </c>
      <c r="G107" s="1265" t="s">
        <v>197</v>
      </c>
      <c r="H107" s="1250"/>
      <c r="I107" s="1250"/>
      <c r="J107" s="1299"/>
      <c r="K107" s="1274" t="s">
        <v>206</v>
      </c>
      <c r="L107" s="1265" t="s">
        <v>3633</v>
      </c>
      <c r="M107" s="1305" t="s">
        <v>41</v>
      </c>
      <c r="N107" s="1323" t="s">
        <v>200</v>
      </c>
      <c r="O107" s="1313" t="s">
        <v>3609</v>
      </c>
      <c r="P107" s="1041" t="s">
        <v>3604</v>
      </c>
    </row>
    <row r="108" spans="1:16" ht="34">
      <c r="B108" s="1274" t="s">
        <v>3301</v>
      </c>
      <c r="C108" s="1283" t="s">
        <v>3345</v>
      </c>
      <c r="D108" s="1265" t="s">
        <v>3240</v>
      </c>
      <c r="E108" s="1292" t="s">
        <v>3412</v>
      </c>
      <c r="F108" s="1274" t="s">
        <v>3242</v>
      </c>
      <c r="G108" s="1265" t="s">
        <v>218</v>
      </c>
      <c r="H108" s="1249"/>
      <c r="I108" s="1249"/>
      <c r="J108" s="1292"/>
      <c r="K108" s="1274" t="s">
        <v>3356</v>
      </c>
      <c r="L108" s="1265" t="s">
        <v>3438</v>
      </c>
      <c r="M108" s="1306"/>
      <c r="N108" s="1323" t="s">
        <v>200</v>
      </c>
      <c r="O108" s="1316" t="s">
        <v>3301</v>
      </c>
    </row>
    <row r="109" spans="1:16" ht="34">
      <c r="B109" s="1274" t="s">
        <v>3302</v>
      </c>
      <c r="C109" s="1283" t="s">
        <v>3346</v>
      </c>
      <c r="D109" s="1265" t="s">
        <v>3417</v>
      </c>
      <c r="E109" s="1292" t="s">
        <v>3413</v>
      </c>
      <c r="F109" s="1274" t="s">
        <v>3244</v>
      </c>
      <c r="G109" s="1265" t="s">
        <v>3361</v>
      </c>
      <c r="H109" s="1249" t="s">
        <v>197</v>
      </c>
      <c r="I109" s="1249"/>
      <c r="J109" s="1292"/>
      <c r="K109" s="1274" t="s">
        <v>3359</v>
      </c>
      <c r="L109" s="1265" t="s">
        <v>3438</v>
      </c>
      <c r="M109" s="1305"/>
      <c r="N109" s="1323" t="s">
        <v>200</v>
      </c>
      <c r="O109" s="1316" t="s">
        <v>3302</v>
      </c>
    </row>
    <row r="110" spans="1:16" ht="34">
      <c r="B110" s="1274" t="s">
        <v>3303</v>
      </c>
      <c r="C110" s="1283" t="s">
        <v>3347</v>
      </c>
      <c r="D110" s="1265" t="s">
        <v>3240</v>
      </c>
      <c r="E110" s="1292" t="s">
        <v>3413</v>
      </c>
      <c r="F110" s="1274" t="s">
        <v>3242</v>
      </c>
      <c r="G110" s="1265" t="s">
        <v>3362</v>
      </c>
      <c r="H110" s="1249"/>
      <c r="I110" s="1249"/>
      <c r="J110" s="1292"/>
      <c r="K110" s="1274" t="s">
        <v>3360</v>
      </c>
      <c r="L110" s="1265" t="s">
        <v>3438</v>
      </c>
      <c r="M110" s="1305"/>
      <c r="N110" s="1323" t="s">
        <v>200</v>
      </c>
      <c r="O110" s="1317" t="s">
        <v>3303</v>
      </c>
    </row>
    <row r="111" spans="1:16" ht="34">
      <c r="B111" s="1274" t="s">
        <v>3304</v>
      </c>
      <c r="C111" s="1283" t="s">
        <v>3348</v>
      </c>
      <c r="D111" s="1265" t="s">
        <v>3417</v>
      </c>
      <c r="E111" s="1292" t="s">
        <v>3414</v>
      </c>
      <c r="F111" s="1274" t="s">
        <v>3244</v>
      </c>
      <c r="G111" s="1265" t="s">
        <v>197</v>
      </c>
      <c r="H111" s="1249"/>
      <c r="I111" s="1249"/>
      <c r="J111" s="1292"/>
      <c r="K111" s="1274" t="s">
        <v>3357</v>
      </c>
      <c r="L111" s="1265" t="s">
        <v>3438</v>
      </c>
      <c r="M111" s="1305"/>
      <c r="N111" s="1323" t="s">
        <v>200</v>
      </c>
      <c r="O111" s="1316" t="s">
        <v>3304</v>
      </c>
    </row>
    <row r="112" spans="1:16" ht="35" thickBot="1">
      <c r="B112" s="1275" t="s">
        <v>3305</v>
      </c>
      <c r="C112" s="1284" t="s">
        <v>3349</v>
      </c>
      <c r="D112" s="1266" t="s">
        <v>3240</v>
      </c>
      <c r="E112" s="1293" t="s">
        <v>3414</v>
      </c>
      <c r="F112" s="1275" t="s">
        <v>3242</v>
      </c>
      <c r="G112" s="1266" t="s">
        <v>3362</v>
      </c>
      <c r="H112" s="1267"/>
      <c r="I112" s="1267"/>
      <c r="J112" s="1293"/>
      <c r="K112" s="1275" t="s">
        <v>3360</v>
      </c>
      <c r="L112" s="1266" t="s">
        <v>3438</v>
      </c>
      <c r="M112" s="1307"/>
      <c r="N112" s="1324" t="s">
        <v>200</v>
      </c>
      <c r="O112" s="1318" t="s">
        <v>3305</v>
      </c>
    </row>
    <row r="113" spans="2:16" ht="34">
      <c r="B113" s="1276" t="s">
        <v>3306</v>
      </c>
      <c r="C113" s="1285" t="s">
        <v>3350</v>
      </c>
      <c r="D113" s="1257" t="s">
        <v>3421</v>
      </c>
      <c r="E113" s="1294" t="s">
        <v>3415</v>
      </c>
      <c r="F113" s="1276" t="s">
        <v>144</v>
      </c>
      <c r="G113" s="1257" t="s">
        <v>197</v>
      </c>
      <c r="H113" s="1258"/>
      <c r="I113" s="1258"/>
      <c r="J113" s="1294"/>
      <c r="K113" s="1276" t="s">
        <v>265</v>
      </c>
      <c r="L113" s="1257" t="s">
        <v>3438</v>
      </c>
      <c r="M113" s="1308"/>
      <c r="N113" s="1325" t="s">
        <v>200</v>
      </c>
      <c r="O113" s="1315" t="s">
        <v>3306</v>
      </c>
    </row>
    <row r="114" spans="2:16" ht="34">
      <c r="B114" s="1277" t="s">
        <v>3307</v>
      </c>
      <c r="C114" s="1286" t="s">
        <v>3406</v>
      </c>
      <c r="D114" s="1259" t="s">
        <v>3421</v>
      </c>
      <c r="E114" s="1295" t="s">
        <v>3416</v>
      </c>
      <c r="F114" s="1277" t="s">
        <v>144</v>
      </c>
      <c r="G114" s="1259" t="s">
        <v>197</v>
      </c>
      <c r="H114" s="1251"/>
      <c r="I114" s="1251"/>
      <c r="J114" s="1295"/>
      <c r="K114" s="1277" t="s">
        <v>3358</v>
      </c>
      <c r="L114" s="1259" t="s">
        <v>3438</v>
      </c>
      <c r="M114" s="1309"/>
      <c r="N114" s="1326" t="s">
        <v>200</v>
      </c>
      <c r="O114" s="1316" t="s">
        <v>3307</v>
      </c>
    </row>
    <row r="115" spans="2:16" ht="52" thickBot="1">
      <c r="B115" s="1278" t="s">
        <v>3308</v>
      </c>
      <c r="C115" s="1287" t="s">
        <v>3352</v>
      </c>
      <c r="D115" s="1260" t="s">
        <v>3418</v>
      </c>
      <c r="E115" s="1296" t="s">
        <v>3439</v>
      </c>
      <c r="F115" s="1278" t="s">
        <v>3409</v>
      </c>
      <c r="G115" s="1260" t="s">
        <v>197</v>
      </c>
      <c r="H115" s="1261"/>
      <c r="I115" s="1261"/>
      <c r="J115" s="1296"/>
      <c r="K115" s="1278" t="s">
        <v>206</v>
      </c>
      <c r="L115" s="1260" t="s">
        <v>3438</v>
      </c>
      <c r="M115" s="1310"/>
      <c r="N115" s="1327" t="s">
        <v>200</v>
      </c>
      <c r="O115" s="1318" t="s">
        <v>3308</v>
      </c>
    </row>
    <row r="120" spans="2:16" s="106" customFormat="1" ht="23">
      <c r="B120" s="1117"/>
      <c r="C120" s="1118"/>
      <c r="D120" s="1117"/>
      <c r="E120" s="1117"/>
      <c r="F120" s="1117"/>
      <c r="G120" s="1117"/>
      <c r="H120" s="1117"/>
      <c r="I120" s="1119"/>
      <c r="J120" s="1119"/>
      <c r="K120" s="1117"/>
      <c r="L120" s="1117"/>
      <c r="M120" s="1117"/>
      <c r="N120" s="1120"/>
      <c r="O120" s="471"/>
      <c r="P120" s="1121"/>
    </row>
    <row r="121" spans="2:16" s="106" customFormat="1" ht="23">
      <c r="B121" s="1117"/>
      <c r="C121" s="1118"/>
      <c r="D121" s="1117"/>
      <c r="E121" s="1117"/>
      <c r="F121" s="1117"/>
      <c r="G121" s="1117"/>
      <c r="H121" s="1119"/>
      <c r="I121" s="1119"/>
      <c r="J121" s="1119"/>
      <c r="K121" s="1117"/>
      <c r="L121" s="1117"/>
      <c r="M121" s="1117"/>
      <c r="N121" s="1120"/>
      <c r="O121" s="1122"/>
      <c r="P121" s="1123"/>
    </row>
  </sheetData>
  <sheetProtection algorithmName="SHA-512" hashValue="UnjW6prNmBbLXB+xLUdzdk9WSrRZxI1zrnAF7EreRDCXmwMA3jzEOxyzJ5myRWVEuwseAyB/z7OitMnujOhTxQ==" saltValue="kYcZSPHdRrFlWFmqqwTK1A==" spinCount="100000" sheet="1" objects="1" scenarios="1"/>
  <mergeCells count="30">
    <mergeCell ref="A1:D3"/>
    <mergeCell ref="C69:G69"/>
    <mergeCell ref="C35:G35"/>
    <mergeCell ref="C36:G36"/>
    <mergeCell ref="C37:G37"/>
    <mergeCell ref="C38:G38"/>
    <mergeCell ref="C39:G39"/>
    <mergeCell ref="C40:G40"/>
    <mergeCell ref="C41:G41"/>
    <mergeCell ref="C42:G42"/>
    <mergeCell ref="C66:G66"/>
    <mergeCell ref="C67:G67"/>
    <mergeCell ref="C68:G68"/>
    <mergeCell ref="D96:E96"/>
    <mergeCell ref="G96:J96"/>
    <mergeCell ref="B98:B101"/>
    <mergeCell ref="C98:C101"/>
    <mergeCell ref="D98:D101"/>
    <mergeCell ref="E98:E101"/>
    <mergeCell ref="G98:G101"/>
    <mergeCell ref="H98:H101"/>
    <mergeCell ref="I98:I101"/>
    <mergeCell ref="J98:J101"/>
    <mergeCell ref="F98:F101"/>
    <mergeCell ref="L98:L99"/>
    <mergeCell ref="M98:M99"/>
    <mergeCell ref="N98:N101"/>
    <mergeCell ref="O98:O101"/>
    <mergeCell ref="L100:L101"/>
    <mergeCell ref="M100:M101"/>
  </mergeCells>
  <hyperlinks>
    <hyperlink ref="D92" location="Tables!A1" display="Click Here" xr:uid="{338B80DB-3C43-824F-9ACA-293C20474248}"/>
    <hyperlink ref="D93" location="'List of Ques'!A1" display="Click Here" xr:uid="{4223E78E-38A4-854A-9B55-0DCF27A98F83}"/>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1CD80-DD77-894E-A459-4A6C6C2F1EDF}">
  <sheetPr codeName="Sheet6">
    <tabColor theme="8" tint="0.59999389629810485"/>
  </sheetPr>
  <dimension ref="A1:AK284"/>
  <sheetViews>
    <sheetView topLeftCell="A127" zoomScale="90" zoomScaleNormal="100" workbookViewId="0">
      <selection activeCell="T157" sqref="T157"/>
    </sheetView>
  </sheetViews>
  <sheetFormatPr baseColWidth="10" defaultRowHeight="16"/>
  <cols>
    <col min="1" max="1" width="3.33203125" style="32" customWidth="1"/>
    <col min="2" max="2" width="10.83203125" style="32" customWidth="1"/>
    <col min="3" max="3" width="6.33203125" style="32" customWidth="1"/>
    <col min="4" max="4" width="10.83203125" style="177"/>
    <col min="5" max="5" width="17.1640625" style="32" customWidth="1"/>
    <col min="6" max="7" width="13.83203125" style="32" customWidth="1"/>
    <col min="8" max="8" width="15.1640625" style="32" customWidth="1"/>
    <col min="9" max="9" width="13.6640625" style="32" customWidth="1"/>
    <col min="10" max="10" width="13.5" style="32" customWidth="1"/>
    <col min="11" max="11" width="11.5" style="32" customWidth="1"/>
    <col min="12" max="12" width="10.83203125" style="32"/>
    <col min="13" max="13" width="18.83203125" style="32" customWidth="1"/>
    <col min="14" max="14" width="16.1640625" style="32" customWidth="1"/>
    <col min="15" max="15" width="16.33203125" style="32" customWidth="1"/>
    <col min="16" max="16" width="14.6640625" style="32" customWidth="1"/>
    <col min="17" max="17" width="12.5" style="32" customWidth="1"/>
    <col min="18" max="18" width="10.6640625" style="32" customWidth="1"/>
    <col min="19" max="19" width="14.83203125" style="32" customWidth="1"/>
    <col min="20" max="21" width="12.1640625" style="32" bestFit="1" customWidth="1"/>
    <col min="22" max="22" width="13.83203125" style="32" customWidth="1"/>
    <col min="23" max="23" width="11" style="32" customWidth="1"/>
    <col min="24" max="24" width="11.83203125" style="32" customWidth="1"/>
    <col min="25" max="25" width="10.83203125" style="32"/>
    <col min="26" max="26" width="13" style="32" customWidth="1"/>
    <col min="27" max="27" width="12.83203125" style="32" customWidth="1"/>
    <col min="28" max="28" width="10.83203125" style="32"/>
    <col min="29" max="29" width="12.5" style="32" customWidth="1"/>
    <col min="30" max="30" width="11.83203125" style="32" customWidth="1"/>
    <col min="31" max="35" width="10.83203125" style="32"/>
    <col min="36" max="16384" width="10.83203125" style="852"/>
  </cols>
  <sheetData>
    <row r="1" spans="1:35" ht="16" customHeight="1">
      <c r="A1" s="796"/>
      <c r="B1" s="1889" t="s">
        <v>3700</v>
      </c>
      <c r="C1" s="1889"/>
      <c r="D1" s="1889"/>
      <c r="E1" s="1889"/>
      <c r="F1" s="1889"/>
      <c r="G1" s="1889"/>
      <c r="H1" s="503"/>
      <c r="I1" s="503"/>
      <c r="J1" s="504"/>
      <c r="K1" s="504"/>
      <c r="L1" s="504"/>
      <c r="M1" s="504"/>
      <c r="N1" s="504"/>
      <c r="O1" s="504"/>
      <c r="P1" s="504"/>
      <c r="Q1" s="503"/>
      <c r="R1" s="503"/>
      <c r="S1" s="503"/>
      <c r="T1" s="503"/>
      <c r="U1" s="503"/>
      <c r="V1" s="503"/>
      <c r="W1" s="503"/>
      <c r="X1" s="503"/>
      <c r="Y1" s="503"/>
      <c r="Z1" s="503"/>
      <c r="AA1" s="503"/>
      <c r="AB1" s="503"/>
      <c r="AC1" s="503"/>
      <c r="AD1" s="503"/>
      <c r="AE1" s="503"/>
      <c r="AF1" s="503"/>
      <c r="AG1" s="503"/>
      <c r="AH1" s="503"/>
      <c r="AI1" s="503"/>
    </row>
    <row r="2" spans="1:35" ht="16" customHeight="1">
      <c r="A2" s="796"/>
      <c r="B2" s="1889"/>
      <c r="C2" s="1889"/>
      <c r="D2" s="1889"/>
      <c r="E2" s="1889"/>
      <c r="F2" s="1889"/>
      <c r="G2" s="1889"/>
      <c r="H2" s="503"/>
      <c r="I2" s="503"/>
      <c r="J2" s="504"/>
      <c r="K2" s="504"/>
      <c r="L2" s="504"/>
      <c r="M2" s="504"/>
      <c r="N2" s="504"/>
      <c r="O2" s="504"/>
      <c r="P2" s="504"/>
      <c r="Q2" s="503"/>
      <c r="R2" s="503"/>
      <c r="S2" s="503"/>
      <c r="T2" s="503"/>
      <c r="U2" s="503"/>
      <c r="V2" s="503"/>
      <c r="W2" s="503"/>
      <c r="X2" s="503"/>
      <c r="Y2" s="503"/>
      <c r="Z2" s="503"/>
      <c r="AA2" s="503"/>
      <c r="AB2" s="503"/>
      <c r="AC2" s="503"/>
      <c r="AD2" s="503"/>
      <c r="AE2" s="503"/>
      <c r="AF2" s="503"/>
      <c r="AG2" s="503"/>
      <c r="AH2" s="503"/>
      <c r="AI2" s="503"/>
    </row>
    <row r="3" spans="1:35" ht="16" customHeight="1">
      <c r="A3" s="796"/>
      <c r="B3" s="1889"/>
      <c r="C3" s="1889"/>
      <c r="D3" s="1889"/>
      <c r="E3" s="1889"/>
      <c r="F3" s="1889"/>
      <c r="G3" s="1889"/>
      <c r="H3" s="503"/>
      <c r="I3" s="503"/>
      <c r="J3" s="504"/>
      <c r="K3" s="504"/>
      <c r="L3" s="504"/>
      <c r="M3" s="504"/>
      <c r="N3" s="504"/>
      <c r="O3" s="504"/>
      <c r="P3" s="504"/>
      <c r="Q3" s="503"/>
      <c r="R3" s="503"/>
      <c r="S3" s="503"/>
      <c r="T3" s="503"/>
      <c r="U3" s="503"/>
      <c r="V3" s="503"/>
      <c r="W3" s="503"/>
      <c r="X3" s="503"/>
      <c r="Y3" s="503"/>
      <c r="Z3" s="503"/>
      <c r="AA3" s="503"/>
      <c r="AB3" s="503"/>
      <c r="AC3" s="503"/>
      <c r="AD3" s="503"/>
      <c r="AE3" s="503"/>
      <c r="AF3" s="503"/>
      <c r="AG3" s="503"/>
      <c r="AH3" s="503"/>
      <c r="AI3" s="503"/>
    </row>
    <row r="4" spans="1:35" ht="17" thickBot="1">
      <c r="A4" s="445"/>
      <c r="B4" s="446"/>
      <c r="C4" s="445"/>
      <c r="D4" s="447"/>
      <c r="E4" s="445"/>
      <c r="F4" s="445"/>
      <c r="G4" s="445"/>
      <c r="H4" s="445"/>
      <c r="I4" s="445"/>
      <c r="J4" s="445"/>
      <c r="K4" s="445"/>
      <c r="L4" s="445"/>
      <c r="M4" s="445"/>
      <c r="N4" s="445"/>
      <c r="O4" s="445"/>
      <c r="P4" s="445"/>
      <c r="Q4" s="445"/>
      <c r="R4" s="445"/>
      <c r="S4" s="445"/>
      <c r="T4" s="445"/>
      <c r="U4" s="445"/>
      <c r="V4" s="445"/>
      <c r="W4" s="445"/>
      <c r="X4" s="445"/>
      <c r="Y4" s="445"/>
      <c r="Z4" s="445"/>
      <c r="AA4" s="445"/>
      <c r="AB4" s="445"/>
      <c r="AC4" s="445"/>
      <c r="AD4" s="445"/>
      <c r="AE4" s="445"/>
      <c r="AF4" s="445"/>
      <c r="AG4" s="445"/>
      <c r="AH4" s="445"/>
      <c r="AI4" s="445"/>
    </row>
    <row r="5" spans="1:35" ht="17" customHeight="1" thickBot="1">
      <c r="A5" s="445"/>
      <c r="B5" s="2042" t="s">
        <v>86</v>
      </c>
      <c r="C5" s="446"/>
      <c r="D5" s="447"/>
      <c r="E5" s="445"/>
      <c r="F5" s="445"/>
      <c r="G5" s="445"/>
      <c r="H5" s="445"/>
      <c r="I5" s="445"/>
      <c r="J5" s="445"/>
      <c r="K5" s="445"/>
      <c r="L5" s="445"/>
      <c r="M5" s="445"/>
      <c r="N5" s="445"/>
      <c r="O5" s="445"/>
      <c r="P5" s="445"/>
      <c r="Q5" s="445"/>
      <c r="R5" s="445"/>
      <c r="S5" s="445"/>
      <c r="T5" s="445"/>
      <c r="U5" s="445"/>
      <c r="V5" s="445"/>
      <c r="W5" s="445"/>
      <c r="X5" s="445"/>
      <c r="Y5" s="445"/>
      <c r="Z5" s="445"/>
      <c r="AA5" s="445"/>
      <c r="AB5" s="445"/>
      <c r="AC5" s="445"/>
      <c r="AD5" s="445"/>
      <c r="AE5" s="445"/>
      <c r="AF5" s="445"/>
      <c r="AG5" s="445"/>
      <c r="AH5" s="445"/>
      <c r="AI5" s="445"/>
    </row>
    <row r="6" spans="1:35" ht="16" customHeight="1">
      <c r="A6" s="445"/>
      <c r="B6" s="2043"/>
      <c r="C6" s="446"/>
      <c r="D6" s="447"/>
      <c r="E6" s="549"/>
      <c r="F6" s="1906" t="s">
        <v>98</v>
      </c>
      <c r="G6" s="1907"/>
      <c r="H6" s="1907"/>
      <c r="I6" s="1907"/>
      <c r="J6" s="1908"/>
      <c r="K6" s="549"/>
      <c r="L6" s="445"/>
      <c r="M6" s="445"/>
      <c r="N6" s="445"/>
      <c r="O6" s="445"/>
      <c r="P6" s="445"/>
      <c r="Q6" s="445"/>
      <c r="R6" s="445"/>
      <c r="S6" s="445"/>
      <c r="T6" s="445"/>
      <c r="U6" s="445"/>
      <c r="V6" s="445"/>
      <c r="W6" s="445"/>
      <c r="X6" s="445"/>
      <c r="Y6" s="445"/>
      <c r="Z6" s="445"/>
      <c r="AA6" s="445"/>
      <c r="AB6" s="445"/>
      <c r="AC6" s="445"/>
      <c r="AD6" s="445"/>
      <c r="AE6" s="445"/>
      <c r="AF6" s="445"/>
      <c r="AG6" s="445"/>
      <c r="AH6" s="445"/>
      <c r="AI6" s="445"/>
    </row>
    <row r="7" spans="1:35" ht="17" customHeight="1" thickBot="1">
      <c r="A7" s="445"/>
      <c r="B7" s="2043"/>
      <c r="C7" s="446"/>
      <c r="D7" s="447"/>
      <c r="E7" s="549"/>
      <c r="F7" s="1909"/>
      <c r="G7" s="1910"/>
      <c r="H7" s="1910"/>
      <c r="I7" s="1910"/>
      <c r="J7" s="1911"/>
      <c r="K7" s="549"/>
      <c r="L7" s="445"/>
      <c r="M7" s="445"/>
      <c r="N7" s="445"/>
      <c r="O7" s="445"/>
      <c r="P7" s="445"/>
      <c r="Q7" s="445"/>
      <c r="R7" s="445"/>
      <c r="S7" s="445"/>
      <c r="T7" s="445"/>
      <c r="U7" s="445"/>
      <c r="V7" s="445"/>
      <c r="W7" s="445"/>
      <c r="X7" s="445"/>
      <c r="Y7" s="445"/>
      <c r="Z7" s="445"/>
      <c r="AA7" s="445"/>
      <c r="AB7" s="445"/>
      <c r="AC7" s="445"/>
      <c r="AD7" s="445"/>
      <c r="AE7" s="445"/>
      <c r="AF7" s="445"/>
      <c r="AG7" s="445"/>
      <c r="AH7" s="445"/>
      <c r="AI7" s="445"/>
    </row>
    <row r="8" spans="1:35">
      <c r="A8" s="445"/>
      <c r="B8" s="2043"/>
      <c r="C8" s="446"/>
      <c r="D8" s="447"/>
      <c r="E8" s="445"/>
      <c r="F8" s="445"/>
      <c r="G8" s="445"/>
      <c r="H8" s="445"/>
      <c r="I8" s="445"/>
      <c r="J8" s="445"/>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row>
    <row r="9" spans="1:35" ht="17" thickBot="1">
      <c r="A9" s="445"/>
      <c r="B9" s="2043"/>
      <c r="C9" s="446"/>
      <c r="D9" s="978" t="s">
        <v>45</v>
      </c>
      <c r="E9" s="212" t="s">
        <v>3354</v>
      </c>
      <c r="F9" s="212"/>
      <c r="G9" s="212"/>
      <c r="H9" s="212"/>
      <c r="I9" s="212"/>
      <c r="J9" s="212"/>
      <c r="K9" s="503"/>
      <c r="L9" s="503"/>
      <c r="M9" s="445"/>
      <c r="N9" s="445"/>
      <c r="O9" s="445"/>
      <c r="P9" s="445"/>
      <c r="Q9" s="445"/>
      <c r="R9" s="445"/>
      <c r="S9" s="445"/>
      <c r="T9" s="445"/>
      <c r="U9" s="445"/>
      <c r="V9" s="445"/>
      <c r="W9" s="445"/>
      <c r="X9" s="445"/>
      <c r="Y9" s="445"/>
      <c r="Z9" s="445"/>
      <c r="AA9" s="445"/>
      <c r="AB9" s="445"/>
      <c r="AC9" s="445"/>
      <c r="AD9" s="445"/>
      <c r="AE9" s="445"/>
      <c r="AF9" s="445"/>
      <c r="AG9" s="445"/>
      <c r="AH9" s="445"/>
      <c r="AI9" s="445"/>
    </row>
    <row r="10" spans="1:35" ht="17" thickBot="1">
      <c r="A10" s="445"/>
      <c r="B10" s="2043"/>
      <c r="C10" s="446"/>
      <c r="D10" s="447"/>
      <c r="E10" s="1871" t="s">
        <v>46</v>
      </c>
      <c r="F10" s="1872"/>
      <c r="G10" s="1873"/>
      <c r="H10" s="1874"/>
      <c r="I10" s="445"/>
      <c r="J10" s="445"/>
      <c r="K10" s="445"/>
      <c r="L10" s="445"/>
      <c r="M10" s="445"/>
      <c r="N10" s="445"/>
      <c r="O10" s="445"/>
      <c r="P10" s="445"/>
      <c r="Q10" s="445"/>
      <c r="R10" s="445"/>
      <c r="S10" s="445"/>
      <c r="T10" s="445"/>
      <c r="U10" s="445"/>
      <c r="V10" s="445"/>
      <c r="W10" s="445"/>
      <c r="X10" s="445"/>
      <c r="Y10" s="445"/>
      <c r="Z10" s="445"/>
      <c r="AA10" s="445"/>
      <c r="AB10" s="445"/>
      <c r="AC10" s="445"/>
      <c r="AD10" s="445"/>
      <c r="AE10" s="445"/>
      <c r="AF10" s="445"/>
      <c r="AG10" s="445"/>
      <c r="AH10" s="445"/>
      <c r="AI10" s="445"/>
    </row>
    <row r="11" spans="1:35">
      <c r="A11" s="445"/>
      <c r="B11" s="2043"/>
      <c r="C11" s="446"/>
      <c r="D11" s="447"/>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row>
    <row r="12" spans="1:35">
      <c r="A12" s="445"/>
      <c r="B12" s="2043"/>
      <c r="C12" s="446"/>
      <c r="D12" s="978" t="s">
        <v>47</v>
      </c>
      <c r="E12" s="212" t="s">
        <v>3610</v>
      </c>
      <c r="F12" s="212"/>
      <c r="G12" s="212"/>
      <c r="H12" s="212"/>
      <c r="I12" s="212"/>
      <c r="J12" s="212"/>
      <c r="K12" s="212"/>
      <c r="L12" s="212"/>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row>
    <row r="13" spans="1:35">
      <c r="A13" s="445"/>
      <c r="B13" s="2043"/>
      <c r="C13" s="446"/>
      <c r="D13" s="447"/>
      <c r="E13" s="787" t="s">
        <v>34</v>
      </c>
      <c r="F13" s="445" t="s">
        <v>48</v>
      </c>
      <c r="G13" s="445"/>
      <c r="H13" s="445"/>
      <c r="I13" s="445"/>
      <c r="J13" s="445"/>
      <c r="K13" s="445"/>
      <c r="L13" s="445"/>
      <c r="M13" s="445"/>
      <c r="N13" s="445"/>
      <c r="O13" s="445"/>
      <c r="P13" s="445"/>
      <c r="Q13" s="445"/>
      <c r="R13" s="445"/>
      <c r="S13" s="445"/>
      <c r="T13" s="445"/>
      <c r="U13" s="445"/>
      <c r="V13" s="445"/>
      <c r="W13" s="445"/>
      <c r="X13" s="445"/>
      <c r="Y13" s="445"/>
      <c r="Z13" s="445"/>
      <c r="AA13" s="445"/>
      <c r="AB13" s="445"/>
      <c r="AC13" s="445"/>
      <c r="AD13" s="445"/>
      <c r="AE13" s="445"/>
      <c r="AF13" s="445"/>
      <c r="AG13" s="445"/>
      <c r="AH13" s="445"/>
      <c r="AI13" s="445"/>
    </row>
    <row r="14" spans="1:35">
      <c r="A14" s="445"/>
      <c r="B14" s="2043"/>
      <c r="C14" s="446"/>
      <c r="D14" s="447"/>
      <c r="E14" s="787" t="s">
        <v>35</v>
      </c>
      <c r="F14" s="445" t="s">
        <v>49</v>
      </c>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row>
    <row r="15" spans="1:35">
      <c r="A15" s="445"/>
      <c r="B15" s="2043"/>
      <c r="C15" s="446"/>
      <c r="D15" s="447"/>
      <c r="E15" s="787" t="s">
        <v>36</v>
      </c>
      <c r="F15" s="445" t="s">
        <v>50</v>
      </c>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row>
    <row r="16" spans="1:35">
      <c r="A16" s="445"/>
      <c r="B16" s="2043"/>
      <c r="C16" s="446"/>
      <c r="D16" s="447"/>
      <c r="E16" s="787" t="s">
        <v>37</v>
      </c>
      <c r="F16" s="445" t="s">
        <v>51</v>
      </c>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row>
    <row r="17" spans="1:35" ht="17" thickBot="1">
      <c r="A17" s="445"/>
      <c r="B17" s="2043"/>
      <c r="C17" s="446"/>
      <c r="D17" s="447"/>
      <c r="E17" s="787" t="s">
        <v>38</v>
      </c>
      <c r="F17" s="445" t="s">
        <v>52</v>
      </c>
      <c r="G17" s="445"/>
      <c r="H17" s="445"/>
      <c r="I17" s="445"/>
      <c r="J17" s="445"/>
      <c r="K17" s="445"/>
      <c r="L17" s="445"/>
      <c r="M17" s="445"/>
      <c r="N17" s="445"/>
      <c r="O17" s="445"/>
      <c r="P17" s="445"/>
      <c r="Q17" s="445"/>
      <c r="R17" s="445"/>
      <c r="S17" s="445"/>
      <c r="T17" s="445"/>
      <c r="U17" s="445"/>
      <c r="V17" s="445"/>
      <c r="W17" s="445"/>
      <c r="X17" s="445"/>
      <c r="Y17" s="445"/>
      <c r="Z17" s="445"/>
      <c r="AA17" s="445"/>
      <c r="AB17" s="445"/>
      <c r="AC17" s="445"/>
      <c r="AD17" s="445"/>
      <c r="AE17" s="445"/>
      <c r="AF17" s="445"/>
      <c r="AG17" s="445"/>
      <c r="AH17" s="445"/>
      <c r="AI17" s="445"/>
    </row>
    <row r="18" spans="1:35" ht="17" thickBot="1">
      <c r="A18" s="445"/>
      <c r="B18" s="2043"/>
      <c r="C18" s="446"/>
      <c r="D18" s="447"/>
      <c r="E18" s="787" t="s">
        <v>39</v>
      </c>
      <c r="F18" s="445" t="s">
        <v>53</v>
      </c>
      <c r="G18" s="445"/>
      <c r="H18" s="788"/>
      <c r="I18" s="448"/>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row>
    <row r="19" spans="1:35">
      <c r="A19" s="445"/>
      <c r="B19" s="2043"/>
      <c r="C19" s="446"/>
      <c r="D19" s="447"/>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row>
    <row r="20" spans="1:35">
      <c r="A20" s="445"/>
      <c r="B20" s="2043"/>
      <c r="C20" s="446"/>
      <c r="D20" s="459"/>
      <c r="E20" s="460"/>
      <c r="F20" s="460"/>
      <c r="G20" s="460"/>
      <c r="H20" s="460"/>
      <c r="I20" s="460"/>
      <c r="J20" s="460"/>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row>
    <row r="21" spans="1:35" ht="17" thickBot="1">
      <c r="A21" s="445"/>
      <c r="B21" s="2044"/>
      <c r="C21" s="446"/>
      <c r="D21" s="979"/>
      <c r="E21" s="1912"/>
      <c r="F21" s="1912"/>
      <c r="G21" s="1912"/>
      <c r="H21" s="1912"/>
      <c r="I21" s="448"/>
      <c r="J21" s="448"/>
      <c r="K21" s="445"/>
      <c r="L21" s="445"/>
      <c r="M21" s="445"/>
      <c r="N21" s="445"/>
      <c r="O21" s="445"/>
      <c r="P21" s="445"/>
      <c r="Q21" s="445"/>
      <c r="R21" s="445"/>
      <c r="S21" s="445"/>
      <c r="T21" s="445"/>
      <c r="U21" s="445"/>
      <c r="V21" s="445"/>
      <c r="W21" s="445"/>
      <c r="X21" s="445"/>
      <c r="Y21" s="445"/>
      <c r="Z21" s="445"/>
      <c r="AA21" s="445"/>
      <c r="AB21" s="445"/>
      <c r="AC21" s="445"/>
      <c r="AD21" s="445"/>
      <c r="AE21" s="445"/>
      <c r="AF21" s="445"/>
      <c r="AG21" s="445"/>
      <c r="AH21" s="445"/>
      <c r="AI21" s="445"/>
    </row>
    <row r="22" spans="1:35">
      <c r="A22" s="445"/>
      <c r="B22" s="454"/>
      <c r="C22" s="446"/>
      <c r="D22" s="979"/>
      <c r="E22" s="448"/>
      <c r="F22" s="448"/>
      <c r="G22" s="448"/>
      <c r="H22" s="448"/>
      <c r="I22" s="448"/>
      <c r="J22" s="448"/>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row>
    <row r="23" spans="1:35" ht="17" thickBot="1">
      <c r="A23" s="172"/>
      <c r="B23" s="437"/>
      <c r="C23" s="38"/>
      <c r="D23" s="935"/>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row>
    <row r="24" spans="1:35" ht="17" customHeight="1" thickBot="1">
      <c r="A24" s="172"/>
      <c r="B24" s="1919" t="s">
        <v>86</v>
      </c>
      <c r="C24" s="38"/>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row>
    <row r="25" spans="1:35" ht="16" customHeight="1">
      <c r="A25" s="172"/>
      <c r="B25" s="1920"/>
      <c r="C25" s="38"/>
      <c r="D25" s="172"/>
      <c r="E25" s="1894" t="s">
        <v>98</v>
      </c>
      <c r="F25" s="1895"/>
      <c r="G25" s="1895"/>
      <c r="H25" s="1895"/>
      <c r="I25" s="1896"/>
      <c r="J25" s="172"/>
      <c r="K25" s="172"/>
      <c r="L25" s="172"/>
      <c r="M25" s="1894" t="s">
        <v>97</v>
      </c>
      <c r="N25" s="1895"/>
      <c r="O25" s="1895"/>
      <c r="P25" s="1895"/>
      <c r="Q25" s="1896"/>
      <c r="R25" s="172"/>
      <c r="S25" s="172"/>
      <c r="T25" s="172"/>
      <c r="U25" s="1894" t="s">
        <v>99</v>
      </c>
      <c r="V25" s="1895"/>
      <c r="W25" s="1895"/>
      <c r="X25" s="1895"/>
      <c r="Y25" s="1896"/>
      <c r="Z25" s="172"/>
      <c r="AA25" s="172"/>
      <c r="AB25" s="172"/>
      <c r="AC25" s="1894" t="s">
        <v>100</v>
      </c>
      <c r="AD25" s="1895"/>
      <c r="AE25" s="1895"/>
      <c r="AF25" s="1895"/>
      <c r="AG25" s="1896"/>
      <c r="AH25" s="172"/>
      <c r="AI25" s="172"/>
    </row>
    <row r="26" spans="1:35" ht="17" thickBot="1">
      <c r="A26" s="172"/>
      <c r="B26" s="1920"/>
      <c r="C26" s="38"/>
      <c r="D26" s="172"/>
      <c r="E26" s="1897"/>
      <c r="F26" s="1898"/>
      <c r="G26" s="1898"/>
      <c r="H26" s="1898"/>
      <c r="I26" s="1899"/>
      <c r="J26" s="172"/>
      <c r="K26" s="172"/>
      <c r="L26" s="172"/>
      <c r="M26" s="1897"/>
      <c r="N26" s="1898"/>
      <c r="O26" s="1898"/>
      <c r="P26" s="1898"/>
      <c r="Q26" s="1899"/>
      <c r="R26" s="172"/>
      <c r="S26" s="172"/>
      <c r="T26" s="172"/>
      <c r="U26" s="1897"/>
      <c r="V26" s="1898"/>
      <c r="W26" s="1898"/>
      <c r="X26" s="1898"/>
      <c r="Y26" s="1899"/>
      <c r="Z26" s="172"/>
      <c r="AA26" s="172"/>
      <c r="AB26" s="172"/>
      <c r="AC26" s="1897"/>
      <c r="AD26" s="1898"/>
      <c r="AE26" s="1898"/>
      <c r="AF26" s="1898"/>
      <c r="AG26" s="1899"/>
      <c r="AH26" s="172"/>
      <c r="AI26" s="172"/>
    </row>
    <row r="27" spans="1:35">
      <c r="A27" s="172"/>
      <c r="B27" s="1920"/>
      <c r="C27" s="38"/>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c r="AC27" s="172"/>
      <c r="AD27" s="172"/>
      <c r="AE27" s="172"/>
      <c r="AF27" s="172"/>
      <c r="AG27" s="172"/>
      <c r="AH27" s="172"/>
      <c r="AI27" s="172"/>
    </row>
    <row r="28" spans="1:35" ht="17" thickBot="1">
      <c r="A28" s="172"/>
      <c r="B28" s="1920"/>
      <c r="C28" s="38"/>
      <c r="D28" s="978" t="s">
        <v>54</v>
      </c>
      <c r="E28" s="212" t="s">
        <v>3611</v>
      </c>
      <c r="F28" s="212"/>
      <c r="G28" s="212"/>
      <c r="H28" s="212"/>
      <c r="I28" s="212"/>
      <c r="J28" s="212"/>
      <c r="K28" s="172"/>
      <c r="L28" s="978" t="s">
        <v>75</v>
      </c>
      <c r="M28" s="212" t="s">
        <v>3620</v>
      </c>
      <c r="N28" s="212"/>
      <c r="O28" s="212"/>
      <c r="P28" s="212"/>
      <c r="Q28" s="212"/>
      <c r="R28" s="212"/>
      <c r="S28" s="172"/>
      <c r="T28" s="978" t="s">
        <v>76</v>
      </c>
      <c r="U28" s="212" t="s">
        <v>3615</v>
      </c>
      <c r="V28" s="212"/>
      <c r="W28" s="212"/>
      <c r="X28" s="212"/>
      <c r="Y28" s="212"/>
      <c r="Z28" s="212"/>
      <c r="AA28" s="172"/>
      <c r="AB28" s="1893" t="s">
        <v>85</v>
      </c>
      <c r="AC28" s="1893"/>
      <c r="AD28" s="1893"/>
      <c r="AE28" s="1893"/>
      <c r="AF28" s="1893"/>
      <c r="AG28" s="1893"/>
      <c r="AH28" s="1893"/>
      <c r="AI28" s="172"/>
    </row>
    <row r="29" spans="1:35" ht="17" thickBot="1">
      <c r="A29" s="172"/>
      <c r="B29" s="1920"/>
      <c r="C29" s="38"/>
      <c r="D29" s="34"/>
      <c r="E29" s="34" t="s">
        <v>34</v>
      </c>
      <c r="F29" s="172" t="s">
        <v>9</v>
      </c>
      <c r="G29" s="172"/>
      <c r="H29" s="172"/>
      <c r="I29" s="172"/>
      <c r="J29" s="172"/>
      <c r="K29" s="172"/>
      <c r="L29" s="172"/>
      <c r="M29" s="1869" t="s">
        <v>73</v>
      </c>
      <c r="N29" s="1870"/>
      <c r="O29" s="788"/>
      <c r="P29" s="232"/>
      <c r="Q29" s="172"/>
      <c r="R29" s="172"/>
      <c r="S29" s="172"/>
      <c r="T29" s="172"/>
      <c r="U29" s="34" t="s">
        <v>34</v>
      </c>
      <c r="V29" s="232" t="s">
        <v>77</v>
      </c>
      <c r="W29" s="172"/>
      <c r="X29" s="172"/>
      <c r="Y29" s="172"/>
      <c r="Z29" s="172"/>
      <c r="AA29" s="172"/>
      <c r="AB29" s="172"/>
      <c r="AC29" s="172"/>
      <c r="AD29" s="172"/>
      <c r="AE29" s="172"/>
      <c r="AF29" s="2045"/>
      <c r="AG29" s="2045"/>
      <c r="AH29" s="1127"/>
      <c r="AI29" s="172"/>
    </row>
    <row r="30" spans="1:35">
      <c r="A30" s="172"/>
      <c r="B30" s="1920"/>
      <c r="C30" s="38"/>
      <c r="D30" s="34"/>
      <c r="E30" s="34" t="s">
        <v>35</v>
      </c>
      <c r="F30" s="172" t="s">
        <v>6</v>
      </c>
      <c r="G30" s="172"/>
      <c r="H30" s="172"/>
      <c r="I30" s="172"/>
      <c r="J30" s="172"/>
      <c r="K30" s="172"/>
      <c r="L30" s="172"/>
      <c r="M30" s="172"/>
      <c r="N30" s="172"/>
      <c r="O30" s="172"/>
      <c r="P30" s="2045"/>
      <c r="Q30" s="2045"/>
      <c r="R30" s="1127"/>
      <c r="S30" s="172"/>
      <c r="T30" s="172"/>
      <c r="U30" s="34" t="s">
        <v>35</v>
      </c>
      <c r="V30" s="232" t="s">
        <v>80</v>
      </c>
      <c r="W30" s="172"/>
      <c r="X30" s="172"/>
      <c r="Y30" s="172"/>
      <c r="Z30" s="172"/>
      <c r="AA30" s="172"/>
      <c r="AB30" s="439"/>
      <c r="AC30" s="440"/>
      <c r="AD30" s="440"/>
      <c r="AE30" s="440"/>
      <c r="AF30" s="232"/>
      <c r="AG30" s="172"/>
      <c r="AH30" s="172"/>
      <c r="AI30" s="172"/>
    </row>
    <row r="31" spans="1:35" ht="17" thickBot="1">
      <c r="A31" s="172"/>
      <c r="B31" s="1920"/>
      <c r="C31" s="38"/>
      <c r="D31" s="34"/>
      <c r="E31" s="34" t="s">
        <v>36</v>
      </c>
      <c r="F31" s="172" t="s">
        <v>55</v>
      </c>
      <c r="G31" s="172"/>
      <c r="H31" s="172"/>
      <c r="I31" s="172"/>
      <c r="J31" s="172"/>
      <c r="K31" s="172"/>
      <c r="L31" s="439"/>
      <c r="M31" s="440"/>
      <c r="N31" s="440"/>
      <c r="O31" s="440"/>
      <c r="P31" s="232"/>
      <c r="Q31" s="172"/>
      <c r="R31" s="172"/>
      <c r="S31" s="172"/>
      <c r="T31" s="172"/>
      <c r="U31" s="34" t="s">
        <v>36</v>
      </c>
      <c r="V31" s="232" t="s">
        <v>81</v>
      </c>
      <c r="W31" s="172"/>
      <c r="X31" s="172"/>
      <c r="Y31" s="172"/>
      <c r="Z31" s="172"/>
      <c r="AA31" s="172"/>
      <c r="AB31" s="232"/>
      <c r="AC31" s="438"/>
      <c r="AD31" s="232"/>
      <c r="AE31" s="232"/>
      <c r="AF31" s="232"/>
      <c r="AG31" s="232"/>
      <c r="AH31" s="232"/>
      <c r="AI31" s="172"/>
    </row>
    <row r="32" spans="1:35" ht="17" thickBot="1">
      <c r="A32" s="172"/>
      <c r="B32" s="1920"/>
      <c r="C32" s="38"/>
      <c r="D32" s="34"/>
      <c r="E32" s="34" t="s">
        <v>37</v>
      </c>
      <c r="F32" s="172" t="s">
        <v>0</v>
      </c>
      <c r="G32" s="172"/>
      <c r="H32" s="788"/>
      <c r="I32" s="172"/>
      <c r="J32" s="172"/>
      <c r="K32" s="172"/>
      <c r="L32" s="232"/>
      <c r="M32" s="438"/>
      <c r="N32" s="232"/>
      <c r="O32" s="232"/>
      <c r="P32" s="232"/>
      <c r="Q32" s="232"/>
      <c r="R32" s="232"/>
      <c r="S32" s="172"/>
      <c r="T32" s="172"/>
      <c r="U32" s="34" t="s">
        <v>37</v>
      </c>
      <c r="V32" s="232" t="s">
        <v>78</v>
      </c>
      <c r="W32" s="172"/>
      <c r="X32" s="172"/>
      <c r="Y32" s="172"/>
      <c r="Z32" s="172"/>
      <c r="AA32" s="172"/>
      <c r="AB32" s="232"/>
      <c r="AC32" s="438"/>
      <c r="AD32" s="232"/>
      <c r="AE32" s="232"/>
      <c r="AF32" s="43"/>
      <c r="AG32" s="232"/>
      <c r="AH32" s="232"/>
      <c r="AI32" s="172"/>
    </row>
    <row r="33" spans="1:37">
      <c r="A33" s="172"/>
      <c r="B33" s="1920"/>
      <c r="C33" s="38"/>
      <c r="D33" s="34"/>
      <c r="E33" s="172"/>
      <c r="F33" s="172"/>
      <c r="G33" s="172"/>
      <c r="H33" s="172"/>
      <c r="I33" s="172"/>
      <c r="J33" s="172"/>
      <c r="K33" s="172"/>
      <c r="L33" s="232"/>
      <c r="M33" s="438"/>
      <c r="N33" s="232"/>
      <c r="O33" s="232"/>
      <c r="P33" s="232"/>
      <c r="Q33" s="43"/>
      <c r="R33" s="232"/>
      <c r="S33" s="172"/>
      <c r="T33" s="172"/>
      <c r="U33" s="34" t="s">
        <v>38</v>
      </c>
      <c r="V33" s="232" t="s">
        <v>79</v>
      </c>
      <c r="W33" s="172"/>
      <c r="X33" s="172"/>
      <c r="Y33" s="172"/>
      <c r="Z33" s="172"/>
      <c r="AA33" s="172"/>
      <c r="AB33" s="232"/>
      <c r="AC33" s="232"/>
      <c r="AD33" s="232"/>
      <c r="AE33" s="232"/>
      <c r="AF33" s="232"/>
      <c r="AG33" s="232"/>
      <c r="AH33" s="232"/>
      <c r="AI33" s="172"/>
    </row>
    <row r="34" spans="1:37" ht="17" thickBot="1">
      <c r="A34" s="172"/>
      <c r="B34" s="1920"/>
      <c r="C34" s="38"/>
      <c r="D34" s="978" t="s">
        <v>56</v>
      </c>
      <c r="E34" s="212" t="s">
        <v>3612</v>
      </c>
      <c r="F34" s="212"/>
      <c r="G34" s="212"/>
      <c r="H34" s="212"/>
      <c r="I34" s="212"/>
      <c r="J34" s="212"/>
      <c r="K34" s="172"/>
      <c r="L34" s="232"/>
      <c r="M34" s="232"/>
      <c r="N34" s="232"/>
      <c r="O34" s="232"/>
      <c r="P34" s="232"/>
      <c r="Q34" s="232"/>
      <c r="R34" s="232"/>
      <c r="S34" s="172"/>
      <c r="T34" s="172"/>
      <c r="U34" s="34" t="s">
        <v>39</v>
      </c>
      <c r="V34" s="232" t="s">
        <v>82</v>
      </c>
      <c r="W34" s="172"/>
      <c r="X34" s="172"/>
      <c r="Y34" s="172"/>
      <c r="Z34" s="172"/>
      <c r="AA34" s="172"/>
      <c r="AB34" s="232"/>
      <c r="AC34" s="232"/>
      <c r="AD34" s="232"/>
      <c r="AE34" s="232"/>
      <c r="AF34" s="232"/>
      <c r="AG34" s="232"/>
      <c r="AH34" s="232"/>
      <c r="AI34" s="172"/>
    </row>
    <row r="35" spans="1:37" ht="17" thickBot="1">
      <c r="A35" s="172"/>
      <c r="B35" s="1920"/>
      <c r="C35" s="38"/>
      <c r="D35" s="34"/>
      <c r="E35" s="34" t="s">
        <v>34</v>
      </c>
      <c r="F35" s="172" t="s">
        <v>57</v>
      </c>
      <c r="G35" s="172" t="s">
        <v>7</v>
      </c>
      <c r="H35" s="172"/>
      <c r="I35" s="172"/>
      <c r="J35" s="172"/>
      <c r="K35" s="172"/>
      <c r="L35" s="172"/>
      <c r="M35" s="172"/>
      <c r="N35" s="172"/>
      <c r="O35" s="172"/>
      <c r="P35" s="172"/>
      <c r="Q35" s="172"/>
      <c r="R35" s="172"/>
      <c r="S35" s="172"/>
      <c r="T35" s="172"/>
      <c r="U35" s="34" t="s">
        <v>40</v>
      </c>
      <c r="V35" s="232" t="s">
        <v>71</v>
      </c>
      <c r="W35" s="172"/>
      <c r="X35" s="1873"/>
      <c r="Y35" s="1874"/>
      <c r="Z35" s="172"/>
      <c r="AA35" s="43"/>
      <c r="AB35" s="172"/>
      <c r="AC35" s="172"/>
      <c r="AD35" s="172"/>
      <c r="AE35" s="172"/>
      <c r="AF35" s="172"/>
      <c r="AG35" s="172"/>
      <c r="AH35" s="172"/>
      <c r="AI35" s="172"/>
    </row>
    <row r="36" spans="1:37" ht="17" thickBot="1">
      <c r="A36" s="172"/>
      <c r="B36" s="1920"/>
      <c r="C36" s="38"/>
      <c r="D36" s="34"/>
      <c r="E36" s="34" t="s">
        <v>35</v>
      </c>
      <c r="F36" s="172" t="s">
        <v>57</v>
      </c>
      <c r="G36" s="172" t="s">
        <v>8</v>
      </c>
      <c r="H36" s="172"/>
      <c r="I36" s="172"/>
      <c r="J36" s="172"/>
      <c r="K36" s="172"/>
      <c r="L36" s="172"/>
      <c r="M36" s="172"/>
      <c r="N36" s="172"/>
      <c r="O36" s="172"/>
      <c r="P36" s="172"/>
      <c r="Q36" s="172"/>
      <c r="R36" s="172"/>
      <c r="S36" s="172"/>
      <c r="T36" s="172"/>
      <c r="U36" s="34"/>
      <c r="V36" s="172"/>
      <c r="W36" s="172"/>
      <c r="X36" s="172"/>
      <c r="Y36" s="172"/>
      <c r="Z36" s="172"/>
      <c r="AA36" s="172"/>
      <c r="AB36" s="172"/>
      <c r="AC36" s="172"/>
      <c r="AD36" s="172"/>
      <c r="AE36" s="172"/>
      <c r="AF36" s="172"/>
      <c r="AG36" s="172"/>
      <c r="AH36" s="172"/>
      <c r="AI36" s="172"/>
    </row>
    <row r="37" spans="1:37" ht="17" thickBot="1">
      <c r="A37" s="172"/>
      <c r="B37" s="1920"/>
      <c r="C37" s="38"/>
      <c r="D37" s="34"/>
      <c r="E37" s="34" t="s">
        <v>36</v>
      </c>
      <c r="F37" s="172" t="s">
        <v>58</v>
      </c>
      <c r="G37" s="172" t="s">
        <v>2</v>
      </c>
      <c r="H37" s="172"/>
      <c r="I37" s="172"/>
      <c r="J37" s="172"/>
      <c r="K37" s="172"/>
      <c r="L37" s="172"/>
      <c r="M37" s="172"/>
      <c r="N37" s="172"/>
      <c r="O37" s="172"/>
      <c r="P37" s="172"/>
      <c r="Q37" s="172"/>
      <c r="R37" s="172"/>
      <c r="S37" s="172"/>
      <c r="T37" s="405" t="s">
        <v>83</v>
      </c>
      <c r="U37" s="508" t="s">
        <v>3616</v>
      </c>
      <c r="V37" s="508"/>
      <c r="W37" s="508"/>
      <c r="X37" s="508"/>
      <c r="Y37" s="508"/>
      <c r="Z37" s="462"/>
      <c r="AA37" s="172"/>
      <c r="AB37" s="172"/>
      <c r="AC37" s="172"/>
      <c r="AD37" s="172"/>
      <c r="AE37" s="172"/>
      <c r="AF37" s="172"/>
      <c r="AG37" s="172"/>
      <c r="AH37" s="172"/>
      <c r="AI37" s="172"/>
    </row>
    <row r="38" spans="1:37" ht="17" thickBot="1">
      <c r="A38" s="172"/>
      <c r="B38" s="1920"/>
      <c r="C38" s="38"/>
      <c r="D38" s="34"/>
      <c r="E38" s="34" t="s">
        <v>37</v>
      </c>
      <c r="F38" s="172" t="s">
        <v>60</v>
      </c>
      <c r="G38" s="172" t="s">
        <v>1</v>
      </c>
      <c r="H38" s="172"/>
      <c r="I38" s="172"/>
      <c r="J38" s="172"/>
      <c r="K38" s="172"/>
      <c r="L38" s="172"/>
      <c r="M38" s="172"/>
      <c r="N38" s="172"/>
      <c r="O38" s="172"/>
      <c r="P38" s="172"/>
      <c r="Q38" s="172"/>
      <c r="R38" s="172"/>
      <c r="S38" s="172"/>
      <c r="T38" s="172"/>
      <c r="U38" s="34" t="s">
        <v>34</v>
      </c>
      <c r="V38" s="172" t="s">
        <v>262</v>
      </c>
      <c r="W38" s="172" t="s">
        <v>2</v>
      </c>
      <c r="X38" s="172"/>
      <c r="Y38" s="172"/>
      <c r="Z38" s="172"/>
      <c r="AA38" s="172"/>
      <c r="AB38" s="172"/>
      <c r="AC38" s="172"/>
      <c r="AD38" s="172"/>
      <c r="AE38" s="172"/>
      <c r="AF38" s="172"/>
      <c r="AG38" s="172"/>
      <c r="AH38" s="172"/>
      <c r="AI38" s="172"/>
    </row>
    <row r="39" spans="1:37" ht="17" thickBot="1">
      <c r="A39" s="172"/>
      <c r="B39" s="1920"/>
      <c r="C39" s="38"/>
      <c r="D39" s="34"/>
      <c r="E39" s="34" t="s">
        <v>38</v>
      </c>
      <c r="F39" s="172" t="s">
        <v>59</v>
      </c>
      <c r="G39" s="172" t="s">
        <v>5</v>
      </c>
      <c r="H39" s="788"/>
      <c r="I39" s="172"/>
      <c r="J39" s="172"/>
      <c r="K39" s="172"/>
      <c r="L39" s="172"/>
      <c r="M39" s="172"/>
      <c r="N39" s="172"/>
      <c r="O39" s="172"/>
      <c r="P39" s="172"/>
      <c r="Q39" s="172"/>
      <c r="R39" s="172"/>
      <c r="S39" s="172"/>
      <c r="T39" s="172"/>
      <c r="U39" s="34" t="s">
        <v>35</v>
      </c>
      <c r="V39" s="172" t="s">
        <v>264</v>
      </c>
      <c r="W39" s="172" t="s">
        <v>1</v>
      </c>
      <c r="X39" s="172"/>
      <c r="Y39" s="172"/>
      <c r="Z39" s="172"/>
      <c r="AA39" s="172"/>
      <c r="AB39" s="172"/>
      <c r="AC39" s="172"/>
      <c r="AD39" s="172"/>
      <c r="AE39" s="172"/>
      <c r="AF39" s="172"/>
      <c r="AG39" s="172"/>
      <c r="AH39" s="172"/>
      <c r="AI39" s="172"/>
    </row>
    <row r="40" spans="1:37" ht="17" thickBot="1">
      <c r="A40" s="172"/>
      <c r="B40" s="1920"/>
      <c r="C40" s="38"/>
      <c r="D40" s="172"/>
      <c r="E40" s="34"/>
      <c r="F40" s="172"/>
      <c r="G40" s="172"/>
      <c r="H40" s="172"/>
      <c r="I40" s="172"/>
      <c r="J40" s="172"/>
      <c r="K40" s="172"/>
      <c r="L40" s="172"/>
      <c r="M40" s="172"/>
      <c r="N40" s="172"/>
      <c r="O40" s="172"/>
      <c r="P40" s="172"/>
      <c r="Q40" s="172"/>
      <c r="R40" s="172"/>
      <c r="S40" s="172"/>
      <c r="T40" s="172"/>
      <c r="U40" s="34" t="s">
        <v>36</v>
      </c>
      <c r="V40" s="172" t="s">
        <v>263</v>
      </c>
      <c r="W40" s="172" t="s">
        <v>5</v>
      </c>
      <c r="X40" s="788"/>
      <c r="Y40" s="172"/>
      <c r="Z40" s="172"/>
      <c r="AA40" s="172"/>
      <c r="AB40" s="172"/>
      <c r="AC40" s="172"/>
      <c r="AD40" s="172"/>
      <c r="AE40" s="172"/>
      <c r="AF40" s="172"/>
      <c r="AG40" s="172"/>
      <c r="AH40" s="172"/>
      <c r="AI40" s="172"/>
    </row>
    <row r="41" spans="1:37" ht="17" thickBot="1">
      <c r="A41" s="172"/>
      <c r="B41" s="1920"/>
      <c r="C41" s="38"/>
      <c r="D41" s="978" t="s">
        <v>72</v>
      </c>
      <c r="E41" s="212" t="s">
        <v>3624</v>
      </c>
      <c r="F41" s="212"/>
      <c r="G41" s="212"/>
      <c r="H41" s="212"/>
      <c r="I41" s="212"/>
      <c r="J41" s="212"/>
      <c r="K41" s="172"/>
      <c r="L41" s="172"/>
      <c r="M41" s="172"/>
      <c r="N41" s="172"/>
      <c r="O41" s="172"/>
      <c r="P41" s="172"/>
      <c r="Q41" s="172"/>
      <c r="R41" s="172"/>
      <c r="S41" s="172"/>
      <c r="T41" s="172"/>
      <c r="U41" s="172"/>
      <c r="V41" s="172"/>
      <c r="W41" s="172"/>
      <c r="X41" s="172"/>
      <c r="Y41" s="172"/>
      <c r="Z41" s="172"/>
      <c r="AA41" s="172"/>
      <c r="AB41" s="172"/>
      <c r="AC41" s="172"/>
      <c r="AD41" s="172"/>
      <c r="AE41" s="172"/>
      <c r="AF41" s="172"/>
      <c r="AG41" s="172"/>
      <c r="AH41" s="172"/>
      <c r="AI41" s="172"/>
    </row>
    <row r="42" spans="1:37" ht="17" thickBot="1">
      <c r="A42" s="172"/>
      <c r="B42" s="1920"/>
      <c r="C42" s="38"/>
      <c r="D42" s="34"/>
      <c r="E42" s="234" t="s">
        <v>73</v>
      </c>
      <c r="F42" s="977"/>
      <c r="G42" s="788"/>
      <c r="H42" s="43"/>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K42" s="589"/>
    </row>
    <row r="43" spans="1:37" ht="17" thickBot="1">
      <c r="A43" s="172"/>
      <c r="B43" s="1920"/>
      <c r="C43" s="38"/>
      <c r="D43" s="935" t="s">
        <v>3491</v>
      </c>
      <c r="E43" s="172"/>
      <c r="F43" s="172"/>
      <c r="G43" s="172"/>
      <c r="H43" s="172"/>
      <c r="I43" s="172"/>
      <c r="J43" s="172"/>
      <c r="K43" s="172"/>
      <c r="L43" s="172"/>
      <c r="M43" s="172"/>
      <c r="N43" s="172"/>
      <c r="O43" s="172"/>
      <c r="P43" s="172"/>
      <c r="Q43" s="172"/>
      <c r="R43" s="172"/>
      <c r="S43" s="172"/>
      <c r="T43" s="978" t="s">
        <v>84</v>
      </c>
      <c r="U43" s="212" t="s">
        <v>3621</v>
      </c>
      <c r="V43" s="212"/>
      <c r="W43" s="212"/>
      <c r="X43" s="212"/>
      <c r="Y43" s="212"/>
      <c r="Z43" s="212"/>
      <c r="AA43" s="172"/>
      <c r="AB43" s="172"/>
      <c r="AC43" s="172"/>
      <c r="AD43" s="172"/>
      <c r="AE43" s="172"/>
      <c r="AF43" s="172"/>
      <c r="AG43" s="172"/>
      <c r="AH43" s="172"/>
      <c r="AI43" s="172"/>
    </row>
    <row r="44" spans="1:37" ht="17" thickBot="1">
      <c r="A44" s="172"/>
      <c r="B44" s="1920"/>
      <c r="C44" s="38"/>
      <c r="D44" s="172"/>
      <c r="E44" s="172"/>
      <c r="F44" s="172"/>
      <c r="G44" s="172"/>
      <c r="H44" s="172"/>
      <c r="I44" s="172"/>
      <c r="J44" s="172"/>
      <c r="K44" s="172"/>
      <c r="L44" s="172"/>
      <c r="M44" s="172"/>
      <c r="N44" s="172"/>
      <c r="O44" s="172"/>
      <c r="P44" s="172"/>
      <c r="Q44" s="172"/>
      <c r="R44" s="172"/>
      <c r="S44" s="172"/>
      <c r="T44" s="172"/>
      <c r="U44" s="234" t="s">
        <v>73</v>
      </c>
      <c r="V44" s="977"/>
      <c r="W44" s="788"/>
      <c r="X44" s="2045"/>
      <c r="Y44" s="2045"/>
      <c r="Z44" s="1127"/>
      <c r="AA44" s="172"/>
      <c r="AB44" s="172"/>
      <c r="AC44" s="172"/>
      <c r="AD44" s="172"/>
      <c r="AE44" s="172"/>
      <c r="AF44" s="172"/>
      <c r="AG44" s="172"/>
      <c r="AH44" s="172"/>
      <c r="AI44" s="172"/>
    </row>
    <row r="45" spans="1:37" ht="17" thickBot="1">
      <c r="A45" s="172"/>
      <c r="B45" s="1920"/>
      <c r="C45" s="38"/>
      <c r="D45" s="978" t="s">
        <v>74</v>
      </c>
      <c r="E45" s="212" t="s">
        <v>3613</v>
      </c>
      <c r="F45" s="212"/>
      <c r="G45" s="212"/>
      <c r="H45" s="212"/>
      <c r="I45" s="212"/>
      <c r="J45" s="212"/>
      <c r="K45" s="172"/>
      <c r="L45" s="172"/>
      <c r="M45" s="172"/>
      <c r="N45" s="172"/>
      <c r="O45" s="172"/>
      <c r="P45" s="172"/>
      <c r="Q45" s="172"/>
      <c r="R45" s="172"/>
      <c r="S45" s="172"/>
      <c r="T45" s="172"/>
      <c r="U45" s="34"/>
      <c r="V45" s="172"/>
      <c r="W45" s="172"/>
      <c r="X45" s="440"/>
      <c r="Y45" s="172"/>
      <c r="Z45" s="172"/>
      <c r="AA45" s="172"/>
      <c r="AB45" s="172"/>
      <c r="AC45" s="172"/>
      <c r="AD45" s="172"/>
      <c r="AE45" s="172"/>
      <c r="AF45" s="172"/>
      <c r="AG45" s="172"/>
      <c r="AH45" s="172"/>
      <c r="AI45" s="172"/>
    </row>
    <row r="46" spans="1:37" ht="17" thickBot="1">
      <c r="A46" s="172"/>
      <c r="B46" s="1920"/>
      <c r="C46" s="38"/>
      <c r="D46" s="34"/>
      <c r="E46" s="234" t="s">
        <v>73</v>
      </c>
      <c r="F46" s="977"/>
      <c r="G46" s="788"/>
      <c r="H46" s="2045"/>
      <c r="I46" s="2045"/>
      <c r="J46" s="1127"/>
      <c r="K46" s="172"/>
      <c r="L46" s="172"/>
      <c r="M46" s="172"/>
      <c r="N46" s="172"/>
      <c r="O46" s="172"/>
      <c r="P46" s="172"/>
      <c r="Q46" s="172"/>
      <c r="R46" s="172"/>
      <c r="S46" s="172"/>
      <c r="T46" s="439"/>
      <c r="U46" s="440"/>
      <c r="V46" s="440"/>
      <c r="W46" s="440"/>
      <c r="X46" s="440"/>
      <c r="Y46" s="440"/>
      <c r="Z46" s="440"/>
      <c r="AA46" s="172"/>
      <c r="AB46" s="172"/>
      <c r="AC46" s="172"/>
      <c r="AD46" s="172"/>
      <c r="AE46" s="172"/>
      <c r="AF46" s="172"/>
      <c r="AG46" s="172"/>
      <c r="AH46" s="172"/>
      <c r="AI46" s="172"/>
    </row>
    <row r="47" spans="1:37">
      <c r="A47" s="172"/>
      <c r="B47" s="1920"/>
      <c r="C47" s="38"/>
      <c r="D47" s="172"/>
      <c r="E47" s="172"/>
      <c r="F47" s="172"/>
      <c r="G47" s="172"/>
      <c r="H47" s="458"/>
      <c r="I47" s="172"/>
      <c r="J47" s="172"/>
      <c r="K47" s="172"/>
      <c r="L47" s="172"/>
      <c r="M47" s="172"/>
      <c r="N47" s="172"/>
      <c r="O47" s="172"/>
      <c r="P47" s="172"/>
      <c r="Q47" s="172"/>
      <c r="R47" s="172"/>
      <c r="S47" s="172"/>
      <c r="T47" s="232"/>
      <c r="U47" s="438"/>
      <c r="V47" s="232"/>
      <c r="W47" s="232"/>
      <c r="X47" s="232"/>
      <c r="Y47" s="232"/>
      <c r="Z47" s="232"/>
      <c r="AA47" s="172"/>
      <c r="AB47" s="172"/>
      <c r="AC47" s="172"/>
      <c r="AD47" s="172"/>
      <c r="AE47" s="172"/>
      <c r="AF47" s="172"/>
      <c r="AG47" s="172"/>
      <c r="AH47" s="172"/>
      <c r="AI47" s="172"/>
    </row>
    <row r="48" spans="1:37" ht="17" thickBot="1">
      <c r="A48" s="172"/>
      <c r="B48" s="1920"/>
      <c r="C48" s="38"/>
      <c r="D48" s="33" t="s">
        <v>3637</v>
      </c>
      <c r="E48" s="33"/>
      <c r="F48" s="33"/>
      <c r="G48" s="33"/>
      <c r="H48" s="33"/>
      <c r="I48" s="33"/>
      <c r="J48" s="172"/>
      <c r="K48" s="172"/>
      <c r="L48" s="33" t="s">
        <v>3656</v>
      </c>
      <c r="M48" s="33"/>
      <c r="N48" s="33"/>
      <c r="O48" s="33"/>
      <c r="P48" s="33"/>
      <c r="Q48" s="33"/>
      <c r="R48" s="172"/>
      <c r="S48" s="172"/>
      <c r="T48" s="33" t="s">
        <v>3663</v>
      </c>
      <c r="U48" s="33"/>
      <c r="V48" s="33"/>
      <c r="W48" s="33"/>
      <c r="X48" s="33"/>
      <c r="Y48" s="33"/>
      <c r="Z48" s="172"/>
      <c r="AA48" s="172"/>
      <c r="AB48" s="33" t="s">
        <v>3666</v>
      </c>
      <c r="AC48" s="33"/>
      <c r="AD48" s="33"/>
      <c r="AE48" s="33"/>
      <c r="AF48" s="33"/>
      <c r="AG48" s="172"/>
      <c r="AH48" s="172"/>
      <c r="AI48" s="172"/>
    </row>
    <row r="49" spans="1:35" ht="17" thickBot="1">
      <c r="A49" s="172"/>
      <c r="B49" s="1920"/>
      <c r="C49" s="38"/>
      <c r="D49" s="2039" t="s">
        <v>69</v>
      </c>
      <c r="E49" s="2040"/>
      <c r="F49" s="2041"/>
      <c r="G49" s="1130" t="s">
        <v>3562</v>
      </c>
      <c r="H49" s="1131" t="s">
        <v>3563</v>
      </c>
      <c r="I49" s="1132" t="s">
        <v>3564</v>
      </c>
      <c r="J49" s="172"/>
      <c r="K49" s="172"/>
      <c r="L49" s="2039" t="s">
        <v>69</v>
      </c>
      <c r="M49" s="2040"/>
      <c r="N49" s="2041"/>
      <c r="O49" s="1130" t="s">
        <v>3562</v>
      </c>
      <c r="P49" s="1131" t="s">
        <v>3563</v>
      </c>
      <c r="Q49" s="1132" t="s">
        <v>3564</v>
      </c>
      <c r="R49" s="172"/>
      <c r="S49" s="172"/>
      <c r="T49" s="2039" t="s">
        <v>69</v>
      </c>
      <c r="U49" s="2040"/>
      <c r="V49" s="2041"/>
      <c r="W49" s="1130" t="s">
        <v>3562</v>
      </c>
      <c r="X49" s="1131" t="s">
        <v>3563</v>
      </c>
      <c r="Y49" s="1132" t="s">
        <v>3564</v>
      </c>
      <c r="Z49" s="172"/>
      <c r="AA49" s="172"/>
      <c r="AB49" s="33" t="s">
        <v>3667</v>
      </c>
      <c r="AC49" s="33"/>
      <c r="AD49" s="33"/>
      <c r="AE49" s="33"/>
      <c r="AF49" s="33"/>
      <c r="AG49" s="172"/>
      <c r="AH49" s="172"/>
      <c r="AI49" s="172"/>
    </row>
    <row r="50" spans="1:35">
      <c r="A50" s="172"/>
      <c r="B50" s="1920"/>
      <c r="C50" s="38"/>
      <c r="D50" s="1133" t="s">
        <v>3565</v>
      </c>
      <c r="E50" s="1141" t="s">
        <v>3638</v>
      </c>
      <c r="F50" s="30"/>
      <c r="G50" s="985" t="s">
        <v>136</v>
      </c>
      <c r="H50" s="421" t="s">
        <v>64</v>
      </c>
      <c r="I50" s="985" t="s">
        <v>3639</v>
      </c>
      <c r="J50" s="172"/>
      <c r="K50" s="172"/>
      <c r="L50" s="1133" t="s">
        <v>3565</v>
      </c>
      <c r="M50" s="1141" t="s">
        <v>3638</v>
      </c>
      <c r="N50" s="30"/>
      <c r="O50" s="985" t="s">
        <v>136</v>
      </c>
      <c r="P50" s="421" t="s">
        <v>130</v>
      </c>
      <c r="Q50" s="985"/>
      <c r="R50" s="172"/>
      <c r="S50" s="172"/>
      <c r="T50" s="1133" t="s">
        <v>3565</v>
      </c>
      <c r="U50" s="30" t="s">
        <v>3638</v>
      </c>
      <c r="V50" s="30"/>
      <c r="W50" s="985" t="s">
        <v>136</v>
      </c>
      <c r="X50" s="421" t="s">
        <v>171</v>
      </c>
      <c r="Y50" s="985" t="s">
        <v>3665</v>
      </c>
      <c r="Z50" s="172"/>
      <c r="AA50" s="172"/>
      <c r="AB50" s="172"/>
      <c r="AC50" s="172"/>
      <c r="AD50" s="172"/>
      <c r="AE50" s="172"/>
      <c r="AF50" s="172"/>
      <c r="AG50" s="172"/>
      <c r="AH50" s="172"/>
      <c r="AI50" s="172"/>
    </row>
    <row r="51" spans="1:35">
      <c r="A51" s="172"/>
      <c r="B51" s="1920"/>
      <c r="C51" s="38"/>
      <c r="D51" s="1134" t="s">
        <v>3567</v>
      </c>
      <c r="E51" s="1145" t="s">
        <v>3640</v>
      </c>
      <c r="F51" s="1135"/>
      <c r="G51" s="986" t="s">
        <v>44</v>
      </c>
      <c r="H51" s="96" t="s">
        <v>151</v>
      </c>
      <c r="I51" s="986" t="s">
        <v>45</v>
      </c>
      <c r="J51" s="172"/>
      <c r="K51" s="172"/>
      <c r="L51" s="1134" t="s">
        <v>3567</v>
      </c>
      <c r="M51" s="1145" t="s">
        <v>3657</v>
      </c>
      <c r="N51" s="1135"/>
      <c r="O51" s="986" t="s">
        <v>44</v>
      </c>
      <c r="P51" s="96" t="s">
        <v>127</v>
      </c>
      <c r="Q51" s="986" t="s">
        <v>45</v>
      </c>
      <c r="R51" s="172"/>
      <c r="S51" s="172"/>
      <c r="T51" s="1134" t="s">
        <v>3567</v>
      </c>
      <c r="U51" s="1135" t="s">
        <v>3664</v>
      </c>
      <c r="V51" s="1135"/>
      <c r="W51" s="986" t="s">
        <v>44</v>
      </c>
      <c r="X51" s="96" t="s">
        <v>151</v>
      </c>
      <c r="Y51" s="986" t="s">
        <v>45</v>
      </c>
      <c r="Z51" s="172"/>
      <c r="AA51" s="172"/>
      <c r="AB51" s="172"/>
      <c r="AC51" s="172"/>
      <c r="AD51" s="172"/>
      <c r="AE51" s="172"/>
      <c r="AF51" s="172"/>
      <c r="AG51" s="172"/>
      <c r="AH51" s="172"/>
      <c r="AI51" s="172"/>
    </row>
    <row r="52" spans="1:35">
      <c r="A52" s="172"/>
      <c r="B52" s="1920"/>
      <c r="C52" s="38"/>
      <c r="D52" s="1134" t="s">
        <v>3569</v>
      </c>
      <c r="E52" s="1145" t="s">
        <v>3641</v>
      </c>
      <c r="F52" s="1135"/>
      <c r="G52" s="986" t="s">
        <v>3642</v>
      </c>
      <c r="H52" s="96" t="s">
        <v>41</v>
      </c>
      <c r="I52" s="986" t="s">
        <v>72</v>
      </c>
      <c r="J52" s="172"/>
      <c r="K52" s="172"/>
      <c r="L52" s="1134" t="s">
        <v>3569</v>
      </c>
      <c r="M52" s="33" t="s">
        <v>3641</v>
      </c>
      <c r="N52" s="1135"/>
      <c r="O52" s="986" t="s">
        <v>3642</v>
      </c>
      <c r="P52" s="96" t="s">
        <v>41</v>
      </c>
      <c r="Q52" s="986" t="s">
        <v>3658</v>
      </c>
      <c r="R52" s="172"/>
      <c r="S52" s="172"/>
      <c r="T52" s="1134" t="s">
        <v>3569</v>
      </c>
      <c r="U52" s="33" t="s">
        <v>3641</v>
      </c>
      <c r="V52" s="1135"/>
      <c r="W52" s="986" t="s">
        <v>3642</v>
      </c>
      <c r="X52" s="96" t="s">
        <v>41</v>
      </c>
      <c r="Y52" s="986" t="s">
        <v>84</v>
      </c>
      <c r="Z52" s="172"/>
      <c r="AA52" s="172"/>
      <c r="AB52" s="172"/>
      <c r="AC52" s="172"/>
      <c r="AD52" s="172"/>
      <c r="AE52" s="172"/>
      <c r="AF52" s="172"/>
      <c r="AG52" s="172"/>
      <c r="AH52" s="172"/>
      <c r="AI52" s="172"/>
    </row>
    <row r="53" spans="1:35">
      <c r="A53" s="172"/>
      <c r="B53" s="1920"/>
      <c r="C53" s="38"/>
      <c r="D53" s="1134" t="s">
        <v>3574</v>
      </c>
      <c r="E53" s="1135" t="s">
        <v>3643</v>
      </c>
      <c r="F53" s="1135"/>
      <c r="G53" s="991" t="s">
        <v>41</v>
      </c>
      <c r="H53" s="424" t="s">
        <v>41</v>
      </c>
      <c r="I53" s="986" t="s">
        <v>74</v>
      </c>
      <c r="J53" s="172"/>
      <c r="K53" s="172"/>
      <c r="L53" s="1134" t="s">
        <v>3574</v>
      </c>
      <c r="M53" s="1145" t="s">
        <v>3644</v>
      </c>
      <c r="N53" s="1135"/>
      <c r="O53" s="1136">
        <v>52</v>
      </c>
      <c r="P53" s="1136" t="s">
        <v>3645</v>
      </c>
      <c r="Q53" s="1137"/>
      <c r="R53" s="172"/>
      <c r="S53" s="172"/>
      <c r="T53" s="1134" t="s">
        <v>3574</v>
      </c>
      <c r="U53" s="1135" t="s">
        <v>3644</v>
      </c>
      <c r="V53" s="1135"/>
      <c r="W53" s="1136">
        <v>52</v>
      </c>
      <c r="X53" s="1136" t="s">
        <v>3645</v>
      </c>
      <c r="Y53" s="1137"/>
      <c r="Z53" s="172"/>
      <c r="AA53" s="172"/>
      <c r="AB53" s="172"/>
      <c r="AC53" s="172"/>
      <c r="AD53" s="172"/>
      <c r="AE53" s="172"/>
      <c r="AF53" s="172"/>
      <c r="AG53" s="172"/>
      <c r="AH53" s="172"/>
      <c r="AI53" s="172"/>
    </row>
    <row r="54" spans="1:35" ht="17" thickBot="1">
      <c r="A54" s="172"/>
      <c r="B54" s="1920"/>
      <c r="C54" s="38"/>
      <c r="D54" s="1134" t="s">
        <v>3575</v>
      </c>
      <c r="E54" s="1135" t="s">
        <v>3644</v>
      </c>
      <c r="F54" s="1135"/>
      <c r="G54" s="1136">
        <v>52</v>
      </c>
      <c r="H54" s="1136" t="s">
        <v>3645</v>
      </c>
      <c r="I54" s="1137"/>
      <c r="J54" s="172"/>
      <c r="K54" s="172"/>
      <c r="L54" s="1138" t="s">
        <v>3575</v>
      </c>
      <c r="M54" s="1139" t="s">
        <v>3418</v>
      </c>
      <c r="N54" s="1140"/>
      <c r="O54" s="434" t="s">
        <v>3409</v>
      </c>
      <c r="P54" s="28" t="s">
        <v>3646</v>
      </c>
      <c r="Q54" s="987" t="s">
        <v>45</v>
      </c>
      <c r="R54" s="172"/>
      <c r="S54" s="172"/>
      <c r="T54" s="1138" t="s">
        <v>3575</v>
      </c>
      <c r="U54" s="1139" t="s">
        <v>3418</v>
      </c>
      <c r="V54" s="1140"/>
      <c r="W54" s="434" t="s">
        <v>3409</v>
      </c>
      <c r="X54" s="28" t="s">
        <v>3646</v>
      </c>
      <c r="Y54" s="987" t="s">
        <v>45</v>
      </c>
      <c r="Z54" s="172"/>
      <c r="AA54" s="172"/>
      <c r="AB54" s="172"/>
      <c r="AC54" s="172"/>
      <c r="AD54" s="172"/>
      <c r="AE54" s="172"/>
      <c r="AF54" s="172"/>
      <c r="AG54" s="172"/>
      <c r="AH54" s="172"/>
      <c r="AI54" s="172"/>
    </row>
    <row r="55" spans="1:35" ht="17" thickBot="1">
      <c r="A55" s="172"/>
      <c r="B55" s="1920"/>
      <c r="C55" s="38"/>
      <c r="D55" s="1138" t="s">
        <v>3576</v>
      </c>
      <c r="E55" s="1139" t="s">
        <v>3418</v>
      </c>
      <c r="F55" s="1140"/>
      <c r="G55" s="434" t="s">
        <v>3409</v>
      </c>
      <c r="H55" s="28" t="s">
        <v>3646</v>
      </c>
      <c r="I55" s="987" t="s">
        <v>45</v>
      </c>
      <c r="J55" s="172"/>
      <c r="K55" s="172"/>
      <c r="L55" s="33"/>
      <c r="M55" s="33"/>
      <c r="N55" s="33"/>
      <c r="O55" s="33"/>
      <c r="P55" s="33"/>
      <c r="Q55" s="33"/>
      <c r="R55" s="172"/>
      <c r="S55" s="172"/>
      <c r="T55" s="33"/>
      <c r="U55" s="33"/>
      <c r="V55" s="33"/>
      <c r="W55" s="33"/>
      <c r="X55" s="33"/>
      <c r="Y55" s="33"/>
      <c r="Z55" s="172"/>
      <c r="AA55" s="172"/>
      <c r="AB55" s="172"/>
      <c r="AC55" s="172"/>
      <c r="AD55" s="172"/>
      <c r="AE55" s="172"/>
      <c r="AF55" s="172"/>
      <c r="AG55" s="172"/>
      <c r="AH55" s="172"/>
      <c r="AI55" s="172"/>
    </row>
    <row r="56" spans="1:35" ht="17" thickBot="1">
      <c r="A56" s="172"/>
      <c r="B56" s="1920"/>
      <c r="C56" s="38"/>
      <c r="D56" s="33"/>
      <c r="E56" s="33"/>
      <c r="F56" s="33"/>
      <c r="G56" s="33"/>
      <c r="H56" s="33"/>
      <c r="I56" s="33"/>
      <c r="J56" s="172"/>
      <c r="K56" s="172"/>
      <c r="L56" s="33"/>
      <c r="M56" s="33"/>
      <c r="N56" s="33"/>
      <c r="O56" s="33"/>
      <c r="P56" s="33"/>
      <c r="Q56" s="33"/>
      <c r="R56" s="172"/>
      <c r="S56" s="172"/>
      <c r="T56" s="33"/>
      <c r="U56" s="33"/>
      <c r="V56" s="33"/>
      <c r="W56" s="33"/>
      <c r="X56" s="33"/>
      <c r="Y56" s="33"/>
      <c r="Z56" s="172"/>
      <c r="AA56" s="172"/>
      <c r="AB56" s="172"/>
      <c r="AC56" s="172"/>
      <c r="AD56" s="172"/>
      <c r="AE56" s="172"/>
      <c r="AF56" s="172"/>
      <c r="AG56" s="172"/>
      <c r="AH56" s="172"/>
      <c r="AI56" s="172"/>
    </row>
    <row r="57" spans="1:35" ht="17" thickBot="1">
      <c r="A57" s="172"/>
      <c r="B57" s="1920"/>
      <c r="C57" s="38"/>
      <c r="D57" s="2039" t="s">
        <v>70</v>
      </c>
      <c r="E57" s="2040"/>
      <c r="F57" s="2040"/>
      <c r="G57" s="2040"/>
      <c r="H57" s="2040"/>
      <c r="I57" s="2041"/>
      <c r="J57" s="172"/>
      <c r="K57" s="172"/>
      <c r="L57" s="2039" t="s">
        <v>70</v>
      </c>
      <c r="M57" s="2040"/>
      <c r="N57" s="2040"/>
      <c r="O57" s="2040"/>
      <c r="P57" s="2040"/>
      <c r="Q57" s="2041"/>
      <c r="R57" s="172"/>
      <c r="S57" s="172"/>
      <c r="T57" s="2039" t="s">
        <v>70</v>
      </c>
      <c r="U57" s="2040"/>
      <c r="V57" s="2040"/>
      <c r="W57" s="2040"/>
      <c r="X57" s="2040"/>
      <c r="Y57" s="2041"/>
      <c r="Z57" s="172"/>
      <c r="AA57" s="232"/>
      <c r="AB57" s="232"/>
      <c r="AC57" s="232"/>
      <c r="AD57" s="232"/>
      <c r="AE57" s="232"/>
      <c r="AF57" s="232"/>
      <c r="AG57" s="172"/>
      <c r="AH57" s="172"/>
      <c r="AI57" s="172"/>
    </row>
    <row r="58" spans="1:35">
      <c r="A58" s="172"/>
      <c r="B58" s="1920"/>
      <c r="C58" s="38"/>
      <c r="D58" s="1133" t="s">
        <v>3565</v>
      </c>
      <c r="E58" s="1141" t="s">
        <v>3647</v>
      </c>
      <c r="F58" s="1141"/>
      <c r="G58" s="1141"/>
      <c r="H58" s="1141"/>
      <c r="I58" s="30"/>
      <c r="J58" s="172"/>
      <c r="K58" s="172"/>
      <c r="L58" s="1133" t="s">
        <v>3565</v>
      </c>
      <c r="M58" s="1141" t="s">
        <v>3647</v>
      </c>
      <c r="N58" s="1141"/>
      <c r="O58" s="1141"/>
      <c r="P58" s="1141"/>
      <c r="Q58" s="30"/>
      <c r="R58" s="172"/>
      <c r="S58" s="172"/>
      <c r="T58" s="1133" t="s">
        <v>3565</v>
      </c>
      <c r="U58" s="1141" t="s">
        <v>3647</v>
      </c>
      <c r="V58" s="1141"/>
      <c r="W58" s="1141"/>
      <c r="X58" s="1141"/>
      <c r="Y58" s="30"/>
      <c r="Z58" s="172"/>
      <c r="AA58" s="232"/>
      <c r="AB58" s="232"/>
      <c r="AC58" s="232"/>
      <c r="AD58" s="232"/>
      <c r="AE58" s="232"/>
      <c r="AF58" s="232"/>
      <c r="AG58" s="172"/>
      <c r="AH58" s="172"/>
      <c r="AI58" s="172"/>
    </row>
    <row r="59" spans="1:35">
      <c r="A59" s="172"/>
      <c r="B59" s="1920"/>
      <c r="C59" s="38"/>
      <c r="D59" s="23"/>
      <c r="E59" s="1142" t="s">
        <v>3648</v>
      </c>
      <c r="F59" s="33" t="s">
        <v>3655</v>
      </c>
      <c r="G59" s="33"/>
      <c r="H59" s="33"/>
      <c r="I59" s="1135"/>
      <c r="J59" s="172"/>
      <c r="K59" s="172"/>
      <c r="L59" s="23"/>
      <c r="M59" s="1142" t="s">
        <v>3648</v>
      </c>
      <c r="N59" s="33" t="s">
        <v>3659</v>
      </c>
      <c r="O59" s="33"/>
      <c r="P59" s="33"/>
      <c r="Q59" s="1135"/>
      <c r="R59" s="172"/>
      <c r="S59" s="172"/>
      <c r="T59" s="23"/>
      <c r="U59" s="1142" t="s">
        <v>3648</v>
      </c>
      <c r="V59" s="33" t="s">
        <v>3659</v>
      </c>
      <c r="W59" s="33"/>
      <c r="X59" s="33"/>
      <c r="Y59" s="1135"/>
      <c r="Z59" s="172"/>
      <c r="AA59" s="232"/>
      <c r="AB59" s="232"/>
      <c r="AC59" s="232"/>
      <c r="AD59" s="232"/>
      <c r="AE59" s="232"/>
      <c r="AF59" s="232"/>
      <c r="AG59" s="172"/>
      <c r="AH59" s="172"/>
      <c r="AI59" s="172"/>
    </row>
    <row r="60" spans="1:35">
      <c r="A60" s="172"/>
      <c r="B60" s="1920"/>
      <c r="C60" s="38"/>
      <c r="D60" s="23"/>
      <c r="E60" s="1142" t="s">
        <v>3648</v>
      </c>
      <c r="F60" s="33" t="s">
        <v>3654</v>
      </c>
      <c r="G60" s="33"/>
      <c r="H60" s="33"/>
      <c r="I60" s="1135"/>
      <c r="J60" s="172"/>
      <c r="K60" s="172"/>
      <c r="L60" s="23"/>
      <c r="M60" s="1142" t="s">
        <v>3648</v>
      </c>
      <c r="N60" s="33" t="s">
        <v>3660</v>
      </c>
      <c r="O60" s="33"/>
      <c r="P60" s="33"/>
      <c r="Q60" s="1135"/>
      <c r="R60" s="172"/>
      <c r="S60" s="172"/>
      <c r="T60" s="23"/>
      <c r="U60" s="1142" t="s">
        <v>3648</v>
      </c>
      <c r="V60" s="33" t="s">
        <v>3660</v>
      </c>
      <c r="W60" s="33"/>
      <c r="X60" s="33"/>
      <c r="Y60" s="1135"/>
      <c r="Z60" s="172"/>
      <c r="AA60" s="232"/>
      <c r="AB60" s="232"/>
      <c r="AC60" s="232"/>
      <c r="AD60" s="43"/>
      <c r="AE60" s="43"/>
      <c r="AF60" s="232"/>
      <c r="AG60" s="172"/>
      <c r="AH60" s="172"/>
      <c r="AI60" s="172"/>
    </row>
    <row r="61" spans="1:35">
      <c r="A61" s="172"/>
      <c r="B61" s="1920"/>
      <c r="C61" s="38"/>
      <c r="D61" s="23"/>
      <c r="E61" s="33"/>
      <c r="F61" s="33"/>
      <c r="G61" s="33"/>
      <c r="H61" s="33"/>
      <c r="I61" s="1135"/>
      <c r="J61" s="172"/>
      <c r="K61" s="172"/>
      <c r="L61" s="23"/>
      <c r="M61" s="33"/>
      <c r="N61" s="33"/>
      <c r="O61" s="33"/>
      <c r="P61" s="33"/>
      <c r="Q61" s="1135"/>
      <c r="R61" s="172"/>
      <c r="S61" s="172"/>
      <c r="T61" s="23"/>
      <c r="U61" s="33"/>
      <c r="V61" s="33"/>
      <c r="W61" s="33"/>
      <c r="X61" s="33"/>
      <c r="Y61" s="1135"/>
      <c r="Z61" s="172"/>
      <c r="AA61" s="232"/>
      <c r="AB61" s="232"/>
      <c r="AC61" s="232"/>
      <c r="AD61" s="43"/>
      <c r="AE61" s="43"/>
      <c r="AF61" s="232"/>
      <c r="AG61" s="172"/>
      <c r="AH61" s="172"/>
      <c r="AI61" s="172"/>
    </row>
    <row r="62" spans="1:35">
      <c r="A62" s="172"/>
      <c r="B62" s="1920"/>
      <c r="C62" s="38"/>
      <c r="D62" s="1134" t="s">
        <v>3567</v>
      </c>
      <c r="E62" s="33" t="s">
        <v>3649</v>
      </c>
      <c r="F62" s="33"/>
      <c r="G62" s="33"/>
      <c r="H62" s="33"/>
      <c r="I62" s="1135"/>
      <c r="J62" s="172"/>
      <c r="K62" s="172"/>
      <c r="L62" s="1134" t="s">
        <v>3567</v>
      </c>
      <c r="M62" s="33" t="s">
        <v>3649</v>
      </c>
      <c r="N62" s="33"/>
      <c r="O62" s="33"/>
      <c r="P62" s="33"/>
      <c r="Q62" s="1135"/>
      <c r="R62" s="172"/>
      <c r="S62" s="172"/>
      <c r="T62" s="1134" t="s">
        <v>3567</v>
      </c>
      <c r="U62" s="33" t="s">
        <v>3649</v>
      </c>
      <c r="V62" s="33"/>
      <c r="W62" s="33"/>
      <c r="X62" s="33"/>
      <c r="Y62" s="1135"/>
      <c r="Z62" s="172"/>
      <c r="AA62" s="232"/>
      <c r="AB62" s="232"/>
      <c r="AC62" s="232"/>
      <c r="AD62" s="1146"/>
      <c r="AE62" s="1146"/>
      <c r="AF62" s="232"/>
      <c r="AG62" s="172"/>
      <c r="AH62" s="172"/>
      <c r="AI62" s="172"/>
    </row>
    <row r="63" spans="1:35">
      <c r="A63" s="172"/>
      <c r="B63" s="1920"/>
      <c r="C63" s="38"/>
      <c r="D63" s="23"/>
      <c r="E63" s="1142" t="s">
        <v>3648</v>
      </c>
      <c r="F63" s="33" t="s">
        <v>3655</v>
      </c>
      <c r="G63" s="33"/>
      <c r="H63" s="33"/>
      <c r="I63" s="1135"/>
      <c r="J63" s="172"/>
      <c r="K63" s="172"/>
      <c r="L63" s="23"/>
      <c r="M63" s="1142" t="s">
        <v>3648</v>
      </c>
      <c r="N63" s="33" t="s">
        <v>3659</v>
      </c>
      <c r="O63" s="33"/>
      <c r="P63" s="33"/>
      <c r="Q63" s="1135"/>
      <c r="R63" s="172"/>
      <c r="S63" s="172"/>
      <c r="T63" s="23"/>
      <c r="U63" s="1142" t="s">
        <v>3648</v>
      </c>
      <c r="V63" s="33" t="s">
        <v>3659</v>
      </c>
      <c r="W63" s="33"/>
      <c r="X63" s="33"/>
      <c r="Y63" s="1135"/>
      <c r="Z63" s="172"/>
      <c r="AA63" s="232"/>
      <c r="AB63" s="232"/>
      <c r="AC63" s="232"/>
      <c r="AD63" s="232"/>
      <c r="AE63" s="232"/>
      <c r="AF63" s="232"/>
      <c r="AG63" s="172"/>
      <c r="AH63" s="172"/>
      <c r="AI63" s="172"/>
    </row>
    <row r="64" spans="1:35">
      <c r="A64" s="172"/>
      <c r="B64" s="1920"/>
      <c r="C64" s="38"/>
      <c r="D64" s="23"/>
      <c r="E64" s="1142" t="s">
        <v>3648</v>
      </c>
      <c r="F64" s="33" t="s">
        <v>3654</v>
      </c>
      <c r="G64" s="33"/>
      <c r="H64" s="33"/>
      <c r="I64" s="1135"/>
      <c r="J64" s="172"/>
      <c r="K64" s="172"/>
      <c r="L64" s="23"/>
      <c r="M64" s="1142" t="s">
        <v>3648</v>
      </c>
      <c r="N64" s="33" t="s">
        <v>3660</v>
      </c>
      <c r="O64" s="33"/>
      <c r="P64" s="33"/>
      <c r="Q64" s="1135"/>
      <c r="R64" s="172"/>
      <c r="S64" s="172"/>
      <c r="T64" s="23"/>
      <c r="U64" s="1142" t="s">
        <v>3648</v>
      </c>
      <c r="V64" s="33" t="s">
        <v>3660</v>
      </c>
      <c r="W64" s="33"/>
      <c r="X64" s="33"/>
      <c r="Y64" s="1135"/>
      <c r="Z64" s="172"/>
      <c r="AA64" s="232"/>
      <c r="AB64" s="232"/>
      <c r="AC64" s="232"/>
      <c r="AD64" s="232"/>
      <c r="AE64" s="232"/>
      <c r="AF64" s="232"/>
      <c r="AG64" s="172"/>
      <c r="AH64" s="172"/>
      <c r="AI64" s="172"/>
    </row>
    <row r="65" spans="1:35">
      <c r="A65" s="172"/>
      <c r="B65" s="1920"/>
      <c r="C65" s="38"/>
      <c r="D65" s="23"/>
      <c r="E65" s="33"/>
      <c r="F65" s="33"/>
      <c r="G65" s="33"/>
      <c r="H65" s="33"/>
      <c r="I65" s="1135"/>
      <c r="J65" s="172"/>
      <c r="K65" s="172"/>
      <c r="L65" s="23"/>
      <c r="M65" s="33"/>
      <c r="N65" s="33"/>
      <c r="O65" s="33"/>
      <c r="P65" s="33"/>
      <c r="Q65" s="1135"/>
      <c r="R65" s="172"/>
      <c r="S65" s="172"/>
      <c r="T65" s="23"/>
      <c r="U65" s="33"/>
      <c r="V65" s="33"/>
      <c r="W65" s="33"/>
      <c r="X65" s="33"/>
      <c r="Y65" s="1135"/>
      <c r="Z65" s="172"/>
      <c r="AA65" s="232"/>
      <c r="AB65" s="232"/>
      <c r="AC65" s="232"/>
      <c r="AD65" s="232"/>
      <c r="AE65" s="232"/>
      <c r="AF65" s="232"/>
      <c r="AG65" s="172"/>
      <c r="AH65" s="172"/>
      <c r="AI65" s="172"/>
    </row>
    <row r="66" spans="1:35">
      <c r="A66" s="172"/>
      <c r="B66" s="1920"/>
      <c r="C66" s="38"/>
      <c r="D66" s="1134" t="s">
        <v>3569</v>
      </c>
      <c r="E66" s="33" t="s">
        <v>3650</v>
      </c>
      <c r="F66" s="33"/>
      <c r="G66" s="33"/>
      <c r="H66" s="33"/>
      <c r="I66" s="1135"/>
      <c r="J66" s="172"/>
      <c r="K66" s="172"/>
      <c r="L66" s="1134" t="s">
        <v>3569</v>
      </c>
      <c r="M66" s="33" t="s">
        <v>3650</v>
      </c>
      <c r="N66" s="33"/>
      <c r="O66" s="33"/>
      <c r="P66" s="33"/>
      <c r="Q66" s="1135"/>
      <c r="R66" s="172"/>
      <c r="S66" s="172"/>
      <c r="T66" s="1134" t="s">
        <v>3569</v>
      </c>
      <c r="U66" s="33" t="s">
        <v>3650</v>
      </c>
      <c r="V66" s="33"/>
      <c r="W66" s="33"/>
      <c r="X66" s="33"/>
      <c r="Y66" s="1135"/>
      <c r="Z66" s="172"/>
      <c r="AA66" s="172"/>
      <c r="AB66" s="172"/>
      <c r="AC66" s="172"/>
      <c r="AD66" s="172"/>
      <c r="AE66" s="172"/>
      <c r="AF66" s="172"/>
      <c r="AG66" s="172"/>
      <c r="AH66" s="172"/>
      <c r="AI66" s="172"/>
    </row>
    <row r="67" spans="1:35">
      <c r="A67" s="172"/>
      <c r="B67" s="1920"/>
      <c r="C67" s="38"/>
      <c r="D67" s="23"/>
      <c r="E67" s="1142" t="s">
        <v>3648</v>
      </c>
      <c r="F67" s="33" t="s">
        <v>3651</v>
      </c>
      <c r="G67" s="33"/>
      <c r="H67" s="33"/>
      <c r="I67" s="1135"/>
      <c r="J67" s="172"/>
      <c r="K67" s="172"/>
      <c r="L67" s="23"/>
      <c r="M67" s="1142" t="s">
        <v>3648</v>
      </c>
      <c r="N67" s="33" t="s">
        <v>3661</v>
      </c>
      <c r="O67" s="33"/>
      <c r="P67" s="33"/>
      <c r="Q67" s="1135"/>
      <c r="R67" s="172"/>
      <c r="S67" s="172"/>
      <c r="T67" s="23"/>
      <c r="U67" s="1142" t="s">
        <v>3648</v>
      </c>
      <c r="V67" s="33" t="s">
        <v>3661</v>
      </c>
      <c r="W67" s="33"/>
      <c r="X67" s="33"/>
      <c r="Y67" s="1135"/>
      <c r="Z67" s="172"/>
      <c r="AA67" s="172"/>
      <c r="AB67" s="172"/>
      <c r="AC67" s="172"/>
      <c r="AD67" s="172"/>
      <c r="AE67" s="172"/>
      <c r="AF67" s="172"/>
      <c r="AG67" s="172"/>
      <c r="AH67" s="172"/>
      <c r="AI67" s="172"/>
    </row>
    <row r="68" spans="1:35">
      <c r="A68" s="172"/>
      <c r="B68" s="1920"/>
      <c r="C68" s="38"/>
      <c r="D68" s="23"/>
      <c r="E68" s="33"/>
      <c r="F68" s="33"/>
      <c r="G68" s="33"/>
      <c r="H68" s="33"/>
      <c r="I68" s="1135"/>
      <c r="J68" s="172"/>
      <c r="K68" s="172"/>
      <c r="L68" s="23"/>
      <c r="M68" s="33"/>
      <c r="N68" s="33"/>
      <c r="O68" s="33"/>
      <c r="P68" s="33"/>
      <c r="Q68" s="1135"/>
      <c r="R68" s="172"/>
      <c r="S68" s="172"/>
      <c r="T68" s="23"/>
      <c r="U68" s="33"/>
      <c r="V68" s="33"/>
      <c r="W68" s="33"/>
      <c r="X68" s="33"/>
      <c r="Y68" s="1135"/>
      <c r="Z68" s="172"/>
      <c r="AA68" s="172"/>
      <c r="AB68" s="172"/>
      <c r="AC68" s="172"/>
      <c r="AD68" s="172"/>
      <c r="AE68" s="172"/>
      <c r="AF68" s="172"/>
      <c r="AG68" s="172"/>
      <c r="AH68" s="172"/>
      <c r="AI68" s="172"/>
    </row>
    <row r="69" spans="1:35">
      <c r="A69" s="172"/>
      <c r="B69" s="1920"/>
      <c r="C69" s="38"/>
      <c r="D69" s="1134" t="s">
        <v>3574</v>
      </c>
      <c r="E69" s="33" t="s">
        <v>3652</v>
      </c>
      <c r="F69" s="33"/>
      <c r="G69" s="33"/>
      <c r="H69" s="33"/>
      <c r="I69" s="1135"/>
      <c r="J69" s="172"/>
      <c r="K69" s="172"/>
      <c r="L69" s="1134" t="s">
        <v>3574</v>
      </c>
      <c r="M69" s="33" t="s">
        <v>3652</v>
      </c>
      <c r="N69" s="33"/>
      <c r="O69" s="33"/>
      <c r="P69" s="33"/>
      <c r="Q69" s="1135"/>
      <c r="R69" s="172"/>
      <c r="S69" s="172"/>
      <c r="T69" s="1134" t="s">
        <v>3574</v>
      </c>
      <c r="U69" s="33" t="s">
        <v>3652</v>
      </c>
      <c r="V69" s="33"/>
      <c r="W69" s="33"/>
      <c r="X69" s="33"/>
      <c r="Y69" s="1135"/>
      <c r="Z69" s="172"/>
      <c r="AA69" s="172"/>
      <c r="AB69" s="172"/>
      <c r="AC69" s="172"/>
      <c r="AD69" s="172"/>
      <c r="AE69" s="172"/>
      <c r="AF69" s="172"/>
      <c r="AG69" s="172"/>
      <c r="AH69" s="172"/>
      <c r="AI69" s="172"/>
    </row>
    <row r="70" spans="1:35" ht="17" thickBot="1">
      <c r="A70" s="172"/>
      <c r="B70" s="1920"/>
      <c r="C70" s="38"/>
      <c r="D70" s="24"/>
      <c r="E70" s="1143" t="s">
        <v>3648</v>
      </c>
      <c r="F70" s="1139" t="s">
        <v>3653</v>
      </c>
      <c r="G70" s="1139"/>
      <c r="H70" s="1139"/>
      <c r="I70" s="1140"/>
      <c r="J70" s="172"/>
      <c r="K70" s="172"/>
      <c r="L70" s="24"/>
      <c r="M70" s="1143" t="s">
        <v>3648</v>
      </c>
      <c r="N70" s="1139" t="s">
        <v>3662</v>
      </c>
      <c r="O70" s="1139"/>
      <c r="P70" s="1139"/>
      <c r="Q70" s="1140"/>
      <c r="R70" s="172"/>
      <c r="S70" s="172"/>
      <c r="T70" s="24"/>
      <c r="U70" s="1143" t="s">
        <v>3648</v>
      </c>
      <c r="V70" s="1139" t="s">
        <v>3662</v>
      </c>
      <c r="W70" s="1139"/>
      <c r="X70" s="1139"/>
      <c r="Y70" s="1140"/>
      <c r="Z70" s="172"/>
      <c r="AA70" s="172"/>
      <c r="AB70" s="172"/>
      <c r="AC70" s="172"/>
      <c r="AD70" s="172"/>
      <c r="AE70" s="172"/>
      <c r="AF70" s="172"/>
      <c r="AG70" s="172"/>
      <c r="AH70" s="172"/>
      <c r="AI70" s="172"/>
    </row>
    <row r="71" spans="1:35">
      <c r="A71" s="172"/>
      <c r="B71" s="1920"/>
      <c r="C71" s="38"/>
      <c r="D71" s="1145"/>
      <c r="E71" s="1243"/>
      <c r="F71" s="1145"/>
      <c r="G71" s="1145"/>
      <c r="H71" s="1145"/>
      <c r="I71" s="1145"/>
      <c r="J71" s="172"/>
      <c r="K71" s="172"/>
      <c r="L71" s="1145"/>
      <c r="M71" s="1243"/>
      <c r="N71" s="1145"/>
      <c r="O71" s="1145"/>
      <c r="P71" s="1145"/>
      <c r="Q71" s="1145"/>
      <c r="R71" s="172"/>
      <c r="S71" s="172"/>
      <c r="T71" s="1145"/>
      <c r="U71" s="1243"/>
      <c r="V71" s="1145"/>
      <c r="W71" s="1145"/>
      <c r="X71" s="1145"/>
      <c r="Y71" s="1145"/>
      <c r="Z71" s="172"/>
      <c r="AA71" s="172"/>
      <c r="AB71" s="172"/>
      <c r="AC71" s="172"/>
      <c r="AD71" s="172"/>
      <c r="AE71" s="172"/>
      <c r="AF71" s="172"/>
      <c r="AG71" s="172"/>
      <c r="AH71" s="172"/>
      <c r="AI71" s="172"/>
    </row>
    <row r="72" spans="1:35" ht="17" thickBot="1">
      <c r="A72" s="172"/>
      <c r="B72" s="1921"/>
      <c r="C72" s="38"/>
      <c r="D72" s="1145"/>
      <c r="E72" s="1243"/>
      <c r="F72" s="1145"/>
      <c r="G72" s="1145"/>
      <c r="H72" s="1145"/>
      <c r="I72" s="1145"/>
      <c r="J72" s="172"/>
      <c r="K72" s="172"/>
      <c r="L72" s="1145"/>
      <c r="M72" s="1243"/>
      <c r="N72" s="1145"/>
      <c r="O72" s="1145"/>
      <c r="P72" s="1145"/>
      <c r="Q72" s="1145"/>
      <c r="R72" s="172"/>
      <c r="S72" s="172"/>
      <c r="T72" s="1145"/>
      <c r="U72" s="1243"/>
      <c r="V72" s="1145"/>
      <c r="W72" s="1145"/>
      <c r="X72" s="1145"/>
      <c r="Y72" s="1145"/>
      <c r="Z72" s="172"/>
      <c r="AA72" s="172"/>
      <c r="AB72" s="172"/>
      <c r="AC72" s="172"/>
      <c r="AD72" s="172"/>
      <c r="AE72" s="172"/>
      <c r="AF72" s="172"/>
      <c r="AG72" s="172"/>
      <c r="AH72" s="172"/>
      <c r="AI72" s="172"/>
    </row>
    <row r="73" spans="1:35">
      <c r="A73" s="172"/>
      <c r="B73" s="1144"/>
      <c r="C73" s="38"/>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row>
    <row r="74" spans="1:35" ht="16" customHeight="1" thickBot="1">
      <c r="A74" s="207"/>
      <c r="B74" s="26"/>
      <c r="C74" s="207"/>
      <c r="D74" s="26"/>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7"/>
      <c r="AI74" s="207"/>
    </row>
    <row r="75" spans="1:35" ht="17" customHeight="1" thickBot="1">
      <c r="A75" s="207"/>
      <c r="B75" s="1916" t="s">
        <v>140</v>
      </c>
      <c r="C75" s="207"/>
      <c r="D75" s="26"/>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E75" s="207"/>
      <c r="AF75" s="207"/>
      <c r="AG75" s="207"/>
      <c r="AH75" s="207"/>
      <c r="AI75" s="207"/>
    </row>
    <row r="76" spans="1:35" ht="16" customHeight="1">
      <c r="A76" s="207"/>
      <c r="B76" s="1917"/>
      <c r="C76" s="207"/>
      <c r="D76" s="207"/>
      <c r="E76" s="1863" t="s">
        <v>102</v>
      </c>
      <c r="F76" s="1864"/>
      <c r="G76" s="1864"/>
      <c r="H76" s="1864"/>
      <c r="I76" s="1865"/>
      <c r="J76" s="207"/>
      <c r="K76" s="207"/>
      <c r="L76" s="207"/>
      <c r="M76" s="207"/>
      <c r="N76" s="1863" t="s">
        <v>101</v>
      </c>
      <c r="O76" s="1864"/>
      <c r="P76" s="1864"/>
      <c r="Q76" s="1864"/>
      <c r="R76" s="1865"/>
      <c r="S76" s="207"/>
      <c r="T76" s="207"/>
      <c r="U76" s="207"/>
      <c r="V76" s="207"/>
      <c r="W76" s="207"/>
      <c r="X76" s="207"/>
      <c r="Y76" s="207"/>
      <c r="Z76" s="207"/>
      <c r="AA76" s="207"/>
      <c r="AB76" s="207"/>
      <c r="AC76" s="207"/>
      <c r="AD76" s="207"/>
      <c r="AE76" s="207"/>
      <c r="AF76" s="207"/>
      <c r="AG76" s="207"/>
      <c r="AH76" s="207"/>
      <c r="AI76" s="207"/>
    </row>
    <row r="77" spans="1:35" ht="17" customHeight="1" thickBot="1">
      <c r="A77" s="207"/>
      <c r="B77" s="1917"/>
      <c r="C77" s="207"/>
      <c r="D77" s="207"/>
      <c r="E77" s="1866"/>
      <c r="F77" s="1867"/>
      <c r="G77" s="1867"/>
      <c r="H77" s="1867"/>
      <c r="I77" s="1868"/>
      <c r="J77" s="207"/>
      <c r="K77" s="207"/>
      <c r="L77" s="207"/>
      <c r="M77" s="207"/>
      <c r="N77" s="1866"/>
      <c r="O77" s="1867"/>
      <c r="P77" s="1867"/>
      <c r="Q77" s="1867"/>
      <c r="R77" s="1868"/>
      <c r="S77" s="207"/>
      <c r="T77" s="207"/>
      <c r="U77" s="207"/>
      <c r="V77" s="207"/>
      <c r="W77" s="207"/>
      <c r="X77" s="207"/>
      <c r="Y77" s="207"/>
      <c r="Z77" s="207"/>
      <c r="AA77" s="207"/>
      <c r="AB77" s="207"/>
      <c r="AC77" s="207"/>
      <c r="AD77" s="207"/>
      <c r="AE77" s="207"/>
      <c r="AF77" s="207"/>
      <c r="AG77" s="207"/>
      <c r="AH77" s="207"/>
      <c r="AI77" s="207"/>
    </row>
    <row r="78" spans="1:35">
      <c r="A78" s="207"/>
      <c r="B78" s="1917"/>
      <c r="C78" s="207"/>
      <c r="D78" s="207"/>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E78" s="207"/>
      <c r="AF78" s="207"/>
      <c r="AG78" s="207"/>
      <c r="AH78" s="207"/>
      <c r="AI78" s="207"/>
    </row>
    <row r="79" spans="1:35">
      <c r="A79" s="207"/>
      <c r="B79" s="1917"/>
      <c r="C79" s="207"/>
      <c r="D79" s="978" t="s">
        <v>91</v>
      </c>
      <c r="E79" s="212" t="s">
        <v>87</v>
      </c>
      <c r="F79" s="212"/>
      <c r="G79" s="212"/>
      <c r="H79" s="212"/>
      <c r="I79" s="212"/>
      <c r="J79" s="212"/>
      <c r="K79" s="207"/>
      <c r="L79" s="207"/>
      <c r="M79" s="978" t="s">
        <v>96</v>
      </c>
      <c r="N79" s="212" t="s">
        <v>90</v>
      </c>
      <c r="O79" s="212"/>
      <c r="P79" s="212"/>
      <c r="Q79" s="212"/>
      <c r="R79" s="212"/>
      <c r="S79" s="212"/>
      <c r="T79" s="207"/>
      <c r="U79" s="207"/>
      <c r="V79" s="207"/>
      <c r="W79" s="207"/>
      <c r="X79" s="207"/>
      <c r="Y79" s="207"/>
      <c r="Z79" s="207"/>
      <c r="AA79" s="207"/>
      <c r="AB79" s="207"/>
      <c r="AC79" s="207"/>
      <c r="AD79" s="207"/>
      <c r="AE79" s="207"/>
      <c r="AF79" s="207"/>
      <c r="AG79" s="207"/>
      <c r="AH79" s="207"/>
      <c r="AI79" s="207"/>
    </row>
    <row r="80" spans="1:35" ht="17" thickBot="1">
      <c r="A80" s="207"/>
      <c r="B80" s="1917"/>
      <c r="C80" s="207"/>
      <c r="D80" s="207"/>
      <c r="E80" s="26" t="s">
        <v>34</v>
      </c>
      <c r="F80" s="207" t="s">
        <v>88</v>
      </c>
      <c r="G80" s="207"/>
      <c r="H80" s="207"/>
      <c r="I80" s="207"/>
      <c r="J80" s="207"/>
      <c r="K80" s="207"/>
      <c r="L80" s="207"/>
      <c r="M80" s="207"/>
      <c r="N80" s="851" t="s">
        <v>34</v>
      </c>
      <c r="O80" s="207" t="s">
        <v>88</v>
      </c>
      <c r="P80" s="207"/>
      <c r="Q80" s="207"/>
      <c r="R80" s="207"/>
      <c r="S80" s="207"/>
      <c r="T80" s="207"/>
      <c r="U80" s="207"/>
      <c r="V80" s="207"/>
      <c r="W80" s="207"/>
      <c r="X80" s="207"/>
      <c r="Y80" s="207"/>
      <c r="Z80" s="207"/>
      <c r="AA80" s="207"/>
      <c r="AB80" s="207"/>
      <c r="AC80" s="207"/>
      <c r="AD80" s="207"/>
      <c r="AE80" s="207"/>
      <c r="AF80" s="207"/>
      <c r="AG80" s="207"/>
      <c r="AH80" s="207"/>
      <c r="AI80" s="207"/>
    </row>
    <row r="81" spans="1:35" ht="17" thickBot="1">
      <c r="A81" s="207"/>
      <c r="B81" s="1917"/>
      <c r="C81" s="207"/>
      <c r="D81" s="207"/>
      <c r="E81" s="26" t="s">
        <v>35</v>
      </c>
      <c r="F81" s="207" t="s">
        <v>89</v>
      </c>
      <c r="G81" s="207"/>
      <c r="H81" s="207"/>
      <c r="I81" s="788"/>
      <c r="J81" s="207"/>
      <c r="K81" s="207"/>
      <c r="L81" s="207"/>
      <c r="M81" s="207"/>
      <c r="N81" s="851" t="s">
        <v>35</v>
      </c>
      <c r="O81" s="207" t="s">
        <v>89</v>
      </c>
      <c r="P81" s="207"/>
      <c r="Q81" s="207"/>
      <c r="R81" s="788"/>
      <c r="S81" s="207"/>
      <c r="T81" s="207"/>
      <c r="U81" s="207"/>
      <c r="V81" s="207"/>
      <c r="W81" s="207"/>
      <c r="X81" s="207"/>
      <c r="Y81" s="207"/>
      <c r="Z81" s="207"/>
      <c r="AA81" s="207"/>
      <c r="AB81" s="207"/>
      <c r="AC81" s="207"/>
      <c r="AD81" s="207"/>
      <c r="AE81" s="207"/>
      <c r="AF81" s="207"/>
      <c r="AG81" s="207"/>
      <c r="AH81" s="207"/>
      <c r="AI81" s="207"/>
    </row>
    <row r="82" spans="1:35">
      <c r="A82" s="207"/>
      <c r="B82" s="1917"/>
      <c r="C82" s="207"/>
      <c r="D82" s="1128"/>
      <c r="E82" s="207"/>
      <c r="F82" s="1129"/>
      <c r="G82" s="207"/>
      <c r="H82" s="207"/>
      <c r="I82" s="207"/>
      <c r="J82" s="207"/>
      <c r="K82" s="207"/>
      <c r="L82" s="207"/>
      <c r="M82" s="1128"/>
      <c r="N82" s="207"/>
      <c r="O82" s="1129"/>
      <c r="P82" s="207"/>
      <c r="Q82" s="207"/>
      <c r="R82" s="207"/>
      <c r="S82" s="207"/>
      <c r="T82" s="207"/>
      <c r="U82" s="207"/>
      <c r="V82" s="207"/>
      <c r="W82" s="207"/>
      <c r="X82" s="207"/>
      <c r="Y82" s="207"/>
      <c r="Z82" s="207"/>
      <c r="AA82" s="207"/>
      <c r="AB82" s="207"/>
      <c r="AC82" s="207"/>
      <c r="AD82" s="207"/>
      <c r="AE82" s="207"/>
      <c r="AF82" s="207"/>
      <c r="AG82" s="207"/>
      <c r="AH82" s="207"/>
      <c r="AI82" s="207"/>
    </row>
    <row r="83" spans="1:35">
      <c r="A83" s="207"/>
      <c r="B83" s="1917"/>
      <c r="C83" s="207"/>
      <c r="D83" s="1128"/>
      <c r="E83" s="207"/>
      <c r="F83" s="1129"/>
      <c r="G83" s="207"/>
      <c r="H83" s="207"/>
      <c r="I83" s="207"/>
      <c r="J83" s="207"/>
      <c r="K83" s="207"/>
      <c r="L83" s="207"/>
      <c r="M83" s="1128"/>
      <c r="N83" s="207"/>
      <c r="O83" s="1129"/>
      <c r="P83" s="207"/>
      <c r="Q83" s="207"/>
      <c r="R83" s="207"/>
      <c r="S83" s="207"/>
      <c r="T83" s="207"/>
      <c r="U83" s="207"/>
      <c r="V83" s="207"/>
      <c r="W83" s="207"/>
      <c r="X83" s="207"/>
      <c r="Y83" s="207"/>
      <c r="Z83" s="207"/>
      <c r="AA83" s="207"/>
      <c r="AB83" s="207"/>
      <c r="AC83" s="207"/>
      <c r="AD83" s="207"/>
      <c r="AE83" s="207"/>
      <c r="AF83" s="207"/>
      <c r="AG83" s="207"/>
      <c r="AH83" s="207"/>
      <c r="AI83" s="207"/>
    </row>
    <row r="84" spans="1:35" ht="17" thickBot="1">
      <c r="A84" s="207"/>
      <c r="B84" s="1917"/>
      <c r="C84" s="207"/>
      <c r="D84" s="978" t="s">
        <v>92</v>
      </c>
      <c r="E84" s="212" t="s">
        <v>3611</v>
      </c>
      <c r="F84" s="212"/>
      <c r="G84" s="212"/>
      <c r="H84" s="212"/>
      <c r="I84" s="212"/>
      <c r="J84" s="212"/>
      <c r="K84" s="207"/>
      <c r="L84" s="207"/>
      <c r="M84" s="978" t="s">
        <v>103</v>
      </c>
      <c r="N84" s="212" t="s">
        <v>3622</v>
      </c>
      <c r="O84" s="212"/>
      <c r="P84" s="212"/>
      <c r="Q84" s="212"/>
      <c r="R84" s="212"/>
      <c r="S84" s="212"/>
      <c r="T84" s="207"/>
      <c r="U84" s="207"/>
      <c r="V84" s="285"/>
      <c r="W84" s="207"/>
      <c r="X84" s="207"/>
      <c r="Y84" s="207"/>
      <c r="Z84" s="207"/>
      <c r="AA84" s="207"/>
      <c r="AB84" s="207"/>
      <c r="AC84" s="207"/>
      <c r="AD84" s="207"/>
      <c r="AE84" s="207"/>
      <c r="AF84" s="207"/>
      <c r="AG84" s="207"/>
      <c r="AH84" s="207"/>
      <c r="AI84" s="207"/>
    </row>
    <row r="85" spans="1:35" ht="17" thickBot="1">
      <c r="A85" s="207"/>
      <c r="B85" s="1917"/>
      <c r="C85" s="207"/>
      <c r="D85" s="26"/>
      <c r="E85" s="26" t="s">
        <v>34</v>
      </c>
      <c r="F85" s="207" t="s">
        <v>9</v>
      </c>
      <c r="G85" s="207"/>
      <c r="H85" s="207"/>
      <c r="I85" s="207"/>
      <c r="J85" s="207"/>
      <c r="K85" s="207"/>
      <c r="L85" s="207"/>
      <c r="M85" s="207"/>
      <c r="N85" s="1881" t="s">
        <v>73</v>
      </c>
      <c r="O85" s="1882"/>
      <c r="P85" s="788"/>
      <c r="Q85" s="285"/>
      <c r="R85" s="207"/>
      <c r="S85" s="1129"/>
      <c r="T85" s="207"/>
      <c r="U85" s="207"/>
      <c r="V85" s="207"/>
      <c r="W85" s="207"/>
      <c r="X85" s="207"/>
      <c r="Y85" s="207"/>
      <c r="Z85" s="207"/>
      <c r="AA85" s="207"/>
      <c r="AB85" s="207"/>
      <c r="AC85" s="207"/>
      <c r="AD85" s="207"/>
      <c r="AE85" s="207"/>
      <c r="AF85" s="207"/>
      <c r="AG85" s="207"/>
      <c r="AH85" s="207"/>
      <c r="AI85" s="207"/>
    </row>
    <row r="86" spans="1:35">
      <c r="A86" s="207"/>
      <c r="B86" s="1917"/>
      <c r="C86" s="207"/>
      <c r="D86" s="26"/>
      <c r="E86" s="26" t="s">
        <v>35</v>
      </c>
      <c r="F86" s="207" t="s">
        <v>6</v>
      </c>
      <c r="G86" s="207"/>
      <c r="H86" s="207"/>
      <c r="I86" s="207"/>
      <c r="J86" s="207"/>
      <c r="K86" s="207"/>
      <c r="L86" s="207"/>
      <c r="M86" s="207"/>
      <c r="N86" s="207"/>
      <c r="O86" s="207"/>
      <c r="P86" s="207"/>
      <c r="Q86" s="207"/>
      <c r="R86" s="2019"/>
      <c r="S86" s="2019"/>
      <c r="T86" s="207"/>
      <c r="U86" s="207"/>
      <c r="V86" s="207"/>
      <c r="W86" s="207"/>
      <c r="X86" s="207"/>
      <c r="Y86" s="207"/>
      <c r="Z86" s="207"/>
      <c r="AA86" s="207"/>
      <c r="AB86" s="207"/>
      <c r="AC86" s="207"/>
      <c r="AD86" s="207"/>
      <c r="AE86" s="207"/>
      <c r="AF86" s="207"/>
      <c r="AG86" s="207"/>
      <c r="AH86" s="207"/>
      <c r="AI86" s="207"/>
    </row>
    <row r="87" spans="1:35" ht="17" thickBot="1">
      <c r="A87" s="207"/>
      <c r="B87" s="1917"/>
      <c r="C87" s="207"/>
      <c r="D87" s="26"/>
      <c r="E87" s="26" t="s">
        <v>36</v>
      </c>
      <c r="F87" s="207" t="s">
        <v>55</v>
      </c>
      <c r="G87" s="207"/>
      <c r="H87" s="207"/>
      <c r="I87" s="207"/>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row>
    <row r="88" spans="1:35" ht="17" thickBot="1">
      <c r="A88" s="207"/>
      <c r="B88" s="1917"/>
      <c r="C88" s="207"/>
      <c r="D88" s="26"/>
      <c r="E88" s="26" t="s">
        <v>37</v>
      </c>
      <c r="F88" s="207" t="s">
        <v>0</v>
      </c>
      <c r="G88" s="207"/>
      <c r="H88" s="207"/>
      <c r="I88" s="788"/>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row>
    <row r="89" spans="1:35">
      <c r="A89" s="207"/>
      <c r="B89" s="1917"/>
      <c r="C89" s="207"/>
      <c r="D89" s="26"/>
      <c r="E89" s="207"/>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row>
    <row r="90" spans="1:35">
      <c r="A90" s="207"/>
      <c r="B90" s="1917"/>
      <c r="C90" s="207"/>
      <c r="D90" s="978" t="s">
        <v>93</v>
      </c>
      <c r="E90" s="212" t="s">
        <v>3612</v>
      </c>
      <c r="F90" s="212"/>
      <c r="G90" s="212"/>
      <c r="H90" s="212"/>
      <c r="I90" s="212"/>
      <c r="J90" s="212"/>
      <c r="K90" s="207"/>
      <c r="L90" s="207"/>
      <c r="M90" s="207"/>
      <c r="N90" s="207"/>
      <c r="O90" s="207"/>
      <c r="P90" s="207"/>
      <c r="Q90" s="207"/>
      <c r="R90" s="207"/>
      <c r="S90" s="207"/>
      <c r="T90" s="207"/>
      <c r="U90" s="207"/>
      <c r="V90" s="207"/>
      <c r="W90" s="207"/>
      <c r="X90" s="207"/>
      <c r="Y90" s="207"/>
      <c r="Z90" s="207"/>
      <c r="AA90" s="207"/>
      <c r="AB90" s="207"/>
      <c r="AC90" s="207"/>
      <c r="AD90" s="207"/>
      <c r="AE90" s="207"/>
      <c r="AF90" s="207"/>
      <c r="AG90" s="207"/>
      <c r="AH90" s="207"/>
      <c r="AI90" s="207"/>
    </row>
    <row r="91" spans="1:35">
      <c r="A91" s="207"/>
      <c r="B91" s="1917"/>
      <c r="C91" s="207"/>
      <c r="D91" s="26"/>
      <c r="E91" s="26" t="s">
        <v>34</v>
      </c>
      <c r="F91" s="207" t="s">
        <v>57</v>
      </c>
      <c r="G91" s="207" t="s">
        <v>7</v>
      </c>
      <c r="H91" s="207"/>
      <c r="I91" s="207"/>
      <c r="J91" s="207"/>
      <c r="K91" s="207"/>
      <c r="L91" s="207"/>
      <c r="M91" s="207"/>
      <c r="N91" s="207"/>
      <c r="O91" s="207"/>
      <c r="P91" s="207"/>
      <c r="Q91" s="207"/>
      <c r="R91" s="207"/>
      <c r="S91" s="207"/>
      <c r="T91" s="207"/>
      <c r="U91" s="207"/>
      <c r="V91" s="207"/>
      <c r="W91" s="207"/>
      <c r="X91" s="207"/>
      <c r="Y91" s="207"/>
      <c r="Z91" s="207"/>
      <c r="AA91" s="207"/>
      <c r="AB91" s="207"/>
      <c r="AC91" s="207"/>
      <c r="AD91" s="207"/>
      <c r="AE91" s="207"/>
      <c r="AF91" s="207"/>
      <c r="AG91" s="207"/>
      <c r="AH91" s="207"/>
      <c r="AI91" s="207"/>
    </row>
    <row r="92" spans="1:35">
      <c r="A92" s="207"/>
      <c r="B92" s="1917"/>
      <c r="C92" s="207"/>
      <c r="D92" s="26"/>
      <c r="E92" s="26" t="s">
        <v>35</v>
      </c>
      <c r="F92" s="207" t="s">
        <v>57</v>
      </c>
      <c r="G92" s="207" t="s">
        <v>8</v>
      </c>
      <c r="H92" s="207"/>
      <c r="I92" s="207"/>
      <c r="J92" s="207"/>
      <c r="K92" s="207"/>
      <c r="L92" s="207"/>
      <c r="M92" s="207"/>
      <c r="N92" s="207"/>
      <c r="O92" s="207"/>
      <c r="P92" s="207"/>
      <c r="Q92" s="207"/>
      <c r="R92" s="207"/>
      <c r="S92" s="207"/>
      <c r="T92" s="207"/>
      <c r="U92" s="207"/>
      <c r="V92" s="207"/>
      <c r="W92" s="207"/>
      <c r="X92" s="207"/>
      <c r="Y92" s="207"/>
      <c r="Z92" s="207"/>
      <c r="AA92" s="207"/>
      <c r="AB92" s="207"/>
      <c r="AC92" s="207"/>
      <c r="AD92" s="207"/>
      <c r="AE92" s="207"/>
      <c r="AF92" s="207"/>
      <c r="AG92" s="207"/>
      <c r="AH92" s="207"/>
      <c r="AI92" s="207"/>
    </row>
    <row r="93" spans="1:35">
      <c r="A93" s="207"/>
      <c r="B93" s="1917"/>
      <c r="C93" s="207"/>
      <c r="D93" s="26"/>
      <c r="E93" s="26" t="s">
        <v>36</v>
      </c>
      <c r="F93" s="207" t="s">
        <v>58</v>
      </c>
      <c r="G93" s="207" t="s">
        <v>2</v>
      </c>
      <c r="H93" s="207"/>
      <c r="I93" s="207"/>
      <c r="J93" s="207"/>
      <c r="K93" s="207"/>
      <c r="L93" s="207"/>
      <c r="M93" s="207"/>
      <c r="N93" s="207"/>
      <c r="O93" s="207"/>
      <c r="P93" s="207"/>
      <c r="Q93" s="207"/>
      <c r="R93" s="207"/>
      <c r="S93" s="207"/>
      <c r="T93" s="207"/>
      <c r="U93" s="207"/>
      <c r="V93" s="207"/>
      <c r="W93" s="207"/>
      <c r="X93" s="207"/>
      <c r="Y93" s="207"/>
      <c r="Z93" s="207"/>
      <c r="AA93" s="207"/>
      <c r="AB93" s="207"/>
      <c r="AC93" s="207"/>
      <c r="AD93" s="207"/>
      <c r="AE93" s="207"/>
      <c r="AF93" s="207"/>
      <c r="AG93" s="207"/>
      <c r="AH93" s="207"/>
      <c r="AI93" s="207"/>
    </row>
    <row r="94" spans="1:35" ht="17" thickBot="1">
      <c r="A94" s="207"/>
      <c r="B94" s="1917"/>
      <c r="C94" s="207"/>
      <c r="D94" s="26"/>
      <c r="E94" s="26" t="s">
        <v>37</v>
      </c>
      <c r="F94" s="207" t="s">
        <v>60</v>
      </c>
      <c r="G94" s="207" t="s">
        <v>1</v>
      </c>
      <c r="H94" s="207"/>
      <c r="I94" s="207"/>
      <c r="J94" s="207"/>
      <c r="K94" s="207"/>
      <c r="L94" s="207"/>
      <c r="M94" s="207"/>
      <c r="N94" s="207"/>
      <c r="O94" s="207"/>
      <c r="P94" s="207"/>
      <c r="Q94" s="207"/>
      <c r="R94" s="207"/>
      <c r="S94" s="207"/>
      <c r="T94" s="207"/>
      <c r="U94" s="207"/>
      <c r="V94" s="207"/>
      <c r="W94" s="207"/>
      <c r="X94" s="207"/>
      <c r="Y94" s="207"/>
      <c r="Z94" s="207"/>
      <c r="AA94" s="207"/>
      <c r="AB94" s="207"/>
      <c r="AC94" s="207"/>
      <c r="AD94" s="207"/>
      <c r="AE94" s="207"/>
      <c r="AF94" s="207"/>
      <c r="AG94" s="207"/>
      <c r="AH94" s="207"/>
      <c r="AI94" s="207"/>
    </row>
    <row r="95" spans="1:35" ht="17" thickBot="1">
      <c r="A95" s="207"/>
      <c r="B95" s="1917"/>
      <c r="C95" s="207"/>
      <c r="D95" s="26"/>
      <c r="E95" s="26" t="s">
        <v>38</v>
      </c>
      <c r="F95" s="207" t="s">
        <v>59</v>
      </c>
      <c r="G95" s="207" t="s">
        <v>5</v>
      </c>
      <c r="H95" s="207"/>
      <c r="I95" s="788"/>
      <c r="J95" s="207"/>
      <c r="K95" s="207"/>
      <c r="L95" s="207"/>
      <c r="M95" s="207"/>
      <c r="N95" s="207"/>
      <c r="O95" s="207"/>
      <c r="P95" s="207"/>
      <c r="Q95" s="207"/>
      <c r="R95" s="207"/>
      <c r="S95" s="207"/>
      <c r="T95" s="207"/>
      <c r="U95" s="207"/>
      <c r="V95" s="207"/>
      <c r="W95" s="207"/>
      <c r="X95" s="207"/>
      <c r="Y95" s="207"/>
      <c r="Z95" s="207"/>
      <c r="AA95" s="207"/>
      <c r="AB95" s="207"/>
      <c r="AC95" s="207"/>
      <c r="AD95" s="207"/>
      <c r="AE95" s="207"/>
      <c r="AF95" s="207"/>
      <c r="AG95" s="207"/>
      <c r="AH95" s="207"/>
      <c r="AI95" s="207"/>
    </row>
    <row r="96" spans="1:35">
      <c r="A96" s="207"/>
      <c r="B96" s="1917"/>
      <c r="C96" s="207"/>
      <c r="D96" s="207"/>
      <c r="E96" s="207"/>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07"/>
      <c r="AI96" s="207"/>
    </row>
    <row r="97" spans="1:35" ht="17" thickBot="1">
      <c r="A97" s="207"/>
      <c r="B97" s="1917"/>
      <c r="C97" s="207"/>
      <c r="D97" s="978" t="s">
        <v>94</v>
      </c>
      <c r="E97" s="212" t="s">
        <v>3623</v>
      </c>
      <c r="F97" s="212"/>
      <c r="G97" s="212"/>
      <c r="H97" s="212"/>
      <c r="I97" s="212"/>
      <c r="J97" s="212"/>
      <c r="K97" s="207"/>
      <c r="L97" s="207"/>
      <c r="M97" s="207"/>
      <c r="N97" s="207"/>
      <c r="O97" s="207"/>
      <c r="P97" s="207"/>
      <c r="Q97" s="207"/>
      <c r="R97" s="207"/>
      <c r="S97" s="207"/>
      <c r="T97" s="207"/>
      <c r="U97" s="207"/>
      <c r="V97" s="207"/>
      <c r="W97" s="207"/>
      <c r="X97" s="207"/>
      <c r="Y97" s="207"/>
      <c r="Z97" s="207"/>
      <c r="AA97" s="207"/>
      <c r="AB97" s="207"/>
      <c r="AC97" s="207"/>
      <c r="AD97" s="207"/>
      <c r="AE97" s="207"/>
      <c r="AF97" s="207"/>
      <c r="AG97" s="207"/>
      <c r="AH97" s="207"/>
      <c r="AI97" s="207"/>
    </row>
    <row r="98" spans="1:35" ht="17" thickBot="1">
      <c r="A98" s="207"/>
      <c r="B98" s="1917"/>
      <c r="C98" s="207"/>
      <c r="D98" s="26"/>
      <c r="E98" s="1881" t="s">
        <v>73</v>
      </c>
      <c r="F98" s="1882"/>
      <c r="G98" s="788"/>
      <c r="H98" s="510"/>
      <c r="I98" s="207"/>
      <c r="J98" s="207"/>
      <c r="K98" s="207"/>
      <c r="L98" s="207"/>
      <c r="M98" s="207"/>
      <c r="N98" s="207"/>
      <c r="O98" s="207"/>
      <c r="P98" s="207"/>
      <c r="Q98" s="207"/>
      <c r="R98" s="207"/>
      <c r="S98" s="207"/>
      <c r="T98" s="207"/>
      <c r="U98" s="207"/>
      <c r="V98" s="207"/>
      <c r="W98" s="207"/>
      <c r="X98" s="207"/>
      <c r="Y98" s="207"/>
      <c r="Z98" s="207"/>
      <c r="AA98" s="207"/>
      <c r="AB98" s="207"/>
      <c r="AC98" s="207"/>
      <c r="AD98" s="207"/>
      <c r="AE98" s="207"/>
      <c r="AF98" s="207"/>
      <c r="AG98" s="207"/>
      <c r="AH98" s="207"/>
      <c r="AI98" s="207"/>
    </row>
    <row r="99" spans="1:35">
      <c r="A99" s="207"/>
      <c r="B99" s="1917"/>
      <c r="C99" s="207"/>
      <c r="D99" s="207" t="s">
        <v>3291</v>
      </c>
      <c r="E99" s="207"/>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207"/>
      <c r="AD99" s="207"/>
      <c r="AE99" s="207"/>
      <c r="AF99" s="207"/>
      <c r="AG99" s="207"/>
      <c r="AH99" s="207"/>
      <c r="AI99" s="207"/>
    </row>
    <row r="100" spans="1:35">
      <c r="A100" s="207"/>
      <c r="B100" s="1917"/>
      <c r="C100" s="207"/>
      <c r="D100" s="207"/>
      <c r="E100" s="207"/>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207"/>
      <c r="AD100" s="207"/>
      <c r="AE100" s="207"/>
      <c r="AF100" s="207"/>
      <c r="AG100" s="207"/>
      <c r="AH100" s="207"/>
      <c r="AI100" s="207"/>
    </row>
    <row r="101" spans="1:35" ht="17" thickBot="1">
      <c r="A101" s="207"/>
      <c r="B101" s="1917"/>
      <c r="C101" s="207"/>
      <c r="D101" s="978" t="s">
        <v>95</v>
      </c>
      <c r="E101" s="212" t="s">
        <v>3614</v>
      </c>
      <c r="F101" s="212"/>
      <c r="G101" s="212"/>
      <c r="H101" s="212"/>
      <c r="I101" s="212"/>
      <c r="J101" s="212"/>
      <c r="K101" s="207"/>
      <c r="L101" s="207"/>
      <c r="M101" s="207"/>
      <c r="N101" s="207"/>
      <c r="O101" s="207"/>
      <c r="P101" s="207"/>
      <c r="Q101" s="207"/>
      <c r="R101" s="207"/>
      <c r="S101" s="207"/>
      <c r="T101" s="207"/>
      <c r="U101" s="207"/>
      <c r="V101" s="207"/>
      <c r="W101" s="207"/>
      <c r="X101" s="207"/>
      <c r="Y101" s="207"/>
      <c r="Z101" s="207"/>
      <c r="AA101" s="207"/>
      <c r="AB101" s="207"/>
      <c r="AC101" s="207"/>
      <c r="AD101" s="207"/>
      <c r="AE101" s="207"/>
      <c r="AF101" s="207"/>
      <c r="AG101" s="207"/>
      <c r="AH101" s="207"/>
      <c r="AI101" s="207"/>
    </row>
    <row r="102" spans="1:35" ht="17" thickBot="1">
      <c r="A102" s="207"/>
      <c r="B102" s="1917"/>
      <c r="C102" s="207"/>
      <c r="D102" s="26"/>
      <c r="E102" s="1881" t="s">
        <v>73</v>
      </c>
      <c r="F102" s="1882"/>
      <c r="G102" s="788"/>
      <c r="H102" s="2019"/>
      <c r="I102" s="2019"/>
      <c r="J102" s="1129"/>
      <c r="K102" s="207"/>
      <c r="L102" s="207"/>
      <c r="M102" s="207"/>
      <c r="N102" s="207"/>
      <c r="O102" s="207"/>
      <c r="P102" s="207"/>
      <c r="Q102" s="207"/>
      <c r="R102" s="207"/>
      <c r="S102" s="207"/>
      <c r="T102" s="207"/>
      <c r="U102" s="207"/>
      <c r="V102" s="207"/>
      <c r="W102" s="207"/>
      <c r="X102" s="207"/>
      <c r="Y102" s="207"/>
      <c r="Z102" s="207"/>
      <c r="AA102" s="207"/>
      <c r="AB102" s="207"/>
      <c r="AC102" s="207"/>
      <c r="AD102" s="207"/>
      <c r="AE102" s="207"/>
      <c r="AF102" s="207"/>
      <c r="AG102" s="207"/>
      <c r="AH102" s="207"/>
      <c r="AI102" s="207"/>
    </row>
    <row r="103" spans="1:35">
      <c r="A103" s="207"/>
      <c r="B103" s="1917"/>
      <c r="C103" s="207"/>
      <c r="D103" s="207"/>
      <c r="E103" s="207"/>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207"/>
      <c r="AD103" s="207"/>
      <c r="AE103" s="207"/>
      <c r="AF103" s="207"/>
      <c r="AG103" s="207"/>
      <c r="AH103" s="207"/>
      <c r="AI103" s="207"/>
    </row>
    <row r="104" spans="1:35">
      <c r="A104" s="207"/>
      <c r="B104" s="1917"/>
      <c r="C104" s="207"/>
      <c r="D104" s="207"/>
      <c r="E104" s="207"/>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207"/>
      <c r="AD104" s="207"/>
      <c r="AE104" s="207"/>
      <c r="AF104" s="207"/>
      <c r="AG104" s="207"/>
      <c r="AH104" s="207"/>
      <c r="AI104" s="207"/>
    </row>
    <row r="105" spans="1:35" ht="17" thickBot="1">
      <c r="A105" s="207"/>
      <c r="B105" s="1917"/>
      <c r="C105" s="207"/>
      <c r="D105" s="9" t="s">
        <v>3637</v>
      </c>
      <c r="E105" s="9"/>
      <c r="F105" s="9"/>
      <c r="G105" s="9"/>
      <c r="H105" s="9"/>
      <c r="I105" s="9"/>
      <c r="J105" s="207"/>
      <c r="K105" s="207"/>
      <c r="L105" s="207"/>
      <c r="M105" s="9" t="s">
        <v>3656</v>
      </c>
      <c r="N105" s="9"/>
      <c r="O105" s="9"/>
      <c r="P105" s="9"/>
      <c r="Q105" s="9"/>
      <c r="R105" s="9"/>
      <c r="S105" s="207"/>
      <c r="T105" s="207"/>
      <c r="U105" s="207"/>
      <c r="V105" s="207"/>
      <c r="W105" s="207"/>
      <c r="X105" s="207"/>
      <c r="Y105" s="207"/>
      <c r="Z105" s="207"/>
      <c r="AA105" s="207"/>
      <c r="AB105" s="207"/>
      <c r="AC105" s="207"/>
      <c r="AD105" s="207"/>
      <c r="AE105" s="207"/>
      <c r="AF105" s="207"/>
      <c r="AG105" s="207"/>
      <c r="AH105" s="207"/>
      <c r="AI105" s="207"/>
    </row>
    <row r="106" spans="1:35" ht="17" thickBot="1">
      <c r="A106" s="207"/>
      <c r="B106" s="1917"/>
      <c r="C106" s="207"/>
      <c r="D106" s="2032" t="s">
        <v>69</v>
      </c>
      <c r="E106" s="2033"/>
      <c r="F106" s="2034"/>
      <c r="G106" s="1148" t="s">
        <v>3562</v>
      </c>
      <c r="H106" s="1149" t="s">
        <v>3563</v>
      </c>
      <c r="I106" s="1150" t="s">
        <v>3564</v>
      </c>
      <c r="J106" s="207"/>
      <c r="K106" s="207"/>
      <c r="L106" s="207"/>
      <c r="M106" s="2032" t="s">
        <v>69</v>
      </c>
      <c r="N106" s="2033"/>
      <c r="O106" s="2034"/>
      <c r="P106" s="1148" t="s">
        <v>3562</v>
      </c>
      <c r="Q106" s="1149" t="s">
        <v>3563</v>
      </c>
      <c r="R106" s="1150" t="s">
        <v>3564</v>
      </c>
      <c r="S106" s="207"/>
      <c r="T106" s="207"/>
      <c r="U106" s="207"/>
      <c r="V106" s="207"/>
      <c r="W106" s="207"/>
      <c r="X106" s="207"/>
      <c r="Y106" s="207"/>
      <c r="Z106" s="207"/>
      <c r="AA106" s="207"/>
      <c r="AB106" s="207"/>
      <c r="AC106" s="207"/>
      <c r="AD106" s="207"/>
      <c r="AE106" s="207"/>
      <c r="AF106" s="207"/>
      <c r="AG106" s="207"/>
      <c r="AH106" s="207"/>
      <c r="AI106" s="207"/>
    </row>
    <row r="107" spans="1:35">
      <c r="A107" s="207"/>
      <c r="B107" s="1917"/>
      <c r="C107" s="207"/>
      <c r="D107" s="1151" t="s">
        <v>3565</v>
      </c>
      <c r="E107" s="1162" t="s">
        <v>3638</v>
      </c>
      <c r="F107" s="1152"/>
      <c r="G107" s="80" t="s">
        <v>136</v>
      </c>
      <c r="H107" s="367" t="s">
        <v>64</v>
      </c>
      <c r="I107" s="80" t="s">
        <v>3668</v>
      </c>
      <c r="J107" s="207"/>
      <c r="K107" s="207"/>
      <c r="L107" s="207"/>
      <c r="M107" s="1151" t="s">
        <v>3565</v>
      </c>
      <c r="N107" s="1162" t="s">
        <v>3638</v>
      </c>
      <c r="O107" s="1152"/>
      <c r="P107" s="80" t="s">
        <v>136</v>
      </c>
      <c r="Q107" s="367" t="s">
        <v>130</v>
      </c>
      <c r="R107" s="80"/>
      <c r="S107" s="207"/>
      <c r="T107" s="207"/>
      <c r="U107" s="207"/>
      <c r="V107" s="207"/>
      <c r="W107" s="207"/>
      <c r="X107" s="207"/>
      <c r="Y107" s="207"/>
      <c r="Z107" s="207"/>
      <c r="AA107" s="207"/>
      <c r="AB107" s="207"/>
      <c r="AC107" s="207"/>
      <c r="AD107" s="207"/>
      <c r="AE107" s="207"/>
      <c r="AF107" s="207"/>
      <c r="AG107" s="207"/>
      <c r="AH107" s="207"/>
      <c r="AI107" s="207"/>
    </row>
    <row r="108" spans="1:35">
      <c r="A108" s="207"/>
      <c r="B108" s="1917"/>
      <c r="C108" s="207"/>
      <c r="D108" s="1153" t="s">
        <v>3567</v>
      </c>
      <c r="E108" s="1166" t="s">
        <v>3640</v>
      </c>
      <c r="F108" s="1154"/>
      <c r="G108" s="989" t="s">
        <v>44</v>
      </c>
      <c r="H108" s="484" t="s">
        <v>151</v>
      </c>
      <c r="I108" s="989" t="s">
        <v>45</v>
      </c>
      <c r="J108" s="207"/>
      <c r="K108" s="207"/>
      <c r="L108" s="207"/>
      <c r="M108" s="1153" t="s">
        <v>3567</v>
      </c>
      <c r="N108" s="1166" t="s">
        <v>3657</v>
      </c>
      <c r="O108" s="1154"/>
      <c r="P108" s="989" t="s">
        <v>44</v>
      </c>
      <c r="Q108" s="484" t="s">
        <v>127</v>
      </c>
      <c r="R108" s="989" t="s">
        <v>45</v>
      </c>
      <c r="S108" s="207"/>
      <c r="T108" s="207"/>
      <c r="U108" s="207"/>
      <c r="V108" s="207"/>
      <c r="W108" s="207"/>
      <c r="X108" s="207"/>
      <c r="Y108" s="207"/>
      <c r="Z108" s="207"/>
      <c r="AA108" s="207"/>
      <c r="AB108" s="207"/>
      <c r="AC108" s="207"/>
      <c r="AD108" s="207"/>
      <c r="AE108" s="207"/>
      <c r="AF108" s="207"/>
      <c r="AG108" s="207"/>
      <c r="AH108" s="207"/>
      <c r="AI108" s="207"/>
    </row>
    <row r="109" spans="1:35">
      <c r="A109" s="207"/>
      <c r="B109" s="1917"/>
      <c r="C109" s="207"/>
      <c r="D109" s="1153" t="s">
        <v>3569</v>
      </c>
      <c r="E109" s="9" t="s">
        <v>3641</v>
      </c>
      <c r="F109" s="1154"/>
      <c r="G109" s="989" t="s">
        <v>3642</v>
      </c>
      <c r="H109" s="484" t="s">
        <v>41</v>
      </c>
      <c r="I109" s="989" t="s">
        <v>94</v>
      </c>
      <c r="J109" s="207"/>
      <c r="K109" s="207"/>
      <c r="L109" s="207"/>
      <c r="M109" s="1153" t="s">
        <v>3569</v>
      </c>
      <c r="N109" s="9" t="s">
        <v>3641</v>
      </c>
      <c r="O109" s="1154"/>
      <c r="P109" s="989" t="s">
        <v>3642</v>
      </c>
      <c r="Q109" s="484" t="s">
        <v>41</v>
      </c>
      <c r="R109" s="989" t="s">
        <v>103</v>
      </c>
      <c r="S109" s="207"/>
      <c r="T109" s="207"/>
      <c r="U109" s="207"/>
      <c r="V109" s="207"/>
      <c r="W109" s="207"/>
      <c r="X109" s="207"/>
      <c r="Y109" s="207"/>
      <c r="Z109" s="207"/>
      <c r="AA109" s="207"/>
      <c r="AB109" s="207"/>
      <c r="AC109" s="207"/>
      <c r="AD109" s="207"/>
      <c r="AE109" s="207"/>
      <c r="AF109" s="207"/>
      <c r="AG109" s="207"/>
      <c r="AH109" s="207"/>
      <c r="AI109" s="207"/>
    </row>
    <row r="110" spans="1:35">
      <c r="A110" s="207"/>
      <c r="B110" s="1917"/>
      <c r="C110" s="207"/>
      <c r="D110" s="1153" t="s">
        <v>3574</v>
      </c>
      <c r="E110" s="1154" t="s">
        <v>3643</v>
      </c>
      <c r="F110" s="1154"/>
      <c r="G110" s="1155" t="s">
        <v>41</v>
      </c>
      <c r="H110" s="1156" t="s">
        <v>41</v>
      </c>
      <c r="I110" s="989" t="s">
        <v>95</v>
      </c>
      <c r="J110" s="207"/>
      <c r="K110" s="207"/>
      <c r="L110" s="207"/>
      <c r="M110" s="1153" t="s">
        <v>3574</v>
      </c>
      <c r="N110" s="1154" t="s">
        <v>3644</v>
      </c>
      <c r="O110" s="1154"/>
      <c r="P110" s="1157">
        <v>52</v>
      </c>
      <c r="Q110" s="1157" t="s">
        <v>3645</v>
      </c>
      <c r="R110" s="1158"/>
      <c r="S110" s="207"/>
      <c r="T110" s="207"/>
      <c r="U110" s="207"/>
      <c r="V110" s="207"/>
      <c r="W110" s="207"/>
      <c r="X110" s="207"/>
      <c r="Y110" s="207"/>
      <c r="Z110" s="207"/>
      <c r="AA110" s="207"/>
      <c r="AB110" s="207"/>
      <c r="AC110" s="207"/>
      <c r="AD110" s="207"/>
      <c r="AE110" s="207"/>
      <c r="AF110" s="207"/>
      <c r="AG110" s="207"/>
      <c r="AH110" s="207"/>
      <c r="AI110" s="207"/>
    </row>
    <row r="111" spans="1:35" ht="17" thickBot="1">
      <c r="A111" s="207"/>
      <c r="B111" s="1917"/>
      <c r="C111" s="207"/>
      <c r="D111" s="1153" t="s">
        <v>3575</v>
      </c>
      <c r="E111" s="1154" t="s">
        <v>3644</v>
      </c>
      <c r="F111" s="1154"/>
      <c r="G111" s="1157">
        <v>52</v>
      </c>
      <c r="H111" s="1157" t="s">
        <v>3645</v>
      </c>
      <c r="I111" s="1158"/>
      <c r="J111" s="207"/>
      <c r="K111" s="207"/>
      <c r="L111" s="207"/>
      <c r="M111" s="1159" t="s">
        <v>3575</v>
      </c>
      <c r="N111" s="1160" t="s">
        <v>3418</v>
      </c>
      <c r="O111" s="1161"/>
      <c r="P111" s="117" t="s">
        <v>3409</v>
      </c>
      <c r="Q111" s="206" t="s">
        <v>3646</v>
      </c>
      <c r="R111" s="515" t="s">
        <v>45</v>
      </c>
      <c r="S111" s="207"/>
      <c r="T111" s="207"/>
      <c r="U111" s="207"/>
      <c r="V111" s="207"/>
      <c r="W111" s="207"/>
      <c r="X111" s="207"/>
      <c r="Y111" s="207"/>
      <c r="Z111" s="207"/>
      <c r="AA111" s="207"/>
      <c r="AB111" s="207"/>
      <c r="AC111" s="207"/>
      <c r="AD111" s="207"/>
      <c r="AE111" s="207"/>
      <c r="AF111" s="207"/>
      <c r="AG111" s="207"/>
      <c r="AH111" s="207"/>
      <c r="AI111" s="207"/>
    </row>
    <row r="112" spans="1:35" ht="17" thickBot="1">
      <c r="A112" s="207"/>
      <c r="B112" s="1917"/>
      <c r="C112" s="207"/>
      <c r="D112" s="1159" t="s">
        <v>3576</v>
      </c>
      <c r="E112" s="1160" t="s">
        <v>3418</v>
      </c>
      <c r="F112" s="1161"/>
      <c r="G112" s="117" t="s">
        <v>3409</v>
      </c>
      <c r="H112" s="206" t="s">
        <v>3646</v>
      </c>
      <c r="I112" s="515" t="s">
        <v>45</v>
      </c>
      <c r="J112" s="207"/>
      <c r="K112" s="207"/>
      <c r="L112" s="207"/>
      <c r="M112" s="9"/>
      <c r="N112" s="9"/>
      <c r="O112" s="9"/>
      <c r="P112" s="9"/>
      <c r="Q112" s="9"/>
      <c r="R112" s="9"/>
      <c r="S112" s="207"/>
      <c r="T112" s="207"/>
      <c r="U112" s="207"/>
      <c r="V112" s="207"/>
      <c r="W112" s="207"/>
      <c r="X112" s="207"/>
      <c r="Y112" s="207"/>
      <c r="Z112" s="207"/>
      <c r="AA112" s="207"/>
      <c r="AB112" s="207"/>
      <c r="AC112" s="207"/>
      <c r="AD112" s="207"/>
      <c r="AE112" s="207"/>
      <c r="AF112" s="207"/>
      <c r="AG112" s="207"/>
      <c r="AH112" s="207"/>
      <c r="AI112" s="207"/>
    </row>
    <row r="113" spans="1:35" ht="17" thickBot="1">
      <c r="A113" s="207"/>
      <c r="B113" s="1917"/>
      <c r="C113" s="207"/>
      <c r="D113" s="9"/>
      <c r="E113" s="9"/>
      <c r="F113" s="9"/>
      <c r="G113" s="9"/>
      <c r="H113" s="9"/>
      <c r="I113" s="9"/>
      <c r="J113" s="207"/>
      <c r="K113" s="207"/>
      <c r="L113" s="207"/>
      <c r="M113" s="9"/>
      <c r="N113" s="9"/>
      <c r="O113" s="9"/>
      <c r="P113" s="9"/>
      <c r="Q113" s="9"/>
      <c r="R113" s="9"/>
      <c r="S113" s="207"/>
      <c r="T113" s="207"/>
      <c r="U113" s="207"/>
      <c r="V113" s="207"/>
      <c r="W113" s="207"/>
      <c r="X113" s="207"/>
      <c r="Y113" s="207"/>
      <c r="Z113" s="207"/>
      <c r="AA113" s="207"/>
      <c r="AB113" s="207"/>
      <c r="AC113" s="207"/>
      <c r="AD113" s="207"/>
      <c r="AE113" s="207"/>
      <c r="AF113" s="207"/>
      <c r="AG113" s="207"/>
      <c r="AH113" s="207"/>
      <c r="AI113" s="207"/>
    </row>
    <row r="114" spans="1:35" ht="17" thickBot="1">
      <c r="A114" s="207"/>
      <c r="B114" s="1917"/>
      <c r="C114" s="207"/>
      <c r="D114" s="2032" t="s">
        <v>70</v>
      </c>
      <c r="E114" s="2033"/>
      <c r="F114" s="2033"/>
      <c r="G114" s="2033"/>
      <c r="H114" s="2033"/>
      <c r="I114" s="2034"/>
      <c r="J114" s="207"/>
      <c r="K114" s="207"/>
      <c r="L114" s="207"/>
      <c r="M114" s="2032" t="s">
        <v>70</v>
      </c>
      <c r="N114" s="2033"/>
      <c r="O114" s="2033"/>
      <c r="P114" s="2033"/>
      <c r="Q114" s="2033"/>
      <c r="R114" s="2034"/>
      <c r="S114" s="207"/>
      <c r="T114" s="207"/>
      <c r="U114" s="207"/>
      <c r="V114" s="207"/>
      <c r="W114" s="207"/>
      <c r="X114" s="207"/>
      <c r="Y114" s="207"/>
      <c r="Z114" s="207"/>
      <c r="AA114" s="207"/>
      <c r="AB114" s="207"/>
      <c r="AC114" s="207"/>
      <c r="AD114" s="207"/>
      <c r="AE114" s="207"/>
      <c r="AF114" s="207"/>
      <c r="AG114" s="207"/>
      <c r="AH114" s="207"/>
      <c r="AI114" s="207"/>
    </row>
    <row r="115" spans="1:35">
      <c r="A115" s="207"/>
      <c r="B115" s="1917"/>
      <c r="C115" s="207"/>
      <c r="D115" s="1151" t="s">
        <v>3565</v>
      </c>
      <c r="E115" s="1162" t="s">
        <v>3647</v>
      </c>
      <c r="F115" s="1162"/>
      <c r="G115" s="1162"/>
      <c r="H115" s="1162"/>
      <c r="I115" s="1152"/>
      <c r="J115" s="207"/>
      <c r="K115" s="207"/>
      <c r="L115" s="207"/>
      <c r="M115" s="1151" t="s">
        <v>3565</v>
      </c>
      <c r="N115" s="1162" t="s">
        <v>3647</v>
      </c>
      <c r="O115" s="1162"/>
      <c r="P115" s="1162"/>
      <c r="Q115" s="1162"/>
      <c r="R115" s="1152"/>
      <c r="S115" s="207"/>
      <c r="T115" s="207"/>
      <c r="U115" s="207"/>
      <c r="V115" s="207"/>
      <c r="W115" s="207"/>
      <c r="X115" s="207"/>
      <c r="Y115" s="207"/>
      <c r="Z115" s="207"/>
      <c r="AA115" s="207"/>
      <c r="AB115" s="207"/>
      <c r="AC115" s="207"/>
      <c r="AD115" s="207"/>
      <c r="AE115" s="207"/>
      <c r="AF115" s="207"/>
      <c r="AG115" s="207"/>
      <c r="AH115" s="207"/>
      <c r="AI115" s="207"/>
    </row>
    <row r="116" spans="1:35">
      <c r="A116" s="207"/>
      <c r="B116" s="1917"/>
      <c r="C116" s="207"/>
      <c r="D116" s="1163"/>
      <c r="E116" s="1164" t="s">
        <v>3648</v>
      </c>
      <c r="F116" s="9" t="s">
        <v>3655</v>
      </c>
      <c r="G116" s="9"/>
      <c r="H116" s="9"/>
      <c r="I116" s="1154"/>
      <c r="J116" s="207"/>
      <c r="K116" s="207"/>
      <c r="L116" s="207"/>
      <c r="M116" s="1163"/>
      <c r="N116" s="1164" t="s">
        <v>3648</v>
      </c>
      <c r="O116" s="9" t="s">
        <v>3659</v>
      </c>
      <c r="P116" s="9"/>
      <c r="Q116" s="9"/>
      <c r="R116" s="1154"/>
      <c r="S116" s="207"/>
      <c r="T116" s="207"/>
      <c r="U116" s="207"/>
      <c r="V116" s="207"/>
      <c r="W116" s="207"/>
      <c r="X116" s="207"/>
      <c r="Y116" s="207"/>
      <c r="Z116" s="207"/>
      <c r="AA116" s="207"/>
      <c r="AB116" s="207"/>
      <c r="AC116" s="207"/>
      <c r="AD116" s="207"/>
      <c r="AE116" s="207"/>
      <c r="AF116" s="207"/>
      <c r="AG116" s="207"/>
      <c r="AH116" s="207"/>
      <c r="AI116" s="207"/>
    </row>
    <row r="117" spans="1:35">
      <c r="A117" s="207"/>
      <c r="B117" s="1917"/>
      <c r="C117" s="207"/>
      <c r="D117" s="1163"/>
      <c r="E117" s="1164" t="s">
        <v>3648</v>
      </c>
      <c r="F117" s="9" t="s">
        <v>3654</v>
      </c>
      <c r="G117" s="9"/>
      <c r="H117" s="9"/>
      <c r="I117" s="1154"/>
      <c r="J117" s="207"/>
      <c r="K117" s="207"/>
      <c r="L117" s="207"/>
      <c r="M117" s="1163"/>
      <c r="N117" s="1164" t="s">
        <v>3648</v>
      </c>
      <c r="O117" s="9" t="s">
        <v>3660</v>
      </c>
      <c r="P117" s="9"/>
      <c r="Q117" s="9"/>
      <c r="R117" s="1154"/>
      <c r="S117" s="207"/>
      <c r="T117" s="207"/>
      <c r="U117" s="207"/>
      <c r="V117" s="207"/>
      <c r="W117" s="207"/>
      <c r="X117" s="207"/>
      <c r="Y117" s="207"/>
      <c r="Z117" s="207"/>
      <c r="AA117" s="207"/>
      <c r="AB117" s="207"/>
      <c r="AC117" s="207"/>
      <c r="AD117" s="207"/>
      <c r="AE117" s="207"/>
      <c r="AF117" s="207"/>
      <c r="AG117" s="207"/>
      <c r="AH117" s="207"/>
      <c r="AI117" s="207"/>
    </row>
    <row r="118" spans="1:35">
      <c r="A118" s="207"/>
      <c r="B118" s="1917"/>
      <c r="C118" s="207"/>
      <c r="D118" s="1163"/>
      <c r="E118" s="9"/>
      <c r="F118" s="9"/>
      <c r="G118" s="9"/>
      <c r="H118" s="9"/>
      <c r="I118" s="1154"/>
      <c r="J118" s="207"/>
      <c r="K118" s="207"/>
      <c r="L118" s="207"/>
      <c r="M118" s="1163"/>
      <c r="N118" s="9"/>
      <c r="O118" s="9"/>
      <c r="P118" s="9"/>
      <c r="Q118" s="9"/>
      <c r="R118" s="1154"/>
      <c r="S118" s="207"/>
      <c r="T118" s="207"/>
      <c r="U118" s="207"/>
      <c r="V118" s="207"/>
      <c r="W118" s="207"/>
      <c r="X118" s="207"/>
      <c r="Y118" s="207"/>
      <c r="Z118" s="207"/>
      <c r="AA118" s="207"/>
      <c r="AB118" s="207"/>
      <c r="AC118" s="207"/>
      <c r="AD118" s="207"/>
      <c r="AE118" s="207"/>
      <c r="AF118" s="207"/>
      <c r="AG118" s="207"/>
      <c r="AH118" s="207"/>
      <c r="AI118" s="207"/>
    </row>
    <row r="119" spans="1:35">
      <c r="A119" s="207"/>
      <c r="B119" s="1917"/>
      <c r="C119" s="207"/>
      <c r="D119" s="1153" t="s">
        <v>3567</v>
      </c>
      <c r="E119" s="9" t="s">
        <v>3649</v>
      </c>
      <c r="F119" s="9"/>
      <c r="G119" s="9"/>
      <c r="H119" s="9"/>
      <c r="I119" s="1154"/>
      <c r="J119" s="207"/>
      <c r="K119" s="207"/>
      <c r="L119" s="207"/>
      <c r="M119" s="1153" t="s">
        <v>3567</v>
      </c>
      <c r="N119" s="9" t="s">
        <v>3649</v>
      </c>
      <c r="O119" s="9"/>
      <c r="P119" s="9"/>
      <c r="Q119" s="9"/>
      <c r="R119" s="1154"/>
      <c r="S119" s="207"/>
      <c r="T119" s="207"/>
      <c r="U119" s="207"/>
      <c r="V119" s="207"/>
      <c r="W119" s="207"/>
      <c r="X119" s="207"/>
      <c r="Y119" s="207"/>
      <c r="Z119" s="207"/>
      <c r="AA119" s="207"/>
      <c r="AB119" s="207"/>
      <c r="AC119" s="207"/>
      <c r="AD119" s="207"/>
      <c r="AE119" s="207"/>
      <c r="AF119" s="207"/>
      <c r="AG119" s="207"/>
      <c r="AH119" s="207"/>
      <c r="AI119" s="207"/>
    </row>
    <row r="120" spans="1:35">
      <c r="A120" s="207"/>
      <c r="B120" s="1917"/>
      <c r="C120" s="207"/>
      <c r="D120" s="1163"/>
      <c r="E120" s="1164" t="s">
        <v>3648</v>
      </c>
      <c r="F120" s="9" t="s">
        <v>3655</v>
      </c>
      <c r="G120" s="9"/>
      <c r="H120" s="9"/>
      <c r="I120" s="1154"/>
      <c r="J120" s="207"/>
      <c r="K120" s="207"/>
      <c r="L120" s="207"/>
      <c r="M120" s="1163"/>
      <c r="N120" s="1164" t="s">
        <v>3648</v>
      </c>
      <c r="O120" s="9" t="s">
        <v>3659</v>
      </c>
      <c r="P120" s="9"/>
      <c r="Q120" s="9"/>
      <c r="R120" s="1154"/>
      <c r="S120" s="207"/>
      <c r="T120" s="207"/>
      <c r="U120" s="207"/>
      <c r="V120" s="207"/>
      <c r="W120" s="207"/>
      <c r="X120" s="207"/>
      <c r="Y120" s="207"/>
      <c r="Z120" s="207"/>
      <c r="AA120" s="207"/>
      <c r="AB120" s="207"/>
      <c r="AC120" s="207"/>
      <c r="AD120" s="207"/>
      <c r="AE120" s="207"/>
      <c r="AF120" s="207"/>
      <c r="AG120" s="207"/>
      <c r="AH120" s="207"/>
      <c r="AI120" s="207"/>
    </row>
    <row r="121" spans="1:35">
      <c r="A121" s="207"/>
      <c r="B121" s="1917"/>
      <c r="C121" s="207"/>
      <c r="D121" s="1163"/>
      <c r="E121" s="1164" t="s">
        <v>3648</v>
      </c>
      <c r="F121" s="9" t="s">
        <v>3654</v>
      </c>
      <c r="G121" s="9"/>
      <c r="H121" s="9"/>
      <c r="I121" s="1154"/>
      <c r="J121" s="207"/>
      <c r="K121" s="207"/>
      <c r="L121" s="207"/>
      <c r="M121" s="1163"/>
      <c r="N121" s="1164" t="s">
        <v>3648</v>
      </c>
      <c r="O121" s="9" t="s">
        <v>3660</v>
      </c>
      <c r="P121" s="9"/>
      <c r="Q121" s="9"/>
      <c r="R121" s="1154"/>
      <c r="S121" s="207"/>
      <c r="T121" s="207"/>
      <c r="U121" s="207"/>
      <c r="V121" s="207"/>
      <c r="W121" s="207"/>
      <c r="X121" s="207"/>
      <c r="Y121" s="207"/>
      <c r="Z121" s="207"/>
      <c r="AA121" s="207"/>
      <c r="AB121" s="207"/>
      <c r="AC121" s="207"/>
      <c r="AD121" s="207"/>
      <c r="AE121" s="207"/>
      <c r="AF121" s="207"/>
      <c r="AG121" s="207"/>
      <c r="AH121" s="207"/>
      <c r="AI121" s="207"/>
    </row>
    <row r="122" spans="1:35">
      <c r="A122" s="207"/>
      <c r="B122" s="1917"/>
      <c r="C122" s="207"/>
      <c r="D122" s="1163"/>
      <c r="E122" s="9"/>
      <c r="F122" s="9"/>
      <c r="G122" s="9"/>
      <c r="H122" s="9"/>
      <c r="I122" s="1154"/>
      <c r="J122" s="207"/>
      <c r="K122" s="207"/>
      <c r="L122" s="207"/>
      <c r="M122" s="1163"/>
      <c r="N122" s="9"/>
      <c r="O122" s="9"/>
      <c r="P122" s="9"/>
      <c r="Q122" s="9"/>
      <c r="R122" s="1154"/>
      <c r="S122" s="207"/>
      <c r="T122" s="207"/>
      <c r="U122" s="207"/>
      <c r="V122" s="207"/>
      <c r="W122" s="207"/>
      <c r="X122" s="207"/>
      <c r="Y122" s="207"/>
      <c r="Z122" s="207"/>
      <c r="AA122" s="207"/>
      <c r="AB122" s="207"/>
      <c r="AC122" s="207"/>
      <c r="AD122" s="207"/>
      <c r="AE122" s="207"/>
      <c r="AF122" s="207"/>
      <c r="AG122" s="207"/>
      <c r="AH122" s="207"/>
      <c r="AI122" s="207"/>
    </row>
    <row r="123" spans="1:35">
      <c r="A123" s="207"/>
      <c r="B123" s="1917"/>
      <c r="C123" s="207"/>
      <c r="D123" s="1153" t="s">
        <v>3569</v>
      </c>
      <c r="E123" s="9" t="s">
        <v>3650</v>
      </c>
      <c r="F123" s="9"/>
      <c r="G123" s="9"/>
      <c r="H123" s="9"/>
      <c r="I123" s="1154"/>
      <c r="J123" s="207"/>
      <c r="K123" s="207"/>
      <c r="L123" s="207"/>
      <c r="M123" s="1153" t="s">
        <v>3569</v>
      </c>
      <c r="N123" s="9" t="s">
        <v>3650</v>
      </c>
      <c r="O123" s="9"/>
      <c r="P123" s="9"/>
      <c r="Q123" s="9"/>
      <c r="R123" s="1154"/>
      <c r="S123" s="207"/>
      <c r="T123" s="207"/>
      <c r="U123" s="207"/>
      <c r="V123" s="207"/>
      <c r="W123" s="207"/>
      <c r="X123" s="207"/>
      <c r="Y123" s="207"/>
      <c r="Z123" s="207"/>
      <c r="AA123" s="207"/>
      <c r="AB123" s="207"/>
      <c r="AC123" s="207"/>
      <c r="AD123" s="207"/>
      <c r="AE123" s="207"/>
      <c r="AF123" s="207"/>
      <c r="AG123" s="207"/>
      <c r="AH123" s="207"/>
      <c r="AI123" s="207"/>
    </row>
    <row r="124" spans="1:35">
      <c r="A124" s="207"/>
      <c r="B124" s="1917"/>
      <c r="C124" s="207"/>
      <c r="D124" s="1163"/>
      <c r="E124" s="1164" t="s">
        <v>3648</v>
      </c>
      <c r="F124" s="9" t="s">
        <v>3651</v>
      </c>
      <c r="G124" s="9"/>
      <c r="H124" s="9"/>
      <c r="I124" s="1154"/>
      <c r="J124" s="207"/>
      <c r="K124" s="207"/>
      <c r="L124" s="207"/>
      <c r="M124" s="1163"/>
      <c r="N124" s="1164" t="s">
        <v>3648</v>
      </c>
      <c r="O124" s="9" t="s">
        <v>3661</v>
      </c>
      <c r="P124" s="9"/>
      <c r="Q124" s="9"/>
      <c r="R124" s="1154"/>
      <c r="S124" s="207"/>
      <c r="T124" s="207"/>
      <c r="U124" s="207"/>
      <c r="V124" s="207"/>
      <c r="W124" s="207"/>
      <c r="X124" s="207"/>
      <c r="Y124" s="207"/>
      <c r="Z124" s="207"/>
      <c r="AA124" s="207"/>
      <c r="AB124" s="207"/>
      <c r="AC124" s="207"/>
      <c r="AD124" s="207"/>
      <c r="AE124" s="207"/>
      <c r="AF124" s="207"/>
      <c r="AG124" s="207"/>
      <c r="AH124" s="207"/>
      <c r="AI124" s="207"/>
    </row>
    <row r="125" spans="1:35">
      <c r="A125" s="207"/>
      <c r="B125" s="1917"/>
      <c r="C125" s="207"/>
      <c r="D125" s="1163"/>
      <c r="E125" s="9"/>
      <c r="F125" s="9"/>
      <c r="G125" s="9"/>
      <c r="H125" s="9"/>
      <c r="I125" s="1154"/>
      <c r="J125" s="207"/>
      <c r="K125" s="207"/>
      <c r="L125" s="207"/>
      <c r="M125" s="1163"/>
      <c r="N125" s="9"/>
      <c r="O125" s="9"/>
      <c r="P125" s="9"/>
      <c r="Q125" s="9"/>
      <c r="R125" s="1154"/>
      <c r="S125" s="207"/>
      <c r="T125" s="207"/>
      <c r="U125" s="207"/>
      <c r="V125" s="207"/>
      <c r="W125" s="207"/>
      <c r="X125" s="207"/>
      <c r="Y125" s="207"/>
      <c r="Z125" s="207"/>
      <c r="AA125" s="207"/>
      <c r="AB125" s="207"/>
      <c r="AC125" s="207"/>
      <c r="AD125" s="207"/>
      <c r="AE125" s="207"/>
      <c r="AF125" s="207"/>
      <c r="AG125" s="207"/>
      <c r="AH125" s="207"/>
      <c r="AI125" s="207"/>
    </row>
    <row r="126" spans="1:35">
      <c r="A126" s="207"/>
      <c r="B126" s="1917"/>
      <c r="C126" s="207"/>
      <c r="D126" s="1153" t="s">
        <v>3574</v>
      </c>
      <c r="E126" s="9" t="s">
        <v>3652</v>
      </c>
      <c r="F126" s="9"/>
      <c r="G126" s="9"/>
      <c r="H126" s="9"/>
      <c r="I126" s="1154"/>
      <c r="J126" s="207"/>
      <c r="K126" s="207"/>
      <c r="L126" s="207"/>
      <c r="M126" s="1153" t="s">
        <v>3574</v>
      </c>
      <c r="N126" s="9" t="s">
        <v>3652</v>
      </c>
      <c r="O126" s="9"/>
      <c r="P126" s="9"/>
      <c r="Q126" s="9"/>
      <c r="R126" s="1154"/>
      <c r="S126" s="207"/>
      <c r="T126" s="207"/>
      <c r="U126" s="207"/>
      <c r="V126" s="207"/>
      <c r="W126" s="207"/>
      <c r="X126" s="207"/>
      <c r="Y126" s="207"/>
      <c r="Z126" s="207"/>
      <c r="AA126" s="207"/>
      <c r="AB126" s="207"/>
      <c r="AC126" s="207"/>
      <c r="AD126" s="207"/>
      <c r="AE126" s="207"/>
      <c r="AF126" s="207"/>
      <c r="AG126" s="207"/>
      <c r="AH126" s="207"/>
      <c r="AI126" s="207"/>
    </row>
    <row r="127" spans="1:35" ht="17" thickBot="1">
      <c r="A127" s="207"/>
      <c r="B127" s="1917"/>
      <c r="C127" s="207"/>
      <c r="D127" s="78"/>
      <c r="E127" s="1165" t="s">
        <v>3648</v>
      </c>
      <c r="F127" s="1160" t="s">
        <v>3653</v>
      </c>
      <c r="G127" s="1160"/>
      <c r="H127" s="1160"/>
      <c r="I127" s="1161"/>
      <c r="J127" s="207"/>
      <c r="K127" s="207"/>
      <c r="L127" s="207"/>
      <c r="M127" s="78"/>
      <c r="N127" s="1165" t="s">
        <v>3648</v>
      </c>
      <c r="O127" s="1160" t="s">
        <v>3662</v>
      </c>
      <c r="P127" s="1160"/>
      <c r="Q127" s="1160"/>
      <c r="R127" s="1161"/>
      <c r="S127" s="207"/>
      <c r="T127" s="207"/>
      <c r="U127" s="207"/>
      <c r="V127" s="207"/>
      <c r="W127" s="207"/>
      <c r="X127" s="207"/>
      <c r="Y127" s="207"/>
      <c r="Z127" s="207"/>
      <c r="AA127" s="207"/>
      <c r="AB127" s="207"/>
      <c r="AC127" s="207"/>
      <c r="AD127" s="207"/>
      <c r="AE127" s="207"/>
      <c r="AF127" s="207"/>
      <c r="AG127" s="207"/>
      <c r="AH127" s="207"/>
      <c r="AI127" s="207"/>
    </row>
    <row r="128" spans="1:35">
      <c r="A128" s="207"/>
      <c r="B128" s="1917"/>
      <c r="C128" s="207"/>
      <c r="D128" s="285"/>
      <c r="E128" s="285"/>
      <c r="F128" s="1147"/>
      <c r="G128" s="1147"/>
      <c r="H128" s="207"/>
      <c r="I128" s="207"/>
      <c r="J128" s="207"/>
      <c r="K128" s="207"/>
      <c r="L128" s="207"/>
      <c r="M128" s="285"/>
      <c r="N128" s="285"/>
      <c r="O128" s="1147"/>
      <c r="P128" s="1147"/>
      <c r="Q128" s="207"/>
      <c r="R128" s="207"/>
      <c r="S128" s="207"/>
      <c r="T128" s="207"/>
      <c r="U128" s="207"/>
      <c r="V128" s="207"/>
      <c r="W128" s="207"/>
      <c r="X128" s="207"/>
      <c r="Y128" s="207"/>
      <c r="Z128" s="207"/>
      <c r="AA128" s="207"/>
      <c r="AB128" s="207"/>
      <c r="AC128" s="207"/>
      <c r="AD128" s="207"/>
      <c r="AE128" s="207"/>
      <c r="AF128" s="207"/>
      <c r="AG128" s="207"/>
      <c r="AH128" s="207"/>
      <c r="AI128" s="207"/>
    </row>
    <row r="129" spans="1:35">
      <c r="A129" s="207"/>
      <c r="B129" s="1917"/>
      <c r="C129" s="207"/>
      <c r="D129" s="285"/>
      <c r="E129" s="285"/>
      <c r="F129" s="1147"/>
      <c r="G129" s="1147"/>
      <c r="H129" s="207"/>
      <c r="I129" s="207"/>
      <c r="J129" s="207"/>
      <c r="K129" s="207"/>
      <c r="L129" s="207"/>
      <c r="M129" s="285"/>
      <c r="N129" s="285"/>
      <c r="O129" s="1147"/>
      <c r="P129" s="1147"/>
      <c r="Q129" s="207"/>
      <c r="R129" s="207"/>
      <c r="S129" s="207"/>
      <c r="T129" s="207"/>
      <c r="U129" s="207"/>
      <c r="V129" s="207"/>
      <c r="W129" s="207"/>
      <c r="X129" s="207"/>
      <c r="Y129" s="207"/>
      <c r="Z129" s="207"/>
      <c r="AA129" s="207"/>
      <c r="AB129" s="207"/>
      <c r="AC129" s="207"/>
      <c r="AD129" s="207"/>
      <c r="AE129" s="207"/>
      <c r="AF129" s="207"/>
      <c r="AG129" s="207"/>
      <c r="AH129" s="207"/>
      <c r="AI129" s="207"/>
    </row>
    <row r="130" spans="1:35" ht="17" thickBot="1">
      <c r="A130" s="207"/>
      <c r="B130" s="1918"/>
      <c r="C130" s="207"/>
      <c r="D130" s="285"/>
      <c r="E130" s="285"/>
      <c r="F130" s="1147"/>
      <c r="G130" s="1147"/>
      <c r="H130" s="207"/>
      <c r="I130" s="207"/>
      <c r="J130" s="207"/>
      <c r="K130" s="207"/>
      <c r="L130" s="207"/>
      <c r="M130" s="285"/>
      <c r="N130" s="285"/>
      <c r="O130" s="1147"/>
      <c r="P130" s="1147"/>
      <c r="Q130" s="207"/>
      <c r="R130" s="207"/>
      <c r="S130" s="207"/>
      <c r="T130" s="207"/>
      <c r="U130" s="207"/>
      <c r="V130" s="207"/>
      <c r="W130" s="207"/>
      <c r="X130" s="207"/>
      <c r="Y130" s="207"/>
      <c r="Z130" s="207"/>
      <c r="AA130" s="207"/>
      <c r="AB130" s="207"/>
      <c r="AC130" s="207"/>
      <c r="AD130" s="207"/>
      <c r="AE130" s="207"/>
      <c r="AF130" s="207"/>
      <c r="AG130" s="207"/>
      <c r="AH130" s="207"/>
      <c r="AI130" s="207"/>
    </row>
    <row r="131" spans="1:35">
      <c r="A131" s="207"/>
      <c r="B131" s="207"/>
      <c r="C131" s="207"/>
      <c r="D131" s="26"/>
      <c r="E131" s="207"/>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207"/>
      <c r="AD131" s="207"/>
      <c r="AE131" s="207"/>
      <c r="AF131" s="207"/>
      <c r="AG131" s="207"/>
      <c r="AH131" s="207"/>
      <c r="AI131" s="207"/>
    </row>
    <row r="132" spans="1:35" ht="17" thickBot="1">
      <c r="A132" s="214"/>
      <c r="B132" s="214"/>
      <c r="C132" s="214"/>
      <c r="D132" s="98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row>
    <row r="133" spans="1:35" ht="17" customHeight="1" thickBot="1">
      <c r="A133" s="214"/>
      <c r="B133" s="1890" t="s">
        <v>3270</v>
      </c>
      <c r="C133" s="214"/>
      <c r="D133" s="984"/>
      <c r="E133" s="214"/>
      <c r="F133" s="214"/>
      <c r="G133" s="214"/>
      <c r="H133" s="214"/>
      <c r="I133" s="214"/>
      <c r="J133" s="214"/>
      <c r="K133" s="214"/>
      <c r="L133" s="214"/>
      <c r="M133" s="214"/>
      <c r="N133" s="289"/>
      <c r="O133" s="289"/>
      <c r="P133" s="289"/>
      <c r="Q133" s="289"/>
      <c r="R133" s="289"/>
      <c r="S133" s="289"/>
      <c r="T133" s="289"/>
      <c r="U133" s="214"/>
      <c r="V133" s="214"/>
      <c r="W133" s="214"/>
      <c r="X133" s="214"/>
      <c r="Y133" s="214"/>
      <c r="Z133" s="214"/>
      <c r="AA133" s="214"/>
      <c r="AB133" s="214"/>
      <c r="AC133" s="214"/>
      <c r="AD133" s="214"/>
      <c r="AE133" s="214"/>
      <c r="AF133" s="214"/>
      <c r="AG133" s="214"/>
      <c r="AH133" s="214"/>
      <c r="AI133" s="214"/>
    </row>
    <row r="134" spans="1:35" ht="16" customHeight="1">
      <c r="A134" s="214"/>
      <c r="B134" s="1891"/>
      <c r="C134" s="214"/>
      <c r="D134" s="214"/>
      <c r="E134" s="1883" t="s">
        <v>3271</v>
      </c>
      <c r="F134" s="1884"/>
      <c r="G134" s="1884"/>
      <c r="H134" s="1884"/>
      <c r="I134" s="1885"/>
      <c r="J134" s="214"/>
      <c r="K134" s="214"/>
      <c r="L134" s="214"/>
      <c r="M134" s="1900" t="s">
        <v>3272</v>
      </c>
      <c r="N134" s="1901"/>
      <c r="O134" s="1901"/>
      <c r="P134" s="1902"/>
      <c r="Q134" s="214"/>
      <c r="R134" s="214"/>
      <c r="S134" s="289"/>
      <c r="T134" s="1900" t="s">
        <v>3273</v>
      </c>
      <c r="U134" s="1901"/>
      <c r="V134" s="1902"/>
      <c r="W134" s="213"/>
      <c r="X134" s="214"/>
      <c r="Y134" s="214"/>
      <c r="Z134" s="1900" t="s">
        <v>3274</v>
      </c>
      <c r="AA134" s="1901"/>
      <c r="AB134" s="1901"/>
      <c r="AC134" s="1902"/>
      <c r="AD134" s="214"/>
      <c r="AE134" s="214"/>
      <c r="AF134" s="214"/>
      <c r="AG134" s="214"/>
      <c r="AH134" s="214"/>
      <c r="AI134" s="214"/>
    </row>
    <row r="135" spans="1:35" ht="17" customHeight="1" thickBot="1">
      <c r="A135" s="214"/>
      <c r="B135" s="1891"/>
      <c r="C135" s="214"/>
      <c r="D135" s="214"/>
      <c r="E135" s="1886"/>
      <c r="F135" s="1887"/>
      <c r="G135" s="1887"/>
      <c r="H135" s="1887"/>
      <c r="I135" s="1888"/>
      <c r="J135" s="214"/>
      <c r="K135" s="214"/>
      <c r="L135" s="214"/>
      <c r="M135" s="1903"/>
      <c r="N135" s="1904"/>
      <c r="O135" s="1904"/>
      <c r="P135" s="1905"/>
      <c r="Q135" s="214"/>
      <c r="R135" s="214"/>
      <c r="S135" s="289"/>
      <c r="T135" s="1903"/>
      <c r="U135" s="1904"/>
      <c r="V135" s="1905"/>
      <c r="W135" s="791"/>
      <c r="X135" s="214"/>
      <c r="Y135" s="214"/>
      <c r="Z135" s="1903"/>
      <c r="AA135" s="1904"/>
      <c r="AB135" s="1904"/>
      <c r="AC135" s="1905"/>
      <c r="AD135" s="214"/>
      <c r="AE135" s="214"/>
      <c r="AF135" s="214"/>
      <c r="AG135" s="214"/>
      <c r="AH135" s="214"/>
      <c r="AI135" s="214"/>
    </row>
    <row r="136" spans="1:35" ht="16" customHeight="1">
      <c r="A136" s="214"/>
      <c r="B136" s="1891"/>
      <c r="C136" s="290"/>
      <c r="D136" s="290"/>
      <c r="E136" s="290"/>
      <c r="F136" s="290"/>
      <c r="G136" s="290"/>
      <c r="H136" s="290"/>
      <c r="I136" s="290"/>
      <c r="J136" s="290"/>
      <c r="K136" s="290"/>
      <c r="L136" s="214"/>
      <c r="M136" s="214"/>
      <c r="N136" s="214"/>
      <c r="O136" s="214"/>
      <c r="P136" s="214"/>
      <c r="Q136" s="214"/>
      <c r="R136" s="214"/>
      <c r="S136" s="289"/>
      <c r="T136" s="289"/>
      <c r="U136" s="214"/>
      <c r="V136" s="214"/>
      <c r="W136" s="214"/>
      <c r="X136" s="214"/>
      <c r="Y136" s="214"/>
      <c r="Z136" s="214"/>
      <c r="AA136" s="214"/>
      <c r="AB136" s="214"/>
      <c r="AC136" s="214"/>
      <c r="AD136" s="214"/>
      <c r="AE136" s="214"/>
      <c r="AF136" s="214"/>
      <c r="AG136" s="214"/>
      <c r="AH136" s="214"/>
      <c r="AI136" s="214"/>
    </row>
    <row r="137" spans="1:35" ht="17" customHeight="1">
      <c r="A137" s="214"/>
      <c r="B137" s="1891"/>
      <c r="C137" s="290"/>
      <c r="D137" s="546" t="s">
        <v>105</v>
      </c>
      <c r="E137" s="212" t="s">
        <v>3229</v>
      </c>
      <c r="F137" s="212"/>
      <c r="G137" s="212"/>
      <c r="H137" s="291"/>
      <c r="I137" s="291"/>
      <c r="J137" s="291"/>
      <c r="K137" s="214"/>
      <c r="L137" s="546" t="s">
        <v>242</v>
      </c>
      <c r="M137" s="212" t="s">
        <v>104</v>
      </c>
      <c r="N137" s="212"/>
      <c r="O137" s="212"/>
      <c r="P137" s="212"/>
      <c r="Q137" s="212"/>
      <c r="R137" s="289"/>
      <c r="S137" s="978" t="s">
        <v>248</v>
      </c>
      <c r="T137" s="212" t="s">
        <v>243</v>
      </c>
      <c r="U137" s="212"/>
      <c r="V137" s="212"/>
      <c r="W137" s="212"/>
      <c r="X137" s="214"/>
      <c r="Y137" s="546" t="s">
        <v>3250</v>
      </c>
      <c r="Z137" s="212" t="s">
        <v>245</v>
      </c>
      <c r="AA137" s="212"/>
      <c r="AB137" s="212"/>
      <c r="AC137" s="212"/>
      <c r="AD137" s="212"/>
      <c r="AE137" s="214"/>
      <c r="AF137" s="214"/>
      <c r="AG137" s="214"/>
      <c r="AH137" s="214"/>
      <c r="AI137" s="214"/>
    </row>
    <row r="138" spans="1:35" ht="18" thickBot="1">
      <c r="A138" s="214"/>
      <c r="B138" s="1891"/>
      <c r="C138" s="290"/>
      <c r="D138" s="981" t="s">
        <v>34</v>
      </c>
      <c r="E138" s="214" t="s">
        <v>3230</v>
      </c>
      <c r="F138" s="214"/>
      <c r="G138" s="214" t="s">
        <v>3231</v>
      </c>
      <c r="H138" s="290"/>
      <c r="I138" s="290"/>
      <c r="J138" s="290"/>
      <c r="K138" s="214"/>
      <c r="L138" s="981" t="s">
        <v>34</v>
      </c>
      <c r="M138" s="214" t="s">
        <v>88</v>
      </c>
      <c r="N138" s="214"/>
      <c r="O138" s="214"/>
      <c r="P138" s="214"/>
      <c r="Q138" s="214"/>
      <c r="R138" s="289"/>
      <c r="S138" s="981" t="s">
        <v>34</v>
      </c>
      <c r="T138" s="214" t="s">
        <v>88</v>
      </c>
      <c r="U138" s="214"/>
      <c r="V138" s="214"/>
      <c r="W138" s="214"/>
      <c r="X138" s="214"/>
      <c r="Y138" s="981" t="s">
        <v>34</v>
      </c>
      <c r="Z138" s="214" t="s">
        <v>88</v>
      </c>
      <c r="AA138" s="214"/>
      <c r="AB138" s="214"/>
      <c r="AC138" s="214"/>
      <c r="AD138" s="214"/>
      <c r="AE138" s="214"/>
      <c r="AF138" s="214"/>
      <c r="AG138" s="214"/>
      <c r="AH138" s="214"/>
      <c r="AI138" s="214"/>
    </row>
    <row r="139" spans="1:35" ht="18" thickBot="1">
      <c r="A139" s="214"/>
      <c r="B139" s="1891"/>
      <c r="C139" s="290"/>
      <c r="D139" s="981" t="s">
        <v>35</v>
      </c>
      <c r="E139" s="214" t="s">
        <v>3232</v>
      </c>
      <c r="F139" s="214"/>
      <c r="G139" s="214" t="s">
        <v>3233</v>
      </c>
      <c r="H139" s="290"/>
      <c r="I139" s="290"/>
      <c r="J139" s="290"/>
      <c r="K139" s="214"/>
      <c r="L139" s="981" t="s">
        <v>35</v>
      </c>
      <c r="M139" s="214" t="s">
        <v>89</v>
      </c>
      <c r="N139" s="214"/>
      <c r="O139" s="214"/>
      <c r="P139" s="790"/>
      <c r="Q139" s="214"/>
      <c r="R139" s="289"/>
      <c r="S139" s="981" t="s">
        <v>35</v>
      </c>
      <c r="T139" s="214" t="s">
        <v>89</v>
      </c>
      <c r="U139" s="214"/>
      <c r="V139" s="790"/>
      <c r="W139" s="214"/>
      <c r="X139" s="214"/>
      <c r="Y139" s="981" t="s">
        <v>35</v>
      </c>
      <c r="Z139" s="214" t="s">
        <v>89</v>
      </c>
      <c r="AA139" s="214"/>
      <c r="AB139" s="214"/>
      <c r="AC139" s="790"/>
      <c r="AD139" s="214"/>
      <c r="AE139" s="214"/>
      <c r="AF139" s="214"/>
      <c r="AG139" s="214"/>
      <c r="AH139" s="214"/>
      <c r="AI139" s="214"/>
    </row>
    <row r="140" spans="1:35" ht="18" thickBot="1">
      <c r="A140" s="214"/>
      <c r="B140" s="1891"/>
      <c r="C140" s="290"/>
      <c r="D140" s="981" t="s">
        <v>36</v>
      </c>
      <c r="E140" s="214" t="s">
        <v>3234</v>
      </c>
      <c r="F140" s="214"/>
      <c r="G140" s="214" t="s">
        <v>3235</v>
      </c>
      <c r="H140" s="290"/>
      <c r="I140" s="214"/>
      <c r="J140" s="214"/>
      <c r="K140" s="214"/>
      <c r="L140" s="215"/>
      <c r="M140" s="214"/>
      <c r="N140" s="1167"/>
      <c r="O140" s="214"/>
      <c r="P140" s="214"/>
      <c r="Q140" s="214"/>
      <c r="R140" s="289"/>
      <c r="S140" s="215"/>
      <c r="T140" s="214"/>
      <c r="U140" s="1167"/>
      <c r="V140" s="214"/>
      <c r="W140" s="214"/>
      <c r="X140" s="214"/>
      <c r="Y140" s="214"/>
      <c r="Z140" s="214"/>
      <c r="AA140" s="214"/>
      <c r="AB140" s="214"/>
      <c r="AC140" s="214"/>
      <c r="AD140" s="214"/>
      <c r="AE140" s="214"/>
      <c r="AF140" s="214"/>
      <c r="AG140" s="214"/>
      <c r="AH140" s="214"/>
      <c r="AI140" s="214"/>
    </row>
    <row r="141" spans="1:35" ht="17" thickBot="1">
      <c r="A141" s="214"/>
      <c r="B141" s="1891"/>
      <c r="C141" s="290"/>
      <c r="D141" s="547"/>
      <c r="E141" s="292"/>
      <c r="F141" s="214"/>
      <c r="G141" s="214"/>
      <c r="H141" s="290"/>
      <c r="I141" s="789"/>
      <c r="J141" s="290"/>
      <c r="K141" s="214"/>
      <c r="L141" s="215"/>
      <c r="M141" s="214"/>
      <c r="N141" s="1167"/>
      <c r="O141" s="214"/>
      <c r="P141" s="214"/>
      <c r="Q141" s="214"/>
      <c r="R141" s="289"/>
      <c r="S141" s="215"/>
      <c r="T141" s="214"/>
      <c r="U141" s="1167"/>
      <c r="V141" s="214"/>
      <c r="W141" s="214"/>
      <c r="X141" s="214"/>
      <c r="Y141" s="214"/>
      <c r="Z141" s="214"/>
      <c r="AA141" s="214"/>
      <c r="AB141" s="2035"/>
      <c r="AC141" s="2035"/>
      <c r="AD141" s="1167"/>
      <c r="AE141" s="214"/>
      <c r="AF141" s="214"/>
      <c r="AG141" s="214"/>
      <c r="AH141" s="214"/>
      <c r="AI141" s="214"/>
    </row>
    <row r="142" spans="1:35" ht="17">
      <c r="A142" s="214"/>
      <c r="B142" s="1891"/>
      <c r="C142" s="290"/>
      <c r="D142" s="984"/>
      <c r="E142" s="214"/>
      <c r="F142" s="214"/>
      <c r="G142" s="214"/>
      <c r="H142" s="214"/>
      <c r="I142" s="214"/>
      <c r="J142" s="290"/>
      <c r="K142" s="214"/>
      <c r="L142" s="546" t="s">
        <v>244</v>
      </c>
      <c r="M142" s="212" t="s">
        <v>3618</v>
      </c>
      <c r="N142" s="212"/>
      <c r="O142" s="212"/>
      <c r="P142" s="212"/>
      <c r="Q142" s="212"/>
      <c r="R142" s="214"/>
      <c r="S142" s="978" t="s">
        <v>3253</v>
      </c>
      <c r="T142" s="212" t="s">
        <v>3342</v>
      </c>
      <c r="U142" s="212"/>
      <c r="V142" s="212"/>
      <c r="W142" s="212"/>
      <c r="X142" s="214"/>
      <c r="Y142" s="214"/>
      <c r="Z142" s="214"/>
      <c r="AA142" s="214"/>
      <c r="AB142" s="214"/>
      <c r="AC142" s="214"/>
      <c r="AD142" s="214"/>
      <c r="AE142" s="214"/>
      <c r="AF142" s="214"/>
      <c r="AG142" s="214"/>
      <c r="AH142" s="214"/>
      <c r="AI142" s="214"/>
    </row>
    <row r="143" spans="1:35" ht="18" thickBot="1">
      <c r="A143" s="214"/>
      <c r="B143" s="1891"/>
      <c r="C143" s="290"/>
      <c r="D143" s="546" t="s">
        <v>109</v>
      </c>
      <c r="E143" s="293" t="s">
        <v>3625</v>
      </c>
      <c r="F143" s="212"/>
      <c r="G143" s="212"/>
      <c r="H143" s="291"/>
      <c r="I143" s="294"/>
      <c r="J143" s="291"/>
      <c r="K143" s="214"/>
      <c r="L143" s="981" t="s">
        <v>34</v>
      </c>
      <c r="M143" s="214" t="s">
        <v>143</v>
      </c>
      <c r="N143" s="214"/>
      <c r="O143" s="214"/>
      <c r="P143" s="214"/>
      <c r="Q143" s="214"/>
      <c r="R143" s="214"/>
      <c r="S143" s="981" t="s">
        <v>34</v>
      </c>
      <c r="T143" s="214" t="s">
        <v>147</v>
      </c>
      <c r="U143" s="214"/>
      <c r="V143" s="214"/>
      <c r="W143" s="214"/>
      <c r="X143" s="214"/>
      <c r="Y143" s="214"/>
      <c r="Z143" s="214"/>
      <c r="AA143" s="214"/>
      <c r="AB143" s="214"/>
      <c r="AC143" s="214"/>
      <c r="AD143" s="214"/>
      <c r="AE143" s="214"/>
      <c r="AF143" s="214"/>
      <c r="AG143" s="214"/>
      <c r="AH143" s="214"/>
      <c r="AI143" s="214"/>
    </row>
    <row r="144" spans="1:35" ht="18" thickBot="1">
      <c r="A144" s="214"/>
      <c r="B144" s="1891"/>
      <c r="C144" s="290"/>
      <c r="D144" s="984"/>
      <c r="E144" s="215" t="s">
        <v>73</v>
      </c>
      <c r="F144" s="214"/>
      <c r="G144" s="790"/>
      <c r="H144" s="2035"/>
      <c r="I144" s="2035"/>
      <c r="J144" s="1167"/>
      <c r="K144" s="214"/>
      <c r="L144" s="981" t="s">
        <v>35</v>
      </c>
      <c r="M144" s="214" t="s">
        <v>3237</v>
      </c>
      <c r="N144" s="214"/>
      <c r="O144" s="214"/>
      <c r="P144" s="214"/>
      <c r="Q144" s="214"/>
      <c r="R144" s="214"/>
      <c r="S144" s="981" t="s">
        <v>35</v>
      </c>
      <c r="T144" s="214" t="s">
        <v>146</v>
      </c>
      <c r="U144" s="214"/>
      <c r="V144" s="790"/>
      <c r="W144" s="214"/>
      <c r="X144" s="214"/>
      <c r="Y144" s="214"/>
      <c r="Z144" s="214"/>
      <c r="AA144" s="214"/>
      <c r="AB144" s="214"/>
      <c r="AC144" s="214"/>
      <c r="AD144" s="214"/>
      <c r="AE144" s="214"/>
      <c r="AF144" s="214"/>
      <c r="AG144" s="214"/>
      <c r="AH144" s="214"/>
      <c r="AI144" s="214"/>
    </row>
    <row r="145" spans="1:35" ht="17">
      <c r="A145" s="214"/>
      <c r="B145" s="1891"/>
      <c r="C145" s="290"/>
      <c r="D145" s="290"/>
      <c r="E145" s="290"/>
      <c r="F145" s="290"/>
      <c r="G145" s="290"/>
      <c r="H145" s="290"/>
      <c r="I145" s="214"/>
      <c r="J145" s="214"/>
      <c r="K145" s="214"/>
      <c r="L145" s="981" t="s">
        <v>36</v>
      </c>
      <c r="M145" s="215" t="s">
        <v>107</v>
      </c>
      <c r="N145" s="214"/>
      <c r="O145" s="214"/>
      <c r="P145" s="214"/>
      <c r="Q145" s="214"/>
      <c r="R145" s="214"/>
      <c r="S145" s="214"/>
      <c r="T145" s="214"/>
      <c r="U145" s="214"/>
      <c r="V145" s="214"/>
      <c r="W145" s="214"/>
      <c r="X145" s="214"/>
      <c r="Y145" s="214"/>
      <c r="Z145" s="214"/>
      <c r="AA145" s="214"/>
      <c r="AB145" s="214"/>
      <c r="AC145" s="214"/>
      <c r="AD145" s="214"/>
      <c r="AE145" s="214"/>
      <c r="AF145" s="214"/>
      <c r="AG145" s="214"/>
      <c r="AH145" s="214"/>
      <c r="AI145" s="214"/>
    </row>
    <row r="146" spans="1:35" ht="18" thickBot="1">
      <c r="A146" s="214"/>
      <c r="B146" s="1891"/>
      <c r="C146" s="290"/>
      <c r="D146" s="290"/>
      <c r="E146" s="290"/>
      <c r="F146" s="290"/>
      <c r="G146" s="290"/>
      <c r="H146" s="290"/>
      <c r="I146" s="290"/>
      <c r="J146" s="290"/>
      <c r="K146" s="214"/>
      <c r="L146" s="981" t="s">
        <v>37</v>
      </c>
      <c r="M146" s="215" t="s">
        <v>108</v>
      </c>
      <c r="N146" s="214"/>
      <c r="O146" s="214"/>
      <c r="P146" s="214"/>
      <c r="Q146" s="214"/>
      <c r="R146" s="214"/>
      <c r="S146" s="214"/>
      <c r="T146" s="214"/>
      <c r="U146" s="2035"/>
      <c r="V146" s="2035"/>
      <c r="W146" s="1167"/>
      <c r="X146" s="214"/>
      <c r="Y146" s="214"/>
      <c r="Z146" s="214"/>
      <c r="AA146" s="214"/>
      <c r="AB146" s="214"/>
      <c r="AC146" s="214"/>
      <c r="AD146" s="214"/>
      <c r="AE146" s="214"/>
      <c r="AF146" s="214"/>
      <c r="AG146" s="214"/>
      <c r="AH146" s="214"/>
      <c r="AI146" s="214"/>
    </row>
    <row r="147" spans="1:35" ht="17" thickBot="1">
      <c r="A147" s="214"/>
      <c r="B147" s="1891"/>
      <c r="C147" s="290"/>
      <c r="D147" s="214"/>
      <c r="E147" s="214"/>
      <c r="F147" s="214"/>
      <c r="G147" s="214"/>
      <c r="H147" s="214"/>
      <c r="I147" s="295"/>
      <c r="J147" s="295"/>
      <c r="K147" s="214"/>
      <c r="L147" s="981"/>
      <c r="M147" s="215"/>
      <c r="N147" s="214"/>
      <c r="O147" s="214"/>
      <c r="P147" s="789"/>
      <c r="Q147" s="214"/>
      <c r="R147" s="214"/>
      <c r="S147" s="214"/>
      <c r="T147" s="214"/>
      <c r="U147" s="214"/>
      <c r="V147" s="214"/>
      <c r="W147" s="214"/>
      <c r="X147" s="214"/>
      <c r="Y147" s="214"/>
      <c r="Z147" s="214"/>
      <c r="AA147" s="214"/>
      <c r="AB147" s="214"/>
      <c r="AC147" s="214"/>
      <c r="AD147" s="214"/>
      <c r="AE147" s="214"/>
      <c r="AF147" s="214"/>
      <c r="AG147" s="214"/>
      <c r="AH147" s="214"/>
      <c r="AI147" s="214"/>
    </row>
    <row r="148" spans="1:35">
      <c r="A148" s="214"/>
      <c r="B148" s="1891"/>
      <c r="C148" s="290"/>
      <c r="D148" s="214"/>
      <c r="E148" s="214"/>
      <c r="F148" s="214"/>
      <c r="G148" s="214"/>
      <c r="H148" s="214"/>
      <c r="I148" s="290"/>
      <c r="J148" s="290"/>
      <c r="K148" s="214"/>
      <c r="L148" s="984"/>
      <c r="M148" s="984"/>
      <c r="N148" s="214"/>
      <c r="O148" s="214"/>
      <c r="P148" s="214"/>
      <c r="Q148" s="214"/>
      <c r="R148" s="214"/>
      <c r="S148" s="214"/>
      <c r="T148" s="214"/>
      <c r="U148" s="214"/>
      <c r="V148" s="214"/>
      <c r="W148" s="214"/>
      <c r="X148" s="214"/>
      <c r="Y148" s="214"/>
      <c r="Z148" s="214"/>
      <c r="AA148" s="214"/>
      <c r="AB148" s="214"/>
      <c r="AC148" s="214"/>
      <c r="AD148" s="214"/>
      <c r="AE148" s="214"/>
      <c r="AF148" s="214"/>
      <c r="AG148" s="214"/>
      <c r="AH148" s="214"/>
      <c r="AI148" s="214"/>
    </row>
    <row r="149" spans="1:35" ht="18" thickBot="1">
      <c r="A149" s="214"/>
      <c r="B149" s="1891"/>
      <c r="C149" s="290"/>
      <c r="D149" s="214"/>
      <c r="E149" s="214"/>
      <c r="F149" s="214"/>
      <c r="G149" s="214"/>
      <c r="H149" s="214"/>
      <c r="I149" s="290"/>
      <c r="J149" s="290"/>
      <c r="K149" s="214"/>
      <c r="L149" s="546" t="s">
        <v>246</v>
      </c>
      <c r="M149" s="212" t="s">
        <v>3619</v>
      </c>
      <c r="N149" s="212"/>
      <c r="O149" s="212"/>
      <c r="P149" s="212"/>
      <c r="Q149" s="212"/>
      <c r="R149" s="214"/>
      <c r="S149" s="214"/>
      <c r="T149" s="214"/>
      <c r="U149" s="214"/>
      <c r="V149" s="214"/>
      <c r="W149" s="214"/>
      <c r="X149" s="214"/>
      <c r="Y149" s="214"/>
      <c r="Z149" s="214"/>
      <c r="AA149" s="214"/>
      <c r="AB149" s="214"/>
      <c r="AC149" s="214"/>
      <c r="AD149" s="214"/>
      <c r="AE149" s="214"/>
      <c r="AF149" s="214"/>
      <c r="AG149" s="214"/>
      <c r="AH149" s="214"/>
      <c r="AI149" s="214"/>
    </row>
    <row r="150" spans="1:35" ht="17" thickBot="1">
      <c r="A150" s="214"/>
      <c r="B150" s="1891"/>
      <c r="C150" s="290"/>
      <c r="D150" s="290"/>
      <c r="E150" s="290"/>
      <c r="F150" s="290"/>
      <c r="G150" s="290"/>
      <c r="H150" s="290"/>
      <c r="I150" s="290"/>
      <c r="J150" s="290"/>
      <c r="K150" s="214"/>
      <c r="L150" s="984"/>
      <c r="M150" s="215" t="s">
        <v>3241</v>
      </c>
      <c r="N150" s="790"/>
      <c r="O150" s="214"/>
      <c r="P150" s="214"/>
      <c r="Q150" s="214"/>
      <c r="R150" s="214"/>
      <c r="S150" s="214"/>
      <c r="T150" s="214"/>
      <c r="U150" s="214"/>
      <c r="V150" s="214"/>
      <c r="W150" s="214"/>
      <c r="X150" s="214"/>
      <c r="Y150" s="214"/>
      <c r="Z150" s="214"/>
      <c r="AA150" s="214"/>
      <c r="AB150" s="214"/>
      <c r="AC150" s="214"/>
      <c r="AD150" s="214"/>
      <c r="AE150" s="214"/>
      <c r="AF150" s="214"/>
      <c r="AG150" s="214"/>
      <c r="AH150" s="214"/>
      <c r="AI150" s="214"/>
    </row>
    <row r="151" spans="1:35" ht="17" thickBot="1">
      <c r="A151" s="214"/>
      <c r="B151" s="1891"/>
      <c r="C151" s="290"/>
      <c r="D151" s="290"/>
      <c r="E151" s="290"/>
      <c r="F151" s="290"/>
      <c r="G151" s="290"/>
      <c r="H151" s="290"/>
      <c r="I151" s="290"/>
      <c r="J151" s="290"/>
      <c r="K151" s="289"/>
      <c r="L151" s="984"/>
      <c r="M151" s="215" t="s">
        <v>3243</v>
      </c>
      <c r="N151" s="790"/>
      <c r="O151" s="2035"/>
      <c r="P151" s="2035"/>
      <c r="Q151" s="1167"/>
      <c r="R151" s="214"/>
      <c r="S151" s="214"/>
      <c r="T151" s="214"/>
      <c r="U151" s="214"/>
      <c r="V151" s="214"/>
      <c r="W151" s="214"/>
      <c r="X151" s="214"/>
      <c r="Y151" s="214"/>
      <c r="Z151" s="214"/>
      <c r="AA151" s="214"/>
      <c r="AB151" s="214"/>
      <c r="AC151" s="214"/>
      <c r="AD151" s="214"/>
      <c r="AE151" s="214"/>
      <c r="AF151" s="214"/>
      <c r="AG151" s="214"/>
      <c r="AH151" s="214"/>
      <c r="AI151" s="214"/>
    </row>
    <row r="152" spans="1:35">
      <c r="A152" s="214"/>
      <c r="B152" s="1891"/>
      <c r="C152" s="290"/>
      <c r="D152" s="290"/>
      <c r="E152" s="290"/>
      <c r="F152" s="290"/>
      <c r="G152" s="290"/>
      <c r="H152" s="290"/>
      <c r="I152" s="290"/>
      <c r="J152" s="290"/>
      <c r="K152" s="296"/>
      <c r="L152" s="289"/>
      <c r="M152" s="289"/>
      <c r="N152" s="289"/>
      <c r="O152" s="214"/>
      <c r="P152" s="214"/>
      <c r="Q152" s="214"/>
      <c r="R152" s="214"/>
      <c r="S152" s="214"/>
      <c r="T152" s="214"/>
      <c r="U152" s="214"/>
      <c r="V152" s="214"/>
      <c r="W152" s="214"/>
      <c r="X152" s="214"/>
      <c r="Y152" s="214"/>
      <c r="Z152" s="214"/>
      <c r="AA152" s="214"/>
      <c r="AB152" s="214"/>
      <c r="AC152" s="214"/>
      <c r="AD152" s="214"/>
      <c r="AE152" s="214"/>
      <c r="AF152" s="214"/>
      <c r="AG152" s="214"/>
      <c r="AH152" s="214"/>
      <c r="AI152" s="214"/>
    </row>
    <row r="153" spans="1:35" ht="19" customHeight="1">
      <c r="A153" s="214"/>
      <c r="B153" s="1891"/>
      <c r="C153" s="290"/>
      <c r="D153" s="290"/>
      <c r="E153" s="290"/>
      <c r="F153" s="290"/>
      <c r="G153" s="290"/>
      <c r="H153" s="290"/>
      <c r="I153" s="290"/>
      <c r="J153" s="290"/>
      <c r="K153" s="290"/>
      <c r="L153" s="290"/>
      <c r="M153" s="295"/>
      <c r="N153" s="295"/>
      <c r="O153" s="289"/>
      <c r="P153" s="289"/>
      <c r="Q153" s="289"/>
      <c r="R153" s="289"/>
      <c r="S153" s="290"/>
      <c r="T153" s="295"/>
      <c r="U153" s="295"/>
      <c r="V153" s="289"/>
      <c r="W153" s="289"/>
      <c r="X153" s="289"/>
      <c r="Y153" s="289"/>
      <c r="Z153" s="289"/>
      <c r="AA153" s="289"/>
      <c r="AB153" s="289"/>
      <c r="AC153" s="214"/>
      <c r="AD153" s="214"/>
      <c r="AE153" s="214"/>
      <c r="AF153" s="214"/>
      <c r="AG153" s="214"/>
      <c r="AH153" s="214"/>
      <c r="AI153" s="214"/>
    </row>
    <row r="154" spans="1:35" ht="17" thickBot="1">
      <c r="A154" s="214"/>
      <c r="B154" s="1891"/>
      <c r="C154" s="290"/>
      <c r="D154" s="1170" t="s">
        <v>3669</v>
      </c>
      <c r="E154" s="1170"/>
      <c r="F154" s="1170"/>
      <c r="G154" s="1170"/>
      <c r="H154" s="1170"/>
      <c r="I154" s="1170"/>
      <c r="J154" s="290"/>
      <c r="K154" s="290"/>
      <c r="L154" s="1170" t="s">
        <v>3686</v>
      </c>
      <c r="M154" s="1170"/>
      <c r="N154" s="1170"/>
      <c r="O154" s="1170"/>
      <c r="P154" s="1170"/>
      <c r="Q154" s="1170"/>
      <c r="R154" s="289"/>
      <c r="S154" s="1192" t="s">
        <v>3687</v>
      </c>
      <c r="T154" s="1192"/>
      <c r="U154" s="1192"/>
      <c r="V154" s="1192"/>
      <c r="W154" s="1192"/>
      <c r="X154" s="1192"/>
      <c r="Y154" s="289"/>
      <c r="Z154" s="289"/>
      <c r="AA154" s="289"/>
      <c r="AB154" s="289"/>
      <c r="AC154" s="214"/>
      <c r="AD154" s="214"/>
      <c r="AE154" s="214"/>
      <c r="AF154" s="214"/>
      <c r="AG154" s="214"/>
      <c r="AH154" s="214"/>
      <c r="AI154" s="214"/>
    </row>
    <row r="155" spans="1:35" ht="17" thickBot="1">
      <c r="A155" s="214"/>
      <c r="B155" s="1891"/>
      <c r="C155" s="290"/>
      <c r="D155" s="2029" t="s">
        <v>69</v>
      </c>
      <c r="E155" s="2030"/>
      <c r="F155" s="2031"/>
      <c r="G155" s="1171" t="s">
        <v>3562</v>
      </c>
      <c r="H155" s="1172" t="s">
        <v>3563</v>
      </c>
      <c r="I155" s="1187" t="s">
        <v>3564</v>
      </c>
      <c r="J155" s="290"/>
      <c r="K155" s="290"/>
      <c r="L155" s="2029" t="s">
        <v>69</v>
      </c>
      <c r="M155" s="2030"/>
      <c r="N155" s="2031"/>
      <c r="O155" s="1171" t="s">
        <v>3562</v>
      </c>
      <c r="P155" s="1172" t="s">
        <v>3563</v>
      </c>
      <c r="Q155" s="1187" t="s">
        <v>3564</v>
      </c>
      <c r="R155" s="289"/>
      <c r="S155" s="2020" t="s">
        <v>69</v>
      </c>
      <c r="T155" s="2021"/>
      <c r="U155" s="2022"/>
      <c r="V155" s="1193" t="s">
        <v>3562</v>
      </c>
      <c r="W155" s="1194" t="s">
        <v>3563</v>
      </c>
      <c r="X155" s="1195" t="s">
        <v>3564</v>
      </c>
      <c r="Y155" s="289"/>
      <c r="Z155" s="289"/>
      <c r="AA155" s="289"/>
      <c r="AB155" s="289"/>
      <c r="AC155" s="214"/>
      <c r="AD155" s="214"/>
      <c r="AE155" s="214"/>
      <c r="AF155" s="214"/>
      <c r="AG155" s="214"/>
      <c r="AH155" s="214"/>
      <c r="AI155" s="214"/>
    </row>
    <row r="156" spans="1:35">
      <c r="A156" s="214"/>
      <c r="B156" s="1891"/>
      <c r="C156" s="290"/>
      <c r="D156" s="1173" t="s">
        <v>3565</v>
      </c>
      <c r="E156" s="1174" t="s">
        <v>3638</v>
      </c>
      <c r="F156" s="1175"/>
      <c r="G156" s="226" t="s">
        <v>3244</v>
      </c>
      <c r="H156" s="526" t="s">
        <v>3671</v>
      </c>
      <c r="I156" s="227" t="s">
        <v>105</v>
      </c>
      <c r="J156" s="290"/>
      <c r="K156" s="290"/>
      <c r="L156" s="1173" t="s">
        <v>3565</v>
      </c>
      <c r="M156" s="1174" t="s">
        <v>3638</v>
      </c>
      <c r="N156" s="1175"/>
      <c r="O156" s="225" t="s">
        <v>3244</v>
      </c>
      <c r="P156" s="526" t="s">
        <v>3676</v>
      </c>
      <c r="Q156" s="526" t="s">
        <v>244</v>
      </c>
      <c r="R156" s="289"/>
      <c r="S156" s="1196" t="s">
        <v>3565</v>
      </c>
      <c r="T156" s="1192" t="s">
        <v>3638</v>
      </c>
      <c r="U156" s="1197"/>
      <c r="V156" s="1198" t="s">
        <v>3244</v>
      </c>
      <c r="W156" s="1198" t="s">
        <v>3688</v>
      </c>
      <c r="X156" s="1199" t="s">
        <v>3253</v>
      </c>
      <c r="Y156" s="289"/>
      <c r="Z156" s="289"/>
      <c r="AA156" s="289"/>
      <c r="AB156" s="289"/>
      <c r="AC156" s="214"/>
      <c r="AD156" s="214"/>
      <c r="AE156" s="214"/>
      <c r="AF156" s="214"/>
      <c r="AG156" s="214"/>
      <c r="AH156" s="214"/>
      <c r="AI156" s="214"/>
    </row>
    <row r="157" spans="1:35">
      <c r="A157" s="214"/>
      <c r="B157" s="1891"/>
      <c r="C157" s="290"/>
      <c r="D157" s="1176" t="s">
        <v>3567</v>
      </c>
      <c r="E157" s="1177" t="s">
        <v>3760</v>
      </c>
      <c r="F157" s="1178"/>
      <c r="G157" s="227" t="s">
        <v>3242</v>
      </c>
      <c r="H157" s="528" t="s">
        <v>3672</v>
      </c>
      <c r="I157" s="227" t="s">
        <v>105</v>
      </c>
      <c r="J157" s="290"/>
      <c r="K157" s="313"/>
      <c r="L157" s="1176" t="s">
        <v>3567</v>
      </c>
      <c r="M157" s="1177" t="s">
        <v>3760</v>
      </c>
      <c r="N157" s="1178"/>
      <c r="O157" s="217" t="s">
        <v>3242</v>
      </c>
      <c r="P157" s="528" t="s">
        <v>3677</v>
      </c>
      <c r="Q157" s="528" t="s">
        <v>244</v>
      </c>
      <c r="R157" s="289"/>
      <c r="S157" s="1196" t="s">
        <v>3567</v>
      </c>
      <c r="T157" s="1177" t="s">
        <v>3760</v>
      </c>
      <c r="U157" s="1197"/>
      <c r="V157" s="1199" t="s">
        <v>3242</v>
      </c>
      <c r="W157" s="1199" t="s">
        <v>3689</v>
      </c>
      <c r="X157" s="1199" t="s">
        <v>105</v>
      </c>
      <c r="Y157" s="289"/>
      <c r="Z157" s="289"/>
      <c r="AA157" s="289"/>
      <c r="AB157" s="289"/>
      <c r="AC157" s="214"/>
      <c r="AD157" s="214"/>
      <c r="AE157" s="214"/>
      <c r="AF157" s="214"/>
      <c r="AG157" s="214"/>
      <c r="AH157" s="214"/>
      <c r="AI157" s="214"/>
    </row>
    <row r="158" spans="1:35">
      <c r="A158" s="214"/>
      <c r="B158" s="1891"/>
      <c r="C158" s="290"/>
      <c r="D158" s="1176" t="s">
        <v>3569</v>
      </c>
      <c r="E158" s="1177" t="s">
        <v>3670</v>
      </c>
      <c r="F158" s="1178"/>
      <c r="G158" s="227" t="s">
        <v>41</v>
      </c>
      <c r="H158" s="528" t="s">
        <v>41</v>
      </c>
      <c r="I158" s="227" t="s">
        <v>109</v>
      </c>
      <c r="J158" s="290"/>
      <c r="K158" s="313"/>
      <c r="L158" s="1176" t="s">
        <v>3569</v>
      </c>
      <c r="M158" s="1177" t="s">
        <v>3684</v>
      </c>
      <c r="N158" s="1178"/>
      <c r="O158" s="217" t="s">
        <v>3322</v>
      </c>
      <c r="P158" s="528" t="s">
        <v>41</v>
      </c>
      <c r="Q158" s="528" t="s">
        <v>246</v>
      </c>
      <c r="R158" s="289"/>
      <c r="S158" s="1196" t="s">
        <v>3569</v>
      </c>
      <c r="T158" s="1192" t="s">
        <v>3248</v>
      </c>
      <c r="U158" s="1200"/>
      <c r="V158" s="1199" t="s">
        <v>41</v>
      </c>
      <c r="W158" s="1199" t="s">
        <v>41</v>
      </c>
      <c r="X158" s="1199" t="s">
        <v>3253</v>
      </c>
      <c r="Y158" s="289"/>
      <c r="Z158" s="289"/>
      <c r="AA158" s="289"/>
      <c r="AB158" s="289"/>
      <c r="AC158" s="214"/>
      <c r="AD158" s="214"/>
      <c r="AE158" s="214"/>
      <c r="AF158" s="214"/>
      <c r="AG158" s="214"/>
      <c r="AH158" s="214"/>
      <c r="AI158" s="214"/>
    </row>
    <row r="159" spans="1:35" ht="17" thickBot="1">
      <c r="A159" s="214"/>
      <c r="B159" s="1891"/>
      <c r="C159" s="290"/>
      <c r="D159" s="1179" t="s">
        <v>3574</v>
      </c>
      <c r="E159" s="1180" t="s">
        <v>3418</v>
      </c>
      <c r="F159" s="1181"/>
      <c r="G159" s="1182" t="s">
        <v>3409</v>
      </c>
      <c r="H159" s="1060" t="s">
        <v>141</v>
      </c>
      <c r="I159" s="560" t="s">
        <v>41</v>
      </c>
      <c r="J159" s="290"/>
      <c r="K159" s="290"/>
      <c r="L159" s="1191" t="s">
        <v>3574</v>
      </c>
      <c r="M159" s="1177" t="s">
        <v>3685</v>
      </c>
      <c r="N159" s="307"/>
      <c r="O159" s="217" t="s">
        <v>3322</v>
      </c>
      <c r="P159" s="528" t="s">
        <v>41</v>
      </c>
      <c r="Q159" s="528" t="s">
        <v>246</v>
      </c>
      <c r="R159" s="289"/>
      <c r="S159" s="1196" t="s">
        <v>3574</v>
      </c>
      <c r="T159" s="1192" t="s">
        <v>3670</v>
      </c>
      <c r="U159" s="1200"/>
      <c r="V159" s="1199" t="s">
        <v>41</v>
      </c>
      <c r="W159" s="1199" t="s">
        <v>41</v>
      </c>
      <c r="X159" s="1199" t="s">
        <v>109</v>
      </c>
      <c r="Y159" s="289"/>
      <c r="Z159" s="289"/>
      <c r="AA159" s="289"/>
      <c r="AB159" s="289"/>
      <c r="AC159" s="214"/>
      <c r="AD159" s="214"/>
      <c r="AE159" s="214"/>
      <c r="AF159" s="214"/>
      <c r="AG159" s="214"/>
      <c r="AH159" s="214"/>
      <c r="AI159" s="214"/>
    </row>
    <row r="160" spans="1:35" ht="17" thickBot="1">
      <c r="A160" s="214"/>
      <c r="B160" s="1891"/>
      <c r="C160" s="290"/>
      <c r="D160" s="1186"/>
      <c r="E160" s="1177"/>
      <c r="F160" s="1177"/>
      <c r="G160" s="980"/>
      <c r="H160" s="980"/>
      <c r="I160" s="217"/>
      <c r="J160" s="290"/>
      <c r="K160" s="216"/>
      <c r="L160" s="1191" t="s">
        <v>3575</v>
      </c>
      <c r="M160" s="289" t="s">
        <v>3678</v>
      </c>
      <c r="N160" s="307"/>
      <c r="O160" s="984" t="s">
        <v>3245</v>
      </c>
      <c r="P160" s="1189">
        <v>21</v>
      </c>
      <c r="Q160" s="1190" t="s">
        <v>3645</v>
      </c>
      <c r="R160" s="289"/>
      <c r="S160" s="1201" t="s">
        <v>3575</v>
      </c>
      <c r="T160" s="1202" t="s">
        <v>3418</v>
      </c>
      <c r="U160" s="1203"/>
      <c r="V160" s="1204" t="s">
        <v>3409</v>
      </c>
      <c r="W160" s="1204" t="s">
        <v>141</v>
      </c>
      <c r="X160" s="1205" t="s">
        <v>41</v>
      </c>
      <c r="Y160" s="289"/>
      <c r="Z160" s="289"/>
      <c r="AA160" s="289"/>
      <c r="AB160" s="289"/>
      <c r="AC160" s="214"/>
      <c r="AD160" s="214"/>
      <c r="AE160" s="214"/>
      <c r="AF160" s="214"/>
      <c r="AG160" s="214"/>
      <c r="AH160" s="214"/>
      <c r="AI160" s="214"/>
    </row>
    <row r="161" spans="1:35">
      <c r="A161" s="214"/>
      <c r="B161" s="1891"/>
      <c r="C161" s="290"/>
      <c r="D161" s="1170"/>
      <c r="E161" s="1170"/>
      <c r="F161" s="1170"/>
      <c r="G161" s="1170"/>
      <c r="H161" s="1170"/>
      <c r="I161" s="1170"/>
      <c r="J161" s="290"/>
      <c r="K161" s="216"/>
      <c r="L161" s="1191" t="s">
        <v>3576</v>
      </c>
      <c r="M161" s="289" t="s">
        <v>3679</v>
      </c>
      <c r="N161" s="307"/>
      <c r="O161" s="984" t="s">
        <v>3245</v>
      </c>
      <c r="P161" s="1189">
        <v>32</v>
      </c>
      <c r="Q161" s="1190" t="s">
        <v>3645</v>
      </c>
      <c r="R161" s="289"/>
      <c r="S161" s="1192"/>
      <c r="T161" s="1192"/>
      <c r="U161" s="1192"/>
      <c r="V161" s="1192"/>
      <c r="W161" s="1192"/>
      <c r="X161" s="1192"/>
      <c r="Y161" s="289"/>
      <c r="Z161" s="289"/>
      <c r="AA161" s="289"/>
      <c r="AB161" s="289"/>
      <c r="AC161" s="214"/>
      <c r="AD161" s="214"/>
      <c r="AE161" s="214"/>
      <c r="AF161" s="214"/>
      <c r="AG161" s="214"/>
      <c r="AH161" s="214"/>
      <c r="AI161" s="214"/>
    </row>
    <row r="162" spans="1:35">
      <c r="A162" s="214"/>
      <c r="B162" s="1891"/>
      <c r="C162" s="290"/>
      <c r="D162" s="1170"/>
      <c r="E162" s="1170"/>
      <c r="F162" s="1170"/>
      <c r="G162" s="1170"/>
      <c r="H162" s="1170"/>
      <c r="I162" s="1170"/>
      <c r="J162" s="290"/>
      <c r="K162" s="218"/>
      <c r="L162" s="1191" t="s">
        <v>3577</v>
      </c>
      <c r="M162" s="1177" t="s">
        <v>3670</v>
      </c>
      <c r="N162" s="307"/>
      <c r="O162" s="984"/>
      <c r="P162" s="528"/>
      <c r="Q162" s="528" t="s">
        <v>109</v>
      </c>
      <c r="R162" s="289"/>
      <c r="S162" s="1192"/>
      <c r="T162" s="1192"/>
      <c r="U162" s="1192"/>
      <c r="V162" s="1192"/>
      <c r="W162" s="1192"/>
      <c r="X162" s="1192"/>
      <c r="Y162" s="289"/>
      <c r="Z162" s="289"/>
      <c r="AA162" s="289"/>
      <c r="AB162" s="289"/>
      <c r="AC162" s="214"/>
      <c r="AD162" s="214"/>
      <c r="AE162" s="214"/>
      <c r="AF162" s="214"/>
      <c r="AG162" s="214"/>
      <c r="AH162" s="214"/>
      <c r="AI162" s="214"/>
    </row>
    <row r="163" spans="1:35" ht="17" thickBot="1">
      <c r="A163" s="214"/>
      <c r="B163" s="1891"/>
      <c r="C163" s="290"/>
      <c r="D163" s="214"/>
      <c r="E163" s="214"/>
      <c r="F163" s="214"/>
      <c r="G163" s="214"/>
      <c r="H163" s="214"/>
      <c r="I163" s="214"/>
      <c r="J163" s="290"/>
      <c r="K163" s="290"/>
      <c r="L163" s="1179" t="s">
        <v>3578</v>
      </c>
      <c r="M163" s="1180" t="s">
        <v>3418</v>
      </c>
      <c r="N163" s="1181"/>
      <c r="O163" s="1188" t="s">
        <v>3409</v>
      </c>
      <c r="P163" s="1060" t="s">
        <v>141</v>
      </c>
      <c r="Q163" s="527" t="s">
        <v>41</v>
      </c>
      <c r="R163" s="289"/>
      <c r="S163" s="214"/>
      <c r="T163" s="214"/>
      <c r="U163" s="214"/>
      <c r="V163" s="214"/>
      <c r="W163" s="214"/>
      <c r="X163" s="214"/>
      <c r="Y163" s="289"/>
      <c r="Z163" s="289"/>
      <c r="AA163" s="289"/>
      <c r="AB163" s="289"/>
      <c r="AC163" s="214"/>
      <c r="AD163" s="214"/>
      <c r="AE163" s="214"/>
      <c r="AF163" s="214"/>
      <c r="AG163" s="214"/>
      <c r="AH163" s="214"/>
      <c r="AI163" s="214"/>
    </row>
    <row r="164" spans="1:35">
      <c r="A164" s="214"/>
      <c r="B164" s="1891"/>
      <c r="C164" s="290"/>
      <c r="D164" s="214"/>
      <c r="E164" s="214"/>
      <c r="F164" s="214"/>
      <c r="G164" s="214"/>
      <c r="H164" s="214"/>
      <c r="I164" s="214"/>
      <c r="J164" s="290"/>
      <c r="K164" s="290"/>
      <c r="L164" s="214"/>
      <c r="M164" s="214"/>
      <c r="N164" s="214"/>
      <c r="O164" s="984"/>
      <c r="P164" s="984"/>
      <c r="Q164" s="984"/>
      <c r="R164" s="289"/>
      <c r="S164" s="214"/>
      <c r="T164" s="214"/>
      <c r="U164" s="214"/>
      <c r="V164" s="214"/>
      <c r="W164" s="214"/>
      <c r="X164" s="214"/>
      <c r="Y164" s="289"/>
      <c r="Z164" s="289"/>
      <c r="AA164" s="289"/>
      <c r="AB164" s="289"/>
      <c r="AC164" s="214"/>
      <c r="AD164" s="214"/>
      <c r="AE164" s="214"/>
      <c r="AF164" s="214"/>
      <c r="AG164" s="214"/>
      <c r="AH164" s="214"/>
      <c r="AI164" s="214"/>
    </row>
    <row r="165" spans="1:35" ht="17" thickBot="1">
      <c r="A165" s="214"/>
      <c r="B165" s="1891"/>
      <c r="C165" s="290"/>
      <c r="D165" s="214"/>
      <c r="E165" s="214"/>
      <c r="F165" s="214"/>
      <c r="G165" s="214"/>
      <c r="H165" s="214"/>
      <c r="I165" s="214"/>
      <c r="J165" s="290"/>
      <c r="K165" s="290"/>
      <c r="L165" s="1170"/>
      <c r="M165" s="1170"/>
      <c r="N165" s="1170"/>
      <c r="O165" s="1170"/>
      <c r="P165" s="1170"/>
      <c r="Q165" s="1170"/>
      <c r="R165" s="289"/>
      <c r="S165" s="214"/>
      <c r="T165" s="214"/>
      <c r="U165" s="214"/>
      <c r="V165" s="214"/>
      <c r="W165" s="214"/>
      <c r="X165" s="214"/>
      <c r="Y165" s="289"/>
      <c r="Z165" s="289"/>
      <c r="AA165" s="289"/>
      <c r="AB165" s="289"/>
      <c r="AC165" s="214"/>
      <c r="AD165" s="214"/>
      <c r="AE165" s="214"/>
      <c r="AF165" s="214"/>
      <c r="AG165" s="214"/>
      <c r="AH165" s="214"/>
      <c r="AI165" s="214"/>
    </row>
    <row r="166" spans="1:35" ht="17" thickBot="1">
      <c r="A166" s="214"/>
      <c r="B166" s="1891"/>
      <c r="C166" s="290"/>
      <c r="D166" s="2029" t="s">
        <v>70</v>
      </c>
      <c r="E166" s="2030"/>
      <c r="F166" s="2030"/>
      <c r="G166" s="2030"/>
      <c r="H166" s="2030"/>
      <c r="I166" s="2031"/>
      <c r="J166" s="290"/>
      <c r="K166" s="290"/>
      <c r="L166" s="2029" t="s">
        <v>70</v>
      </c>
      <c r="M166" s="2030"/>
      <c r="N166" s="2030"/>
      <c r="O166" s="2030"/>
      <c r="P166" s="2030"/>
      <c r="Q166" s="2031"/>
      <c r="R166" s="289"/>
      <c r="S166" s="2020" t="s">
        <v>70</v>
      </c>
      <c r="T166" s="2021"/>
      <c r="U166" s="2021"/>
      <c r="V166" s="2021"/>
      <c r="W166" s="2021"/>
      <c r="X166" s="2022"/>
      <c r="Y166" s="289"/>
      <c r="Z166" s="289"/>
      <c r="AA166" s="289"/>
      <c r="AB166" s="289"/>
      <c r="AC166" s="214"/>
      <c r="AD166" s="214"/>
      <c r="AE166" s="214"/>
      <c r="AF166" s="214"/>
      <c r="AG166" s="214"/>
      <c r="AH166" s="214"/>
      <c r="AI166" s="214"/>
    </row>
    <row r="167" spans="1:35">
      <c r="A167" s="214"/>
      <c r="B167" s="1891"/>
      <c r="C167" s="290"/>
      <c r="D167" s="1173" t="s">
        <v>3565</v>
      </c>
      <c r="E167" s="1174" t="s">
        <v>3647</v>
      </c>
      <c r="F167" s="1174"/>
      <c r="G167" s="1174"/>
      <c r="H167" s="1174"/>
      <c r="I167" s="1175"/>
      <c r="J167" s="290"/>
      <c r="K167" s="290"/>
      <c r="L167" s="1173" t="s">
        <v>3565</v>
      </c>
      <c r="M167" s="1174" t="s">
        <v>3647</v>
      </c>
      <c r="N167" s="1174"/>
      <c r="O167" s="1174"/>
      <c r="P167" s="1174"/>
      <c r="Q167" s="1175"/>
      <c r="R167" s="289"/>
      <c r="S167" s="1196" t="s">
        <v>3565</v>
      </c>
      <c r="T167" s="1192" t="s">
        <v>3647</v>
      </c>
      <c r="U167" s="1192"/>
      <c r="V167" s="1192"/>
      <c r="W167" s="1192"/>
      <c r="X167" s="1197"/>
      <c r="Y167" s="289"/>
      <c r="Z167" s="289"/>
      <c r="AA167" s="289"/>
      <c r="AB167" s="289"/>
      <c r="AC167" s="214"/>
      <c r="AD167" s="214"/>
      <c r="AE167" s="214"/>
      <c r="AF167" s="214"/>
      <c r="AG167" s="214"/>
      <c r="AH167" s="214"/>
      <c r="AI167" s="214"/>
    </row>
    <row r="168" spans="1:35">
      <c r="A168" s="214"/>
      <c r="B168" s="1891"/>
      <c r="C168" s="290"/>
      <c r="D168" s="1183"/>
      <c r="E168" s="1184" t="s">
        <v>3648</v>
      </c>
      <c r="F168" s="1170" t="s">
        <v>3673</v>
      </c>
      <c r="G168" s="1170"/>
      <c r="H168" s="1170"/>
      <c r="I168" s="1178"/>
      <c r="J168" s="290"/>
      <c r="K168" s="290"/>
      <c r="L168" s="1183"/>
      <c r="M168" s="1184" t="s">
        <v>3648</v>
      </c>
      <c r="N168" s="1170" t="s">
        <v>3680</v>
      </c>
      <c r="O168" s="1170"/>
      <c r="P168" s="1170"/>
      <c r="Q168" s="1178"/>
      <c r="R168" s="289"/>
      <c r="S168" s="1207"/>
      <c r="T168" s="1206" t="s">
        <v>3648</v>
      </c>
      <c r="U168" s="1192" t="s">
        <v>3690</v>
      </c>
      <c r="V168" s="1192"/>
      <c r="W168" s="1192"/>
      <c r="X168" s="1197"/>
      <c r="Y168" s="289"/>
      <c r="Z168" s="289"/>
      <c r="AA168" s="289"/>
      <c r="AB168" s="289"/>
      <c r="AC168" s="214"/>
      <c r="AD168" s="214"/>
      <c r="AE168" s="214"/>
      <c r="AF168" s="214"/>
      <c r="AG168" s="214"/>
      <c r="AH168" s="214"/>
      <c r="AI168" s="214"/>
    </row>
    <row r="169" spans="1:35">
      <c r="A169" s="214"/>
      <c r="B169" s="1891"/>
      <c r="C169" s="290"/>
      <c r="D169" s="1183"/>
      <c r="E169" s="1184"/>
      <c r="F169" s="1170"/>
      <c r="G169" s="1170"/>
      <c r="H169" s="1170"/>
      <c r="I169" s="1178"/>
      <c r="J169" s="290"/>
      <c r="K169" s="290"/>
      <c r="L169" s="1183"/>
      <c r="M169" s="1184" t="s">
        <v>3648</v>
      </c>
      <c r="N169" s="1170" t="s">
        <v>3681</v>
      </c>
      <c r="O169" s="1170"/>
      <c r="P169" s="1170"/>
      <c r="Q169" s="1178"/>
      <c r="R169" s="289"/>
      <c r="S169" s="1207"/>
      <c r="T169" s="1206"/>
      <c r="U169" s="1192"/>
      <c r="V169" s="1192"/>
      <c r="W169" s="1192"/>
      <c r="X169" s="1197"/>
      <c r="Y169" s="289"/>
      <c r="Z169" s="289"/>
      <c r="AA169" s="289"/>
      <c r="AB169" s="289"/>
      <c r="AC169" s="214"/>
      <c r="AD169" s="214"/>
      <c r="AE169" s="214"/>
      <c r="AF169" s="214"/>
      <c r="AG169" s="214"/>
      <c r="AH169" s="214"/>
      <c r="AI169" s="214"/>
    </row>
    <row r="170" spans="1:35">
      <c r="A170" s="214"/>
      <c r="B170" s="1891"/>
      <c r="C170" s="290"/>
      <c r="D170" s="1176" t="s">
        <v>3567</v>
      </c>
      <c r="E170" s="1170" t="s">
        <v>3649</v>
      </c>
      <c r="F170" s="1170"/>
      <c r="G170" s="1170"/>
      <c r="H170" s="1170"/>
      <c r="I170" s="1178"/>
      <c r="J170" s="290"/>
      <c r="K170" s="290"/>
      <c r="L170" s="1183"/>
      <c r="M170" s="1170"/>
      <c r="N170" s="1170"/>
      <c r="O170" s="1170"/>
      <c r="P170" s="1170"/>
      <c r="Q170" s="1178"/>
      <c r="R170" s="289"/>
      <c r="S170" s="1196" t="s">
        <v>3567</v>
      </c>
      <c r="T170" s="1192" t="s">
        <v>3649</v>
      </c>
      <c r="U170" s="1192"/>
      <c r="V170" s="1192"/>
      <c r="W170" s="1192"/>
      <c r="X170" s="1197"/>
      <c r="Y170" s="289"/>
      <c r="Z170" s="289"/>
      <c r="AA170" s="217"/>
      <c r="AB170" s="217"/>
      <c r="AC170" s="214"/>
      <c r="AD170" s="214"/>
      <c r="AE170" s="214"/>
      <c r="AF170" s="214"/>
      <c r="AG170" s="214"/>
      <c r="AH170" s="214"/>
      <c r="AI170" s="214"/>
    </row>
    <row r="171" spans="1:35">
      <c r="A171" s="214"/>
      <c r="B171" s="1891"/>
      <c r="C171" s="290"/>
      <c r="D171" s="1183"/>
      <c r="E171" s="1184" t="s">
        <v>3648</v>
      </c>
      <c r="F171" s="1170" t="s">
        <v>3673</v>
      </c>
      <c r="G171" s="1170"/>
      <c r="H171" s="1170"/>
      <c r="I171" s="1178"/>
      <c r="J171" s="290"/>
      <c r="K171" s="290"/>
      <c r="L171" s="1176" t="s">
        <v>3567</v>
      </c>
      <c r="M171" s="1170" t="s">
        <v>3649</v>
      </c>
      <c r="N171" s="1170"/>
      <c r="O171" s="1170"/>
      <c r="P171" s="1170"/>
      <c r="Q171" s="1178"/>
      <c r="R171" s="289"/>
      <c r="S171" s="1207"/>
      <c r="T171" s="1206" t="s">
        <v>3648</v>
      </c>
      <c r="U171" s="1192" t="s">
        <v>3690</v>
      </c>
      <c r="V171" s="1192"/>
      <c r="W171" s="1192"/>
      <c r="X171" s="1197"/>
      <c r="Y171" s="289"/>
      <c r="Z171" s="289"/>
      <c r="AA171" s="217"/>
      <c r="AB171" s="217"/>
      <c r="AC171" s="214"/>
      <c r="AD171" s="214"/>
      <c r="AE171" s="214"/>
      <c r="AF171" s="214"/>
      <c r="AG171" s="214"/>
      <c r="AH171" s="214"/>
      <c r="AI171" s="214"/>
    </row>
    <row r="172" spans="1:35">
      <c r="A172" s="214"/>
      <c r="B172" s="1891"/>
      <c r="C172" s="290"/>
      <c r="D172" s="1183"/>
      <c r="E172" s="1184"/>
      <c r="F172" s="1170"/>
      <c r="G172" s="1170"/>
      <c r="H172" s="1170"/>
      <c r="I172" s="1178"/>
      <c r="J172" s="290"/>
      <c r="K172" s="290"/>
      <c r="L172" s="1183"/>
      <c r="M172" s="1184" t="s">
        <v>3648</v>
      </c>
      <c r="N172" s="1170" t="s">
        <v>3680</v>
      </c>
      <c r="O172" s="1170"/>
      <c r="P172" s="1170"/>
      <c r="Q172" s="1178"/>
      <c r="R172" s="289"/>
      <c r="S172" s="1207"/>
      <c r="T172" s="1206"/>
      <c r="U172" s="1192"/>
      <c r="V172" s="1192"/>
      <c r="W172" s="1192"/>
      <c r="X172" s="1197"/>
      <c r="Y172" s="289"/>
      <c r="Z172" s="289"/>
      <c r="AA172" s="1168"/>
      <c r="AB172" s="1168"/>
      <c r="AC172" s="214"/>
      <c r="AD172" s="214"/>
      <c r="AE172" s="214"/>
      <c r="AF172" s="214"/>
      <c r="AG172" s="214"/>
      <c r="AH172" s="214"/>
      <c r="AI172" s="214"/>
    </row>
    <row r="173" spans="1:35">
      <c r="A173" s="214"/>
      <c r="B173" s="1891"/>
      <c r="C173" s="290"/>
      <c r="D173" s="1176" t="s">
        <v>3569</v>
      </c>
      <c r="E173" s="1170" t="s">
        <v>3650</v>
      </c>
      <c r="F173" s="1170"/>
      <c r="G173" s="1170"/>
      <c r="H173" s="1170"/>
      <c r="I173" s="1178"/>
      <c r="J173" s="290"/>
      <c r="K173" s="290"/>
      <c r="L173" s="1183"/>
      <c r="M173" s="1184" t="s">
        <v>3648</v>
      </c>
      <c r="N173" s="1170" t="s">
        <v>3681</v>
      </c>
      <c r="O173" s="1170"/>
      <c r="P173" s="1170"/>
      <c r="Q173" s="1178"/>
      <c r="R173" s="289"/>
      <c r="S173" s="1196" t="s">
        <v>3569</v>
      </c>
      <c r="T173" s="1192" t="s">
        <v>3650</v>
      </c>
      <c r="U173" s="1192"/>
      <c r="V173" s="1192"/>
      <c r="W173" s="1192"/>
      <c r="X173" s="1197"/>
      <c r="Y173" s="289"/>
      <c r="Z173" s="289"/>
      <c r="AA173" s="1168"/>
      <c r="AB173" s="1168"/>
      <c r="AC173" s="214"/>
      <c r="AD173" s="214"/>
      <c r="AE173" s="214"/>
      <c r="AF173" s="214"/>
      <c r="AG173" s="214"/>
      <c r="AH173" s="214"/>
      <c r="AI173" s="214"/>
    </row>
    <row r="174" spans="1:35">
      <c r="A174" s="214"/>
      <c r="B174" s="1891"/>
      <c r="C174" s="290"/>
      <c r="D174" s="1183"/>
      <c r="E174" s="1184" t="s">
        <v>3648</v>
      </c>
      <c r="F174" s="1170" t="s">
        <v>3674</v>
      </c>
      <c r="G174" s="1170"/>
      <c r="H174" s="1170"/>
      <c r="I174" s="1178"/>
      <c r="J174" s="290"/>
      <c r="K174" s="290"/>
      <c r="L174" s="1183"/>
      <c r="M174" s="1170"/>
      <c r="N174" s="1170"/>
      <c r="O174" s="1170"/>
      <c r="P174" s="1170"/>
      <c r="Q174" s="1178"/>
      <c r="R174" s="289"/>
      <c r="S174" s="1207"/>
      <c r="T174" s="1206" t="s">
        <v>3648</v>
      </c>
      <c r="U174" s="1192" t="s">
        <v>3661</v>
      </c>
      <c r="V174" s="1192"/>
      <c r="W174" s="1192"/>
      <c r="X174" s="1197"/>
      <c r="Y174" s="289"/>
      <c r="Z174" s="289"/>
      <c r="AA174" s="1168"/>
      <c r="AB174" s="1168"/>
      <c r="AC174" s="214"/>
      <c r="AD174" s="214"/>
      <c r="AE174" s="214"/>
      <c r="AF174" s="214"/>
      <c r="AG174" s="214"/>
      <c r="AH174" s="214"/>
      <c r="AI174" s="214"/>
    </row>
    <row r="175" spans="1:35">
      <c r="A175" s="214"/>
      <c r="B175" s="1891"/>
      <c r="C175" s="290"/>
      <c r="D175" s="1183"/>
      <c r="E175" s="1170"/>
      <c r="F175" s="1170"/>
      <c r="G175" s="1170"/>
      <c r="H175" s="1170"/>
      <c r="I175" s="1178"/>
      <c r="J175" s="290"/>
      <c r="K175" s="290"/>
      <c r="L175" s="1176" t="s">
        <v>3569</v>
      </c>
      <c r="M175" s="1170" t="s">
        <v>3650</v>
      </c>
      <c r="N175" s="1170"/>
      <c r="O175" s="1170"/>
      <c r="P175" s="1170"/>
      <c r="Q175" s="1178"/>
      <c r="R175" s="289"/>
      <c r="S175" s="1207"/>
      <c r="T175" s="1192"/>
      <c r="U175" s="1192"/>
      <c r="V175" s="1192"/>
      <c r="W175" s="1192"/>
      <c r="X175" s="1197"/>
      <c r="Y175" s="289"/>
      <c r="Z175" s="289"/>
      <c r="AA175" s="1168"/>
      <c r="AB175" s="1168"/>
      <c r="AC175" s="214"/>
      <c r="AD175" s="214"/>
      <c r="AE175" s="214"/>
      <c r="AF175" s="214"/>
      <c r="AG175" s="214"/>
      <c r="AH175" s="214"/>
      <c r="AI175" s="214"/>
    </row>
    <row r="176" spans="1:35">
      <c r="A176" s="214"/>
      <c r="B176" s="1891"/>
      <c r="C176" s="290"/>
      <c r="D176" s="1176" t="s">
        <v>3574</v>
      </c>
      <c r="E176" s="1170" t="s">
        <v>3652</v>
      </c>
      <c r="F176" s="1170"/>
      <c r="G176" s="1170"/>
      <c r="H176" s="1170"/>
      <c r="I176" s="1178"/>
      <c r="J176" s="290"/>
      <c r="K176" s="290"/>
      <c r="L176" s="1183"/>
      <c r="M176" s="1184" t="s">
        <v>3648</v>
      </c>
      <c r="N176" s="1170" t="s">
        <v>3682</v>
      </c>
      <c r="O176" s="1170"/>
      <c r="P176" s="1170"/>
      <c r="Q176" s="1178"/>
      <c r="R176" s="289"/>
      <c r="S176" s="1196" t="s">
        <v>3574</v>
      </c>
      <c r="T176" s="1192" t="s">
        <v>3652</v>
      </c>
      <c r="U176" s="1192"/>
      <c r="V176" s="1192"/>
      <c r="W176" s="1192"/>
      <c r="X176" s="1197"/>
      <c r="Y176" s="289"/>
      <c r="Z176" s="289"/>
      <c r="AA176" s="1168"/>
      <c r="AB176" s="1168"/>
      <c r="AC176" s="214"/>
      <c r="AD176" s="214"/>
      <c r="AE176" s="214"/>
      <c r="AF176" s="214"/>
      <c r="AG176" s="214"/>
      <c r="AH176" s="214"/>
      <c r="AI176" s="214"/>
    </row>
    <row r="177" spans="1:35" ht="17" thickBot="1">
      <c r="A177" s="214"/>
      <c r="B177" s="1891"/>
      <c r="C177" s="290"/>
      <c r="D177" s="1066"/>
      <c r="E177" s="1185" t="s">
        <v>3648</v>
      </c>
      <c r="F177" s="1180" t="s">
        <v>3675</v>
      </c>
      <c r="G177" s="1180"/>
      <c r="H177" s="1180"/>
      <c r="I177" s="1181"/>
      <c r="J177" s="290"/>
      <c r="K177" s="290"/>
      <c r="L177" s="1183"/>
      <c r="M177" s="1170"/>
      <c r="N177" s="1170"/>
      <c r="O177" s="1170"/>
      <c r="P177" s="1170"/>
      <c r="Q177" s="1178"/>
      <c r="R177" s="289"/>
      <c r="S177" s="1208"/>
      <c r="T177" s="1209" t="s">
        <v>3648</v>
      </c>
      <c r="U177" s="1202" t="s">
        <v>3662</v>
      </c>
      <c r="V177" s="1202"/>
      <c r="W177" s="1202"/>
      <c r="X177" s="1203"/>
      <c r="Y177" s="289"/>
      <c r="Z177" s="289"/>
      <c r="AA177" s="1168"/>
      <c r="AB177" s="1168"/>
      <c r="AC177" s="214"/>
      <c r="AD177" s="214"/>
      <c r="AE177" s="214"/>
      <c r="AF177" s="214"/>
      <c r="AG177" s="214"/>
      <c r="AH177" s="214"/>
      <c r="AI177" s="214"/>
    </row>
    <row r="178" spans="1:35">
      <c r="A178" s="214"/>
      <c r="B178" s="1891"/>
      <c r="C178" s="290"/>
      <c r="D178" s="290"/>
      <c r="E178" s="290"/>
      <c r="F178" s="290"/>
      <c r="G178" s="290"/>
      <c r="H178" s="290"/>
      <c r="I178" s="290"/>
      <c r="J178" s="290"/>
      <c r="K178" s="290"/>
      <c r="L178" s="1176" t="s">
        <v>3574</v>
      </c>
      <c r="M178" s="1170" t="s">
        <v>3652</v>
      </c>
      <c r="N178" s="1170"/>
      <c r="O178" s="1170"/>
      <c r="P178" s="1170"/>
      <c r="Q178" s="1178"/>
      <c r="R178" s="289"/>
      <c r="S178" s="289"/>
      <c r="T178" s="289"/>
      <c r="U178" s="1168"/>
      <c r="V178" s="1168"/>
      <c r="W178" s="289"/>
      <c r="X178" s="289"/>
      <c r="Y178" s="289"/>
      <c r="Z178" s="289"/>
      <c r="AA178" s="1168"/>
      <c r="AB178" s="1168"/>
      <c r="AC178" s="214"/>
      <c r="AD178" s="214"/>
      <c r="AE178" s="214"/>
      <c r="AF178" s="214"/>
      <c r="AG178" s="214"/>
      <c r="AH178" s="214"/>
      <c r="AI178" s="214"/>
    </row>
    <row r="179" spans="1:35" ht="17" thickBot="1">
      <c r="A179" s="214"/>
      <c r="B179" s="1891"/>
      <c r="C179" s="290"/>
      <c r="D179" s="1186"/>
      <c r="E179" s="1177"/>
      <c r="F179" s="1177"/>
      <c r="G179" s="217"/>
      <c r="H179" s="217"/>
      <c r="I179" s="217"/>
      <c r="J179" s="290"/>
      <c r="K179" s="290"/>
      <c r="L179" s="1066"/>
      <c r="M179" s="1185" t="s">
        <v>3648</v>
      </c>
      <c r="N179" s="1180" t="s">
        <v>3683</v>
      </c>
      <c r="O179" s="1180"/>
      <c r="P179" s="1180"/>
      <c r="Q179" s="1181"/>
      <c r="R179" s="289"/>
      <c r="S179" s="289"/>
      <c r="T179" s="289"/>
      <c r="U179" s="1168"/>
      <c r="V179" s="1168"/>
      <c r="W179" s="289"/>
      <c r="X179" s="289"/>
      <c r="Y179" s="289"/>
      <c r="Z179" s="289"/>
      <c r="AA179" s="1168"/>
      <c r="AB179" s="1168"/>
      <c r="AC179" s="214"/>
      <c r="AD179" s="214"/>
      <c r="AE179" s="214"/>
      <c r="AF179" s="214"/>
      <c r="AG179" s="214"/>
      <c r="AH179" s="214"/>
      <c r="AI179" s="214"/>
    </row>
    <row r="180" spans="1:35">
      <c r="A180" s="214"/>
      <c r="B180" s="1891"/>
      <c r="C180" s="290"/>
      <c r="D180" s="1186"/>
      <c r="E180" s="1177"/>
      <c r="F180" s="1177"/>
      <c r="G180" s="217"/>
      <c r="H180" s="217"/>
      <c r="I180" s="217"/>
      <c r="J180" s="290"/>
      <c r="K180" s="290"/>
      <c r="L180" s="1177"/>
      <c r="M180" s="1186"/>
      <c r="N180" s="1177"/>
      <c r="O180" s="1177"/>
      <c r="P180" s="1177"/>
      <c r="Q180" s="1177"/>
      <c r="R180" s="289"/>
      <c r="S180" s="289"/>
      <c r="T180" s="289"/>
      <c r="U180" s="1168"/>
      <c r="V180" s="1168"/>
      <c r="W180" s="289"/>
      <c r="X180" s="289"/>
      <c r="Y180" s="289"/>
      <c r="Z180" s="289"/>
      <c r="AA180" s="1168"/>
      <c r="AB180" s="1168"/>
      <c r="AC180" s="214"/>
      <c r="AD180" s="214"/>
      <c r="AE180" s="214"/>
      <c r="AF180" s="214"/>
      <c r="AG180" s="214"/>
      <c r="AH180" s="214"/>
      <c r="AI180" s="214"/>
    </row>
    <row r="181" spans="1:35" ht="17" thickBot="1">
      <c r="A181" s="214"/>
      <c r="B181" s="1892"/>
      <c r="C181" s="290"/>
      <c r="D181" s="1186"/>
      <c r="E181" s="1177"/>
      <c r="F181" s="1177"/>
      <c r="G181" s="217"/>
      <c r="H181" s="217"/>
      <c r="I181" s="217"/>
      <c r="J181" s="290"/>
      <c r="K181" s="290"/>
      <c r="L181" s="1177"/>
      <c r="M181" s="1186"/>
      <c r="N181" s="1177"/>
      <c r="O181" s="1177"/>
      <c r="P181" s="1177"/>
      <c r="Q181" s="1177"/>
      <c r="R181" s="289"/>
      <c r="S181" s="289"/>
      <c r="T181" s="289"/>
      <c r="U181" s="1168"/>
      <c r="V181" s="1168"/>
      <c r="W181" s="289"/>
      <c r="X181" s="289"/>
      <c r="Y181" s="289"/>
      <c r="Z181" s="289"/>
      <c r="AA181" s="1168"/>
      <c r="AB181" s="1168"/>
      <c r="AC181" s="214"/>
      <c r="AD181" s="214"/>
      <c r="AE181" s="214"/>
      <c r="AF181" s="214"/>
      <c r="AG181" s="214"/>
      <c r="AH181" s="214"/>
      <c r="AI181" s="214"/>
    </row>
    <row r="182" spans="1:35">
      <c r="A182" s="214"/>
      <c r="B182" s="1169"/>
      <c r="C182" s="290"/>
      <c r="D182" s="1186"/>
      <c r="E182" s="1177"/>
      <c r="F182" s="1177"/>
      <c r="G182" s="217"/>
      <c r="H182" s="217"/>
      <c r="I182" s="217"/>
      <c r="J182" s="290"/>
      <c r="K182" s="290"/>
      <c r="L182" s="289"/>
      <c r="M182" s="289"/>
      <c r="N182" s="1168"/>
      <c r="O182" s="1168"/>
      <c r="P182" s="289"/>
      <c r="Q182" s="289"/>
      <c r="R182" s="289"/>
      <c r="S182" s="289"/>
      <c r="T182" s="289"/>
      <c r="U182" s="1168"/>
      <c r="V182" s="1168"/>
      <c r="W182" s="289"/>
      <c r="X182" s="289"/>
      <c r="Y182" s="289"/>
      <c r="Z182" s="289"/>
      <c r="AA182" s="1168"/>
      <c r="AB182" s="1168"/>
      <c r="AC182" s="214"/>
      <c r="AD182" s="214"/>
      <c r="AE182" s="214"/>
      <c r="AF182" s="214"/>
      <c r="AG182" s="214"/>
      <c r="AH182" s="214"/>
      <c r="AI182" s="214"/>
    </row>
    <row r="183" spans="1:35" ht="17" thickBot="1">
      <c r="A183" s="325"/>
      <c r="B183" s="325"/>
      <c r="C183" s="325"/>
      <c r="D183" s="325"/>
      <c r="E183" s="325"/>
      <c r="F183" s="325"/>
      <c r="G183" s="325"/>
      <c r="H183" s="325"/>
      <c r="I183" s="325"/>
      <c r="J183" s="325"/>
      <c r="K183" s="325"/>
      <c r="L183" s="325"/>
      <c r="M183" s="325"/>
      <c r="N183" s="325"/>
      <c r="O183" s="325"/>
      <c r="P183" s="325"/>
      <c r="Q183" s="325"/>
      <c r="R183" s="325"/>
      <c r="S183" s="325"/>
      <c r="T183" s="325"/>
      <c r="U183" s="325"/>
      <c r="V183" s="325"/>
      <c r="W183" s="325"/>
      <c r="X183" s="325"/>
      <c r="Y183" s="325"/>
      <c r="Z183" s="325"/>
      <c r="AA183" s="325"/>
      <c r="AB183" s="325"/>
      <c r="AC183" s="325"/>
      <c r="AD183" s="325"/>
      <c r="AE183" s="325"/>
      <c r="AF183" s="325"/>
      <c r="AG183" s="325"/>
      <c r="AH183" s="325"/>
      <c r="AI183" s="325"/>
    </row>
    <row r="184" spans="1:35" ht="17" customHeight="1" thickBot="1">
      <c r="A184" s="325"/>
      <c r="B184" s="1840" t="s">
        <v>3287</v>
      </c>
      <c r="C184" s="325"/>
      <c r="D184" s="325"/>
      <c r="E184" s="325"/>
      <c r="F184" s="325"/>
      <c r="G184" s="325"/>
      <c r="H184" s="325"/>
      <c r="I184" s="325"/>
      <c r="J184" s="325"/>
      <c r="K184" s="325"/>
      <c r="L184" s="325"/>
      <c r="M184" s="325"/>
      <c r="N184" s="325"/>
      <c r="O184" s="325"/>
      <c r="P184" s="325"/>
      <c r="Q184" s="325"/>
      <c r="R184" s="325"/>
      <c r="S184" s="325"/>
      <c r="T184" s="325"/>
      <c r="U184" s="325"/>
      <c r="V184" s="325"/>
      <c r="W184" s="325"/>
      <c r="X184" s="325"/>
      <c r="Y184" s="325"/>
      <c r="Z184" s="325"/>
      <c r="AA184" s="325"/>
      <c r="AB184" s="325"/>
      <c r="AC184" s="325"/>
      <c r="AD184" s="325"/>
      <c r="AE184" s="325"/>
      <c r="AF184" s="325"/>
      <c r="AG184" s="325"/>
      <c r="AH184" s="325"/>
      <c r="AI184" s="325"/>
    </row>
    <row r="185" spans="1:35" ht="16" customHeight="1">
      <c r="A185" s="325"/>
      <c r="B185" s="1841"/>
      <c r="C185" s="325"/>
      <c r="D185" s="325"/>
      <c r="E185" s="1952" t="s">
        <v>3275</v>
      </c>
      <c r="F185" s="1953"/>
      <c r="G185" s="1953"/>
      <c r="H185" s="1953"/>
      <c r="I185" s="1954"/>
      <c r="J185" s="325"/>
      <c r="K185" s="325"/>
      <c r="L185" s="325"/>
      <c r="M185" s="1952" t="s">
        <v>3276</v>
      </c>
      <c r="N185" s="1953"/>
      <c r="O185" s="1953"/>
      <c r="P185" s="1953"/>
      <c r="Q185" s="1954"/>
      <c r="R185" s="325"/>
      <c r="S185" s="325"/>
      <c r="T185" s="325"/>
      <c r="U185" s="325"/>
      <c r="V185" s="325"/>
      <c r="W185" s="325"/>
      <c r="X185" s="325"/>
      <c r="Y185" s="325"/>
      <c r="Z185" s="325"/>
      <c r="AA185" s="325"/>
      <c r="AB185" s="325"/>
      <c r="AC185" s="325"/>
      <c r="AD185" s="325"/>
      <c r="AE185" s="325"/>
      <c r="AF185" s="325"/>
      <c r="AG185" s="325"/>
      <c r="AH185" s="325"/>
      <c r="AI185" s="325"/>
    </row>
    <row r="186" spans="1:35" ht="17" customHeight="1" thickBot="1">
      <c r="A186" s="325"/>
      <c r="B186" s="1841"/>
      <c r="C186" s="325"/>
      <c r="D186" s="325"/>
      <c r="E186" s="1955"/>
      <c r="F186" s="1956"/>
      <c r="G186" s="1956"/>
      <c r="H186" s="1956"/>
      <c r="I186" s="1957"/>
      <c r="J186" s="325"/>
      <c r="K186" s="325"/>
      <c r="L186" s="325"/>
      <c r="M186" s="1955"/>
      <c r="N186" s="1956"/>
      <c r="O186" s="1956"/>
      <c r="P186" s="1956"/>
      <c r="Q186" s="1957"/>
      <c r="R186" s="325"/>
      <c r="S186" s="325"/>
      <c r="T186" s="325"/>
      <c r="U186" s="325"/>
      <c r="V186" s="325"/>
      <c r="W186" s="325"/>
      <c r="X186" s="325"/>
      <c r="Y186" s="325"/>
      <c r="Z186" s="325"/>
      <c r="AA186" s="325"/>
      <c r="AB186" s="325"/>
      <c r="AC186" s="325"/>
      <c r="AD186" s="325"/>
      <c r="AE186" s="325"/>
      <c r="AF186" s="325"/>
      <c r="AG186" s="325"/>
      <c r="AH186" s="325"/>
      <c r="AI186" s="325"/>
    </row>
    <row r="187" spans="1:35">
      <c r="A187" s="325"/>
      <c r="B187" s="1841"/>
      <c r="C187" s="325"/>
      <c r="D187" s="326"/>
      <c r="E187" s="326"/>
      <c r="F187" s="326"/>
      <c r="G187" s="326"/>
      <c r="H187" s="326"/>
      <c r="I187" s="326"/>
      <c r="J187" s="326"/>
      <c r="K187" s="325"/>
      <c r="L187" s="326"/>
      <c r="M187" s="326"/>
      <c r="N187" s="326"/>
      <c r="O187" s="326"/>
      <c r="P187" s="326"/>
      <c r="Q187" s="326"/>
      <c r="R187" s="326"/>
      <c r="S187" s="325"/>
      <c r="T187" s="325"/>
      <c r="U187" s="325"/>
      <c r="V187" s="325"/>
      <c r="W187" s="325"/>
      <c r="X187" s="325"/>
      <c r="Y187" s="325"/>
      <c r="Z187" s="325"/>
      <c r="AA187" s="325"/>
      <c r="AB187" s="325"/>
      <c r="AC187" s="325"/>
      <c r="AD187" s="325"/>
      <c r="AE187" s="325"/>
      <c r="AF187" s="325"/>
      <c r="AG187" s="325"/>
      <c r="AH187" s="325"/>
      <c r="AI187" s="325"/>
    </row>
    <row r="188" spans="1:35" ht="17">
      <c r="A188" s="325"/>
      <c r="B188" s="1841"/>
      <c r="C188" s="325"/>
      <c r="D188" s="546" t="s">
        <v>3269</v>
      </c>
      <c r="E188" s="212" t="s">
        <v>3447</v>
      </c>
      <c r="F188" s="212"/>
      <c r="G188" s="212"/>
      <c r="H188" s="291"/>
      <c r="I188" s="291"/>
      <c r="J188" s="291"/>
      <c r="K188" s="325"/>
      <c r="L188" s="546" t="s">
        <v>3338</v>
      </c>
      <c r="M188" s="212" t="s">
        <v>3292</v>
      </c>
      <c r="N188" s="212"/>
      <c r="O188" s="212"/>
      <c r="P188" s="291"/>
      <c r="Q188" s="291"/>
      <c r="R188" s="291"/>
      <c r="S188" s="325"/>
      <c r="T188" s="325"/>
      <c r="U188" s="325"/>
      <c r="V188" s="325"/>
      <c r="W188" s="325"/>
      <c r="X188" s="325"/>
      <c r="Y188" s="325"/>
      <c r="Z188" s="325"/>
      <c r="AA188" s="325"/>
      <c r="AB188" s="325"/>
      <c r="AC188" s="325"/>
      <c r="AD188" s="325"/>
      <c r="AE188" s="325"/>
      <c r="AF188" s="325"/>
      <c r="AG188" s="325"/>
      <c r="AH188" s="325"/>
      <c r="AI188" s="325"/>
    </row>
    <row r="189" spans="1:35" ht="17" thickBot="1">
      <c r="A189" s="325"/>
      <c r="B189" s="1841"/>
      <c r="C189" s="325"/>
      <c r="D189" s="548" t="s">
        <v>34</v>
      </c>
      <c r="E189" s="325" t="s">
        <v>88</v>
      </c>
      <c r="F189" s="325"/>
      <c r="G189" s="325"/>
      <c r="H189" s="325"/>
      <c r="I189" s="325"/>
      <c r="J189" s="325"/>
      <c r="K189" s="325"/>
      <c r="L189" s="548" t="s">
        <v>34</v>
      </c>
      <c r="M189" s="325" t="s">
        <v>88</v>
      </c>
      <c r="N189" s="325"/>
      <c r="O189" s="325"/>
      <c r="P189" s="325"/>
      <c r="Q189" s="325"/>
      <c r="R189" s="325"/>
      <c r="S189" s="325"/>
      <c r="T189" s="325"/>
      <c r="U189" s="325"/>
      <c r="V189" s="325"/>
      <c r="W189" s="325"/>
      <c r="X189" s="325"/>
      <c r="Y189" s="325"/>
      <c r="Z189" s="325"/>
      <c r="AA189" s="325"/>
      <c r="AB189" s="325"/>
      <c r="AC189" s="325"/>
      <c r="AD189" s="325"/>
      <c r="AE189" s="325"/>
      <c r="AF189" s="325"/>
      <c r="AG189" s="325"/>
      <c r="AH189" s="325"/>
      <c r="AI189" s="325"/>
    </row>
    <row r="190" spans="1:35" ht="17" thickBot="1">
      <c r="A190" s="325"/>
      <c r="B190" s="1841"/>
      <c r="C190" s="325"/>
      <c r="D190" s="548" t="s">
        <v>35</v>
      </c>
      <c r="E190" s="325" t="s">
        <v>89</v>
      </c>
      <c r="F190" s="325"/>
      <c r="G190" s="325"/>
      <c r="H190" s="788"/>
      <c r="I190" s="325"/>
      <c r="J190" s="325"/>
      <c r="K190" s="325"/>
      <c r="L190" s="548" t="s">
        <v>35</v>
      </c>
      <c r="M190" s="325" t="s">
        <v>89</v>
      </c>
      <c r="N190" s="325"/>
      <c r="O190" s="325"/>
      <c r="P190" s="788"/>
      <c r="Q190" s="325"/>
      <c r="R190" s="325"/>
      <c r="S190" s="325"/>
      <c r="T190" s="325"/>
      <c r="U190" s="325"/>
      <c r="V190" s="325"/>
      <c r="W190" s="325"/>
      <c r="X190" s="325"/>
      <c r="Y190" s="325"/>
      <c r="Z190" s="325"/>
      <c r="AA190" s="325"/>
      <c r="AB190" s="325"/>
      <c r="AC190" s="325"/>
      <c r="AD190" s="325"/>
      <c r="AE190" s="325"/>
      <c r="AF190" s="325"/>
      <c r="AG190" s="325"/>
      <c r="AH190" s="325"/>
      <c r="AI190" s="325"/>
    </row>
    <row r="191" spans="1:35" ht="17" thickBot="1">
      <c r="A191" s="325"/>
      <c r="B191" s="1841"/>
      <c r="C191" s="325"/>
      <c r="D191" s="936" t="s">
        <v>3515</v>
      </c>
      <c r="E191" s="937"/>
      <c r="F191" s="938" t="s">
        <v>3498</v>
      </c>
      <c r="G191" s="325"/>
      <c r="H191" s="325"/>
      <c r="I191" s="325"/>
      <c r="J191" s="325"/>
      <c r="K191" s="325"/>
      <c r="L191" s="936" t="s">
        <v>3515</v>
      </c>
      <c r="M191" s="937"/>
      <c r="N191" s="938" t="s">
        <v>3498</v>
      </c>
      <c r="O191" s="325"/>
      <c r="P191" s="325"/>
      <c r="Q191" s="325"/>
      <c r="R191" s="325"/>
      <c r="S191" s="325"/>
      <c r="T191" s="325"/>
      <c r="U191" s="325"/>
      <c r="V191" s="325"/>
      <c r="W191" s="325"/>
      <c r="X191" s="325"/>
      <c r="Y191" s="325"/>
      <c r="Z191" s="325"/>
      <c r="AA191" s="325"/>
      <c r="AB191" s="325"/>
      <c r="AC191" s="325"/>
      <c r="AD191" s="325"/>
      <c r="AE191" s="325"/>
      <c r="AF191" s="325"/>
      <c r="AG191" s="325"/>
      <c r="AH191" s="325"/>
      <c r="AI191" s="325"/>
    </row>
    <row r="192" spans="1:35">
      <c r="A192" s="325"/>
      <c r="B192" s="1841"/>
      <c r="C192" s="325"/>
      <c r="D192" s="936" t="s">
        <v>3514</v>
      </c>
      <c r="E192" s="937"/>
      <c r="F192" s="938" t="s">
        <v>3498</v>
      </c>
      <c r="G192" s="325"/>
      <c r="H192" s="325"/>
      <c r="I192" s="325"/>
      <c r="J192" s="325"/>
      <c r="K192" s="325"/>
      <c r="L192" s="936" t="s">
        <v>3514</v>
      </c>
      <c r="M192" s="937"/>
      <c r="N192" s="938" t="s">
        <v>3498</v>
      </c>
      <c r="O192" s="325"/>
      <c r="P192" s="325"/>
      <c r="Q192" s="325"/>
      <c r="R192" s="325"/>
      <c r="S192" s="325"/>
      <c r="T192" s="325"/>
      <c r="U192" s="325"/>
      <c r="V192" s="325"/>
      <c r="W192" s="1943" t="s">
        <v>182</v>
      </c>
      <c r="X192" s="1944"/>
      <c r="Y192" s="1944"/>
      <c r="Z192" s="1944"/>
      <c r="AA192" s="1945"/>
      <c r="AB192" s="325"/>
      <c r="AC192" s="325"/>
      <c r="AD192" s="325"/>
      <c r="AE192" s="325"/>
      <c r="AF192" s="325"/>
      <c r="AG192" s="325"/>
      <c r="AH192" s="325"/>
      <c r="AI192" s="325"/>
    </row>
    <row r="193" spans="1:35" ht="18" thickBot="1">
      <c r="A193" s="325"/>
      <c r="B193" s="1841"/>
      <c r="C193" s="325"/>
      <c r="D193" s="211" t="s">
        <v>3331</v>
      </c>
      <c r="E193" s="212" t="s">
        <v>3754</v>
      </c>
      <c r="F193" s="212"/>
      <c r="G193" s="212"/>
      <c r="H193" s="291"/>
      <c r="I193" s="291"/>
      <c r="J193" s="291"/>
      <c r="K193" s="325"/>
      <c r="L193" s="546" t="s">
        <v>3353</v>
      </c>
      <c r="M193" s="212" t="s">
        <v>3755</v>
      </c>
      <c r="N193" s="212"/>
      <c r="O193" s="212"/>
      <c r="P193" s="291"/>
      <c r="Q193" s="291"/>
      <c r="R193" s="291"/>
      <c r="S193" s="325"/>
      <c r="T193" s="325"/>
      <c r="U193" s="325"/>
      <c r="V193" s="325"/>
      <c r="W193" s="1946"/>
      <c r="X193" s="1947"/>
      <c r="Y193" s="1947"/>
      <c r="Z193" s="1947"/>
      <c r="AA193" s="1948"/>
      <c r="AB193" s="325"/>
      <c r="AC193" s="325"/>
      <c r="AD193" s="325"/>
      <c r="AE193" s="325"/>
      <c r="AF193" s="325"/>
      <c r="AG193" s="325"/>
      <c r="AH193" s="325"/>
      <c r="AI193" s="325"/>
    </row>
    <row r="194" spans="1:35" ht="17" thickBot="1">
      <c r="A194" s="325"/>
      <c r="B194" s="1841"/>
      <c r="C194" s="325"/>
      <c r="D194" s="325"/>
      <c r="E194" s="1879" t="s">
        <v>73</v>
      </c>
      <c r="F194" s="1880"/>
      <c r="G194" s="788"/>
      <c r="H194" s="1837" t="s">
        <v>3516</v>
      </c>
      <c r="I194" s="1837"/>
      <c r="J194" s="938" t="s">
        <v>3498</v>
      </c>
      <c r="K194" s="325"/>
      <c r="L194" s="548"/>
      <c r="M194" s="1879" t="s">
        <v>73</v>
      </c>
      <c r="N194" s="1880"/>
      <c r="O194" s="788"/>
      <c r="P194" s="1837" t="s">
        <v>3517</v>
      </c>
      <c r="Q194" s="1837"/>
      <c r="R194" s="938" t="s">
        <v>3498</v>
      </c>
      <c r="S194" s="325"/>
      <c r="T194" s="325"/>
      <c r="U194" s="325"/>
      <c r="V194" s="325"/>
      <c r="W194" s="1946"/>
      <c r="X194" s="1947"/>
      <c r="Y194" s="1947"/>
      <c r="Z194" s="1947"/>
      <c r="AA194" s="1948"/>
      <c r="AB194" s="325"/>
      <c r="AC194" s="325"/>
      <c r="AD194" s="325"/>
      <c r="AE194" s="325"/>
      <c r="AF194" s="325"/>
      <c r="AG194" s="325"/>
      <c r="AH194" s="325"/>
      <c r="AI194" s="325"/>
    </row>
    <row r="195" spans="1:35" ht="17" thickBot="1">
      <c r="A195" s="325"/>
      <c r="B195" s="1841"/>
      <c r="C195" s="325"/>
      <c r="D195" s="325"/>
      <c r="E195" s="325"/>
      <c r="F195" s="325"/>
      <c r="G195" s="327"/>
      <c r="H195" s="325"/>
      <c r="I195" s="325"/>
      <c r="J195" s="325"/>
      <c r="K195" s="325"/>
      <c r="L195" s="325"/>
      <c r="M195" s="325"/>
      <c r="N195" s="325"/>
      <c r="O195" s="325"/>
      <c r="P195" s="325"/>
      <c r="Q195" s="325"/>
      <c r="R195" s="325"/>
      <c r="S195" s="325"/>
      <c r="T195" s="325"/>
      <c r="U195" s="325"/>
      <c r="V195" s="325"/>
      <c r="W195" s="1949"/>
      <c r="X195" s="1950"/>
      <c r="Y195" s="1950"/>
      <c r="Z195" s="1950"/>
      <c r="AA195" s="1951"/>
      <c r="AB195" s="325"/>
      <c r="AC195" s="325"/>
      <c r="AD195" s="325"/>
      <c r="AE195" s="325"/>
      <c r="AF195" s="325"/>
      <c r="AG195" s="325"/>
      <c r="AH195" s="325"/>
      <c r="AI195" s="325"/>
    </row>
    <row r="196" spans="1:35">
      <c r="A196" s="325"/>
      <c r="B196" s="1841"/>
      <c r="C196" s="325"/>
      <c r="D196" s="325"/>
      <c r="E196" s="325"/>
      <c r="F196" s="325"/>
      <c r="G196" s="325"/>
      <c r="H196" s="325"/>
      <c r="I196" s="325"/>
      <c r="J196" s="512"/>
      <c r="K196" s="512"/>
      <c r="L196" s="1210"/>
      <c r="M196" s="1210"/>
      <c r="N196" s="1210"/>
      <c r="O196" s="512"/>
      <c r="P196" s="512"/>
      <c r="Q196" s="325"/>
      <c r="R196" s="325"/>
      <c r="S196" s="325"/>
      <c r="T196" s="325"/>
      <c r="U196" s="325"/>
      <c r="V196" s="325"/>
      <c r="W196" s="325"/>
      <c r="X196" s="325"/>
      <c r="Y196" s="325"/>
      <c r="Z196" s="371" t="s">
        <v>3518</v>
      </c>
      <c r="AA196" s="966" t="s">
        <v>3519</v>
      </c>
      <c r="AB196" s="325"/>
      <c r="AC196" s="325"/>
      <c r="AD196" s="325"/>
      <c r="AE196" s="325"/>
      <c r="AF196" s="325"/>
      <c r="AG196" s="325"/>
      <c r="AH196" s="325"/>
      <c r="AI196" s="325"/>
    </row>
    <row r="197" spans="1:35" ht="17" thickBot="1">
      <c r="A197" s="325"/>
      <c r="B197" s="1841"/>
      <c r="C197" s="325"/>
      <c r="D197" s="1213" t="s">
        <v>3691</v>
      </c>
      <c r="E197" s="1213"/>
      <c r="F197" s="1213"/>
      <c r="G197" s="1213"/>
      <c r="H197" s="1213"/>
      <c r="I197" s="1213"/>
      <c r="J197" s="512"/>
      <c r="K197" s="512"/>
      <c r="L197" s="1213" t="s">
        <v>3695</v>
      </c>
      <c r="M197" s="1213"/>
      <c r="N197" s="1213"/>
      <c r="O197" s="1213"/>
      <c r="P197" s="1213"/>
      <c r="Q197" s="1213"/>
      <c r="R197" s="325"/>
      <c r="S197" s="325"/>
      <c r="T197" s="325"/>
      <c r="U197" s="325"/>
      <c r="V197" s="325"/>
      <c r="W197" s="325"/>
      <c r="X197" s="325"/>
      <c r="Y197" s="325"/>
      <c r="Z197" s="371" t="s">
        <v>3520</v>
      </c>
      <c r="AA197" s="966" t="s">
        <v>3519</v>
      </c>
      <c r="AB197" s="325"/>
      <c r="AC197" s="325"/>
      <c r="AD197" s="325"/>
      <c r="AE197" s="325"/>
      <c r="AF197" s="325"/>
      <c r="AG197" s="325"/>
      <c r="AH197" s="325"/>
      <c r="AI197" s="325"/>
    </row>
    <row r="198" spans="1:35" ht="17" thickBot="1">
      <c r="A198" s="325"/>
      <c r="B198" s="1841"/>
      <c r="C198" s="325"/>
      <c r="D198" s="2026" t="s">
        <v>69</v>
      </c>
      <c r="E198" s="2027"/>
      <c r="F198" s="2028"/>
      <c r="G198" s="1214" t="s">
        <v>3562</v>
      </c>
      <c r="H198" s="1215" t="s">
        <v>3563</v>
      </c>
      <c r="I198" s="1215" t="s">
        <v>3564</v>
      </c>
      <c r="J198" s="512"/>
      <c r="K198" s="512"/>
      <c r="L198" s="2023" t="s">
        <v>69</v>
      </c>
      <c r="M198" s="2024"/>
      <c r="N198" s="2025"/>
      <c r="O198" s="1214" t="s">
        <v>3562</v>
      </c>
      <c r="P198" s="1215" t="s">
        <v>3563</v>
      </c>
      <c r="Q198" s="1216" t="s">
        <v>3564</v>
      </c>
      <c r="R198" s="325"/>
      <c r="S198" s="325"/>
      <c r="T198" s="325"/>
      <c r="U198" s="325"/>
      <c r="V198" s="325"/>
      <c r="W198" s="325"/>
      <c r="X198" s="325"/>
      <c r="Y198" s="325"/>
      <c r="Z198" s="371" t="s">
        <v>3466</v>
      </c>
      <c r="AA198" s="966" t="s">
        <v>3519</v>
      </c>
      <c r="AB198" s="325"/>
      <c r="AC198" s="325"/>
      <c r="AD198" s="325"/>
      <c r="AE198" s="325"/>
      <c r="AF198" s="325"/>
      <c r="AG198" s="325"/>
      <c r="AH198" s="325"/>
      <c r="AI198" s="325"/>
    </row>
    <row r="199" spans="1:35">
      <c r="A199" s="325"/>
      <c r="B199" s="1841"/>
      <c r="C199" s="325"/>
      <c r="D199" s="1453" t="s">
        <v>3565</v>
      </c>
      <c r="E199" s="1454" t="s">
        <v>3421</v>
      </c>
      <c r="F199" s="1455"/>
      <c r="G199" s="1461" t="s">
        <v>144</v>
      </c>
      <c r="H199" s="1461" t="s">
        <v>3692</v>
      </c>
      <c r="I199" s="1461" t="s">
        <v>3269</v>
      </c>
      <c r="J199" s="512"/>
      <c r="K199" s="512"/>
      <c r="L199" s="1217" t="s">
        <v>3565</v>
      </c>
      <c r="M199" s="1218" t="s">
        <v>3421</v>
      </c>
      <c r="N199" s="1219"/>
      <c r="O199" s="570" t="s">
        <v>144</v>
      </c>
      <c r="P199" s="530" t="s">
        <v>3696</v>
      </c>
      <c r="Q199" s="564" t="s">
        <v>3338</v>
      </c>
      <c r="R199" s="325"/>
      <c r="S199" s="325"/>
      <c r="T199" s="325"/>
      <c r="U199" s="325"/>
      <c r="V199" s="325"/>
      <c r="W199" s="325"/>
      <c r="X199" s="325"/>
      <c r="Y199" s="325"/>
      <c r="Z199" s="325"/>
      <c r="AA199" s="325"/>
      <c r="AB199" s="325"/>
      <c r="AC199" s="325"/>
      <c r="AD199" s="325"/>
      <c r="AE199" s="325"/>
      <c r="AF199" s="325"/>
      <c r="AG199" s="325"/>
      <c r="AH199" s="325"/>
      <c r="AI199" s="325"/>
    </row>
    <row r="200" spans="1:35">
      <c r="A200" s="325"/>
      <c r="B200" s="1841"/>
      <c r="C200" s="325"/>
      <c r="D200" s="1456" t="s">
        <v>3567</v>
      </c>
      <c r="E200" s="1221" t="s">
        <v>3699</v>
      </c>
      <c r="F200" s="1457"/>
      <c r="G200" s="1462" t="s">
        <v>3698</v>
      </c>
      <c r="H200" s="1462" t="s">
        <v>41</v>
      </c>
      <c r="I200" s="1462" t="s">
        <v>3331</v>
      </c>
      <c r="J200" s="512"/>
      <c r="K200" s="512"/>
      <c r="L200" s="1220" t="s">
        <v>3567</v>
      </c>
      <c r="M200" s="1221" t="s">
        <v>3697</v>
      </c>
      <c r="N200" s="1222"/>
      <c r="O200" s="564" t="s">
        <v>3698</v>
      </c>
      <c r="P200" s="532" t="s">
        <v>41</v>
      </c>
      <c r="Q200" s="564" t="s">
        <v>3353</v>
      </c>
      <c r="R200" s="325"/>
      <c r="S200" s="325"/>
      <c r="T200" s="325"/>
      <c r="U200" s="325"/>
      <c r="V200" s="325"/>
      <c r="W200" s="325"/>
      <c r="X200" s="325"/>
      <c r="Y200" s="325"/>
      <c r="Z200" s="325"/>
      <c r="AA200" s="325"/>
      <c r="AB200" s="325"/>
      <c r="AC200" s="325"/>
      <c r="AD200" s="325"/>
      <c r="AE200" s="325"/>
      <c r="AF200" s="325"/>
      <c r="AG200" s="325"/>
      <c r="AH200" s="325"/>
      <c r="AI200" s="325"/>
    </row>
    <row r="201" spans="1:35">
      <c r="A201" s="325"/>
      <c r="B201" s="1841"/>
      <c r="C201" s="325"/>
      <c r="D201" s="1456" t="s">
        <v>3569</v>
      </c>
      <c r="E201" s="1221" t="s">
        <v>3418</v>
      </c>
      <c r="F201" s="1457"/>
      <c r="G201" s="1463" t="s">
        <v>3409</v>
      </c>
      <c r="H201" s="1463" t="s">
        <v>3299</v>
      </c>
      <c r="I201" s="1462" t="s">
        <v>41</v>
      </c>
      <c r="J201" s="512"/>
      <c r="K201" s="512"/>
      <c r="L201" s="1456" t="s">
        <v>3569</v>
      </c>
      <c r="M201" s="1221" t="s">
        <v>3418</v>
      </c>
      <c r="N201" s="1457"/>
      <c r="O201" s="1463" t="s">
        <v>3409</v>
      </c>
      <c r="P201" s="1463" t="s">
        <v>3646</v>
      </c>
      <c r="Q201" s="1462" t="s">
        <v>41</v>
      </c>
      <c r="R201" s="325"/>
      <c r="S201" s="325"/>
      <c r="T201" s="325"/>
      <c r="U201" s="325"/>
      <c r="V201" s="325"/>
      <c r="W201" s="325"/>
      <c r="X201" s="325"/>
      <c r="Y201" s="325"/>
      <c r="Z201" s="325"/>
      <c r="AA201" s="325"/>
      <c r="AB201" s="325"/>
      <c r="AC201" s="325"/>
      <c r="AD201" s="325"/>
      <c r="AE201" s="325"/>
      <c r="AF201" s="325"/>
      <c r="AG201" s="325"/>
      <c r="AH201" s="325"/>
      <c r="AI201" s="325"/>
    </row>
    <row r="202" spans="1:35" ht="17" thickBot="1">
      <c r="A202" s="325"/>
      <c r="B202" s="1841"/>
      <c r="C202" s="325"/>
      <c r="D202" s="1458" t="s">
        <v>3574</v>
      </c>
      <c r="E202" s="1459" t="s">
        <v>3644</v>
      </c>
      <c r="F202" s="1460"/>
      <c r="G202" s="1464">
        <v>52</v>
      </c>
      <c r="H202" s="1465" t="s">
        <v>3645</v>
      </c>
      <c r="I202" s="1466"/>
      <c r="J202" s="512"/>
      <c r="K202" s="512"/>
      <c r="L202" s="1458" t="s">
        <v>3574</v>
      </c>
      <c r="M202" s="1459" t="s">
        <v>3644</v>
      </c>
      <c r="N202" s="1460"/>
      <c r="O202" s="1464">
        <v>52</v>
      </c>
      <c r="P202" s="1465" t="s">
        <v>3645</v>
      </c>
      <c r="Q202" s="1466"/>
      <c r="R202" s="325"/>
      <c r="S202" s="325"/>
      <c r="T202" s="325"/>
      <c r="U202" s="325"/>
      <c r="V202" s="325"/>
      <c r="W202" s="325"/>
      <c r="X202" s="325"/>
      <c r="Y202" s="325"/>
      <c r="Z202" s="325"/>
      <c r="AA202" s="325"/>
      <c r="AB202" s="325"/>
      <c r="AC202" s="325"/>
      <c r="AD202" s="325"/>
      <c r="AE202" s="325"/>
      <c r="AF202" s="325"/>
      <c r="AG202" s="325"/>
      <c r="AH202" s="325"/>
      <c r="AI202" s="325"/>
    </row>
    <row r="203" spans="1:35" ht="17" thickBot="1">
      <c r="A203" s="325"/>
      <c r="B203" s="1841"/>
      <c r="C203" s="325"/>
      <c r="D203" s="325"/>
      <c r="E203" s="325"/>
      <c r="F203" s="325"/>
      <c r="G203" s="325"/>
      <c r="H203" s="325"/>
      <c r="I203" s="325"/>
      <c r="J203" s="325"/>
      <c r="K203" s="325"/>
      <c r="L203" s="325"/>
      <c r="M203" s="325"/>
      <c r="N203" s="325"/>
      <c r="O203" s="325"/>
      <c r="P203" s="325"/>
      <c r="Q203" s="325"/>
      <c r="R203" s="325"/>
      <c r="S203" s="325"/>
      <c r="T203" s="325"/>
      <c r="U203" s="325"/>
      <c r="V203" s="325"/>
      <c r="W203" s="325"/>
      <c r="X203" s="325"/>
      <c r="Y203" s="325"/>
      <c r="Z203" s="325"/>
      <c r="AA203" s="325"/>
      <c r="AB203" s="325"/>
      <c r="AC203" s="325"/>
      <c r="AD203" s="325"/>
      <c r="AE203" s="325"/>
      <c r="AF203" s="325"/>
      <c r="AG203" s="325"/>
      <c r="AH203" s="325"/>
      <c r="AI203" s="325"/>
    </row>
    <row r="204" spans="1:35" ht="17" thickBot="1">
      <c r="A204" s="325"/>
      <c r="B204" s="1841"/>
      <c r="C204" s="325"/>
      <c r="D204" s="2023" t="s">
        <v>70</v>
      </c>
      <c r="E204" s="2024"/>
      <c r="F204" s="2024"/>
      <c r="G204" s="2024"/>
      <c r="H204" s="2024"/>
      <c r="I204" s="2025"/>
      <c r="J204" s="512"/>
      <c r="K204" s="512"/>
      <c r="L204" s="2023" t="s">
        <v>70</v>
      </c>
      <c r="M204" s="2024"/>
      <c r="N204" s="2024"/>
      <c r="O204" s="2024"/>
      <c r="P204" s="2024"/>
      <c r="Q204" s="2025"/>
      <c r="R204" s="325"/>
      <c r="S204" s="325"/>
      <c r="T204" s="325"/>
      <c r="U204" s="325"/>
      <c r="V204" s="325"/>
      <c r="W204" s="325"/>
      <c r="X204" s="325"/>
      <c r="Y204" s="325"/>
      <c r="Z204" s="325"/>
      <c r="AA204" s="325"/>
      <c r="AB204" s="325"/>
      <c r="AC204" s="325"/>
      <c r="AD204" s="325"/>
      <c r="AE204" s="325"/>
      <c r="AF204" s="325"/>
      <c r="AG204" s="325"/>
      <c r="AH204" s="325"/>
      <c r="AI204" s="325"/>
    </row>
    <row r="205" spans="1:35">
      <c r="A205" s="325"/>
      <c r="B205" s="1841"/>
      <c r="C205" s="370"/>
      <c r="D205" s="1217" t="s">
        <v>3565</v>
      </c>
      <c r="E205" s="1218" t="s">
        <v>3647</v>
      </c>
      <c r="F205" s="1218"/>
      <c r="G205" s="1218"/>
      <c r="H205" s="1218"/>
      <c r="I205" s="1219"/>
      <c r="J205" s="512"/>
      <c r="K205" s="512"/>
      <c r="L205" s="1217" t="s">
        <v>3565</v>
      </c>
      <c r="M205" s="1218" t="s">
        <v>3647</v>
      </c>
      <c r="N205" s="1218"/>
      <c r="O205" s="1218"/>
      <c r="P205" s="1218"/>
      <c r="Q205" s="1219"/>
      <c r="R205" s="325"/>
      <c r="S205" s="325"/>
      <c r="T205" s="325"/>
      <c r="U205" s="325"/>
      <c r="V205" s="325"/>
      <c r="W205" s="325"/>
      <c r="X205" s="325"/>
      <c r="Y205" s="325"/>
      <c r="Z205" s="325"/>
      <c r="AA205" s="325"/>
      <c r="AB205" s="325"/>
      <c r="AC205" s="325"/>
      <c r="AD205" s="325"/>
      <c r="AE205" s="325"/>
      <c r="AF205" s="325"/>
      <c r="AG205" s="325"/>
      <c r="AH205" s="325"/>
      <c r="AI205" s="325"/>
    </row>
    <row r="206" spans="1:35">
      <c r="A206" s="325"/>
      <c r="B206" s="1841"/>
      <c r="C206" s="370"/>
      <c r="D206" s="1225"/>
      <c r="E206" s="1226" t="s">
        <v>3648</v>
      </c>
      <c r="F206" s="1213" t="s">
        <v>3756</v>
      </c>
      <c r="G206" s="1213"/>
      <c r="H206" s="1213"/>
      <c r="I206" s="1222"/>
      <c r="J206" s="512"/>
      <c r="K206" s="512"/>
      <c r="L206" s="1225"/>
      <c r="M206" s="1226" t="s">
        <v>3648</v>
      </c>
      <c r="N206" s="1213" t="s">
        <v>3756</v>
      </c>
      <c r="O206" s="1213"/>
      <c r="P206" s="1213"/>
      <c r="Q206" s="1222"/>
      <c r="R206" s="325"/>
      <c r="S206" s="325"/>
      <c r="T206" s="325"/>
      <c r="U206" s="325"/>
      <c r="V206" s="325"/>
      <c r="W206" s="325"/>
      <c r="X206" s="325"/>
      <c r="Y206" s="325"/>
      <c r="Z206" s="325"/>
      <c r="AA206" s="325"/>
      <c r="AB206" s="325"/>
      <c r="AC206" s="325"/>
      <c r="AD206" s="325"/>
      <c r="AE206" s="325"/>
      <c r="AF206" s="325"/>
      <c r="AG206" s="325"/>
      <c r="AH206" s="325"/>
      <c r="AI206" s="325"/>
    </row>
    <row r="207" spans="1:35">
      <c r="A207" s="325"/>
      <c r="B207" s="1841"/>
      <c r="C207" s="370"/>
      <c r="D207" s="1225"/>
      <c r="E207" s="1226"/>
      <c r="F207" s="1213"/>
      <c r="G207" s="1213"/>
      <c r="H207" s="1213"/>
      <c r="I207" s="1222"/>
      <c r="J207" s="512"/>
      <c r="K207" s="512"/>
      <c r="L207" s="1225"/>
      <c r="M207" s="1226"/>
      <c r="N207" s="1213"/>
      <c r="O207" s="1213"/>
      <c r="P207" s="1213"/>
      <c r="Q207" s="1222"/>
      <c r="R207" s="325"/>
      <c r="S207" s="325"/>
      <c r="T207" s="325"/>
      <c r="U207" s="325"/>
      <c r="V207" s="325"/>
      <c r="W207" s="325"/>
      <c r="X207" s="325"/>
      <c r="Y207" s="325"/>
      <c r="Z207" s="325"/>
      <c r="AA207" s="325"/>
      <c r="AB207" s="325"/>
      <c r="AC207" s="325"/>
      <c r="AD207" s="325"/>
      <c r="AE207" s="325"/>
      <c r="AF207" s="325"/>
      <c r="AG207" s="325"/>
      <c r="AH207" s="325"/>
      <c r="AI207" s="325"/>
    </row>
    <row r="208" spans="1:35">
      <c r="A208" s="325"/>
      <c r="B208" s="1841"/>
      <c r="C208" s="370"/>
      <c r="D208" s="1220" t="s">
        <v>3567</v>
      </c>
      <c r="E208" s="1213" t="s">
        <v>3649</v>
      </c>
      <c r="F208" s="1213"/>
      <c r="G208" s="1213"/>
      <c r="H208" s="1213"/>
      <c r="I208" s="1222"/>
      <c r="J208" s="512"/>
      <c r="K208" s="512"/>
      <c r="L208" s="1220" t="s">
        <v>3567</v>
      </c>
      <c r="M208" s="1213" t="s">
        <v>3649</v>
      </c>
      <c r="N208" s="1213"/>
      <c r="O208" s="1213"/>
      <c r="P208" s="1213"/>
      <c r="Q208" s="1222"/>
      <c r="R208" s="325"/>
      <c r="S208" s="325"/>
      <c r="T208" s="325"/>
      <c r="U208" s="325"/>
      <c r="V208" s="325"/>
      <c r="W208" s="325"/>
      <c r="X208" s="325"/>
      <c r="Y208" s="325"/>
      <c r="Z208" s="325"/>
      <c r="AA208" s="325"/>
      <c r="AB208" s="325"/>
      <c r="AC208" s="325"/>
      <c r="AD208" s="325"/>
      <c r="AE208" s="325"/>
      <c r="AF208" s="325"/>
      <c r="AG208" s="325"/>
      <c r="AH208" s="325"/>
      <c r="AI208" s="325"/>
    </row>
    <row r="209" spans="1:35">
      <c r="A209" s="325"/>
      <c r="B209" s="1841"/>
      <c r="C209" s="370"/>
      <c r="D209" s="1225"/>
      <c r="E209" s="1226" t="s">
        <v>3648</v>
      </c>
      <c r="F209" s="1213" t="s">
        <v>3756</v>
      </c>
      <c r="G209" s="1213"/>
      <c r="H209" s="1213"/>
      <c r="I209" s="1222"/>
      <c r="J209" s="512"/>
      <c r="K209" s="1211"/>
      <c r="L209" s="1225"/>
      <c r="M209" s="1226" t="s">
        <v>3648</v>
      </c>
      <c r="N209" s="1213" t="s">
        <v>3756</v>
      </c>
      <c r="O209" s="1213"/>
      <c r="P209" s="1213"/>
      <c r="Q209" s="1222"/>
      <c r="R209" s="325"/>
      <c r="S209" s="325"/>
      <c r="T209" s="325"/>
      <c r="U209" s="325"/>
      <c r="V209" s="325"/>
      <c r="W209" s="325"/>
      <c r="X209" s="325"/>
      <c r="Y209" s="325"/>
      <c r="Z209" s="325"/>
      <c r="AA209" s="325"/>
      <c r="AB209" s="325"/>
      <c r="AC209" s="325"/>
      <c r="AD209" s="325"/>
      <c r="AE209" s="325"/>
      <c r="AF209" s="325"/>
      <c r="AG209" s="325"/>
      <c r="AH209" s="325"/>
      <c r="AI209" s="325"/>
    </row>
    <row r="210" spans="1:35">
      <c r="A210" s="325"/>
      <c r="B210" s="1841"/>
      <c r="C210" s="370"/>
      <c r="D210" s="1225"/>
      <c r="E210" s="1226"/>
      <c r="F210" s="1213"/>
      <c r="G210" s="1213"/>
      <c r="H210" s="1213"/>
      <c r="I210" s="1222"/>
      <c r="J210" s="512"/>
      <c r="K210" s="1211"/>
      <c r="L210" s="1225"/>
      <c r="M210" s="1226"/>
      <c r="N210" s="1213"/>
      <c r="O210" s="1213"/>
      <c r="P210" s="1213"/>
      <c r="Q210" s="1222"/>
      <c r="R210" s="325"/>
      <c r="S210" s="325"/>
      <c r="T210" s="325"/>
      <c r="U210" s="325"/>
      <c r="V210" s="325"/>
      <c r="W210" s="325"/>
      <c r="X210" s="325"/>
      <c r="Y210" s="325"/>
      <c r="Z210" s="325"/>
      <c r="AA210" s="325"/>
      <c r="AB210" s="325"/>
      <c r="AC210" s="325"/>
      <c r="AD210" s="325"/>
      <c r="AE210" s="325"/>
      <c r="AF210" s="325"/>
      <c r="AG210" s="325"/>
      <c r="AH210" s="325"/>
      <c r="AI210" s="325"/>
    </row>
    <row r="211" spans="1:35">
      <c r="A211" s="325"/>
      <c r="B211" s="1841"/>
      <c r="C211" s="370"/>
      <c r="D211" s="1220" t="s">
        <v>3569</v>
      </c>
      <c r="E211" s="1213" t="s">
        <v>3650</v>
      </c>
      <c r="F211" s="1213"/>
      <c r="G211" s="1213"/>
      <c r="H211" s="1213"/>
      <c r="I211" s="1222"/>
      <c r="J211" s="512"/>
      <c r="K211" s="1211"/>
      <c r="L211" s="1220" t="s">
        <v>3569</v>
      </c>
      <c r="M211" s="1213" t="s">
        <v>3650</v>
      </c>
      <c r="N211" s="1213"/>
      <c r="O211" s="1213"/>
      <c r="P211" s="1213"/>
      <c r="Q211" s="1222"/>
      <c r="R211" s="325"/>
      <c r="S211" s="325"/>
      <c r="T211" s="325"/>
      <c r="U211" s="325"/>
      <c r="V211" s="325"/>
      <c r="W211" s="325"/>
      <c r="X211" s="325"/>
      <c r="Y211" s="325"/>
      <c r="Z211" s="325"/>
      <c r="AA211" s="325"/>
      <c r="AB211" s="325"/>
      <c r="AC211" s="325"/>
      <c r="AD211" s="325"/>
      <c r="AE211" s="325"/>
      <c r="AF211" s="325"/>
      <c r="AG211" s="325"/>
      <c r="AH211" s="325"/>
      <c r="AI211" s="325"/>
    </row>
    <row r="212" spans="1:35">
      <c r="A212" s="325"/>
      <c r="B212" s="1841"/>
      <c r="C212" s="370"/>
      <c r="D212" s="1225"/>
      <c r="E212" s="1226" t="s">
        <v>3648</v>
      </c>
      <c r="F212" s="1213" t="s">
        <v>3693</v>
      </c>
      <c r="G212" s="1213"/>
      <c r="H212" s="1213"/>
      <c r="I212" s="1222"/>
      <c r="J212" s="512"/>
      <c r="K212" s="1211"/>
      <c r="L212" s="1225"/>
      <c r="M212" s="1226" t="s">
        <v>3648</v>
      </c>
      <c r="N212" s="1213" t="s">
        <v>3693</v>
      </c>
      <c r="O212" s="1213"/>
      <c r="P212" s="1213"/>
      <c r="Q212" s="1222"/>
      <c r="R212" s="325"/>
      <c r="S212" s="325"/>
      <c r="T212" s="325"/>
      <c r="U212" s="325"/>
      <c r="V212" s="325"/>
      <c r="W212" s="325"/>
      <c r="X212" s="325"/>
      <c r="Y212" s="325"/>
      <c r="Z212" s="325"/>
      <c r="AA212" s="325"/>
      <c r="AB212" s="325"/>
      <c r="AC212" s="325"/>
      <c r="AD212" s="325"/>
      <c r="AE212" s="325"/>
      <c r="AF212" s="325"/>
      <c r="AG212" s="325"/>
      <c r="AH212" s="325"/>
      <c r="AI212" s="325"/>
    </row>
    <row r="213" spans="1:35">
      <c r="A213" s="325"/>
      <c r="B213" s="1841"/>
      <c r="C213" s="370"/>
      <c r="D213" s="1225"/>
      <c r="E213" s="1213"/>
      <c r="F213" s="1213"/>
      <c r="G213" s="1213"/>
      <c r="H213" s="1213"/>
      <c r="I213" s="1222"/>
      <c r="J213" s="512"/>
      <c r="K213" s="1211"/>
      <c r="L213" s="1225"/>
      <c r="M213" s="1213"/>
      <c r="N213" s="1213"/>
      <c r="O213" s="1213"/>
      <c r="P213" s="1213"/>
      <c r="Q213" s="1222"/>
      <c r="R213" s="325"/>
      <c r="S213" s="325"/>
      <c r="T213" s="325"/>
      <c r="U213" s="325"/>
      <c r="V213" s="325"/>
      <c r="W213" s="325"/>
      <c r="X213" s="325"/>
      <c r="Y213" s="325"/>
      <c r="Z213" s="325"/>
      <c r="AA213" s="325"/>
      <c r="AB213" s="325"/>
      <c r="AC213" s="325"/>
      <c r="AD213" s="325"/>
      <c r="AE213" s="325"/>
      <c r="AF213" s="325"/>
      <c r="AG213" s="325"/>
      <c r="AH213" s="325"/>
      <c r="AI213" s="325"/>
    </row>
    <row r="214" spans="1:35">
      <c r="A214" s="325"/>
      <c r="B214" s="1841"/>
      <c r="C214" s="370"/>
      <c r="D214" s="1220" t="s">
        <v>3574</v>
      </c>
      <c r="E214" s="1213" t="s">
        <v>3652</v>
      </c>
      <c r="F214" s="1213"/>
      <c r="G214" s="1213"/>
      <c r="H214" s="1213"/>
      <c r="I214" s="1222"/>
      <c r="J214" s="512"/>
      <c r="K214" s="1211"/>
      <c r="L214" s="1220" t="s">
        <v>3574</v>
      </c>
      <c r="M214" s="1213" t="s">
        <v>3652</v>
      </c>
      <c r="N214" s="1213"/>
      <c r="O214" s="1213"/>
      <c r="P214" s="1213"/>
      <c r="Q214" s="1222"/>
      <c r="R214" s="325"/>
      <c r="S214" s="325"/>
      <c r="T214" s="325"/>
      <c r="U214" s="325"/>
      <c r="V214" s="325"/>
      <c r="W214" s="325"/>
      <c r="X214" s="325"/>
      <c r="Y214" s="325"/>
      <c r="Z214" s="325"/>
      <c r="AA214" s="325"/>
      <c r="AB214" s="325"/>
      <c r="AC214" s="325"/>
      <c r="AD214" s="325"/>
      <c r="AE214" s="325"/>
      <c r="AF214" s="325"/>
      <c r="AG214" s="325"/>
      <c r="AH214" s="325"/>
      <c r="AI214" s="325"/>
    </row>
    <row r="215" spans="1:35" ht="17" thickBot="1">
      <c r="A215" s="325"/>
      <c r="B215" s="1842"/>
      <c r="C215" s="370"/>
      <c r="D215" s="1227"/>
      <c r="E215" s="1228" t="s">
        <v>3648</v>
      </c>
      <c r="F215" s="1223" t="s">
        <v>3694</v>
      </c>
      <c r="G215" s="1223"/>
      <c r="H215" s="1223"/>
      <c r="I215" s="1224"/>
      <c r="J215" s="512"/>
      <c r="K215" s="1211"/>
      <c r="L215" s="1227"/>
      <c r="M215" s="1228" t="s">
        <v>3648</v>
      </c>
      <c r="N215" s="1223" t="s">
        <v>3694</v>
      </c>
      <c r="O215" s="1223"/>
      <c r="P215" s="1223"/>
      <c r="Q215" s="1224"/>
      <c r="R215" s="325"/>
      <c r="S215" s="325"/>
      <c r="T215" s="325"/>
      <c r="U215" s="325"/>
      <c r="V215" s="325"/>
      <c r="W215" s="325"/>
      <c r="X215" s="325"/>
      <c r="Y215" s="325"/>
      <c r="Z215" s="325"/>
      <c r="AA215" s="325"/>
      <c r="AB215" s="325"/>
      <c r="AC215" s="325"/>
      <c r="AD215" s="325"/>
      <c r="AE215" s="325"/>
      <c r="AF215" s="325"/>
      <c r="AG215" s="325"/>
      <c r="AH215" s="325"/>
      <c r="AI215" s="325"/>
    </row>
    <row r="216" spans="1:35">
      <c r="A216" s="325"/>
      <c r="B216" s="325"/>
      <c r="C216" s="370"/>
      <c r="D216" s="370"/>
      <c r="E216" s="370"/>
      <c r="F216" s="370"/>
      <c r="G216" s="370"/>
      <c r="H216" s="370"/>
      <c r="I216" s="325"/>
      <c r="J216" s="325"/>
      <c r="K216" s="325"/>
      <c r="L216" s="325"/>
      <c r="M216" s="325"/>
      <c r="N216" s="325"/>
      <c r="O216" s="325"/>
      <c r="P216" s="325"/>
      <c r="Q216" s="325"/>
      <c r="R216" s="325"/>
      <c r="S216" s="325"/>
      <c r="T216" s="325"/>
      <c r="U216" s="325"/>
      <c r="V216" s="325"/>
      <c r="W216" s="325"/>
      <c r="X216" s="325"/>
      <c r="Y216" s="325"/>
      <c r="Z216" s="325"/>
      <c r="AA216" s="325"/>
      <c r="AB216" s="325"/>
      <c r="AC216" s="325"/>
      <c r="AD216" s="325"/>
      <c r="AE216" s="325"/>
      <c r="AF216" s="325"/>
      <c r="AG216" s="325"/>
      <c r="AH216" s="325"/>
      <c r="AI216" s="325"/>
    </row>
    <row r="217" spans="1:35" ht="17" thickBot="1">
      <c r="A217" s="907"/>
      <c r="B217" s="907"/>
      <c r="C217" s="907"/>
      <c r="D217" s="907"/>
      <c r="E217" s="907"/>
      <c r="F217" s="907"/>
      <c r="G217" s="907"/>
      <c r="H217" s="907"/>
      <c r="I217" s="907"/>
      <c r="J217" s="907"/>
      <c r="K217" s="907"/>
      <c r="L217" s="907"/>
      <c r="M217" s="605"/>
      <c r="N217" s="605"/>
      <c r="O217" s="605"/>
      <c r="P217" s="605"/>
      <c r="Q217" s="605"/>
      <c r="R217" s="605"/>
    </row>
    <row r="218" spans="1:35" ht="35" customHeight="1" thickBot="1">
      <c r="A218" s="907"/>
      <c r="B218" s="2036" t="s">
        <v>3553</v>
      </c>
      <c r="C218" s="2037"/>
      <c r="D218" s="2037"/>
      <c r="E218" s="2037"/>
      <c r="F218" s="2037"/>
      <c r="G218" s="2038"/>
      <c r="H218" s="907"/>
      <c r="I218" s="907"/>
      <c r="J218" s="907"/>
      <c r="K218" s="907"/>
      <c r="L218" s="907"/>
      <c r="M218" s="605"/>
      <c r="N218" s="605"/>
      <c r="O218" s="605"/>
      <c r="P218" s="605"/>
      <c r="Q218" s="605"/>
      <c r="R218" s="605"/>
    </row>
    <row r="219" spans="1:35" ht="17" customHeight="1">
      <c r="A219" s="907"/>
      <c r="B219" s="975"/>
      <c r="C219" s="975"/>
      <c r="D219" s="975"/>
      <c r="E219" s="975"/>
      <c r="F219" s="907"/>
      <c r="G219" s="907"/>
      <c r="H219" s="907"/>
      <c r="I219" s="907"/>
      <c r="J219" s="907"/>
      <c r="K219" s="907"/>
      <c r="L219" s="907"/>
      <c r="M219" s="605"/>
      <c r="N219" s="605"/>
      <c r="O219" s="605"/>
      <c r="P219" s="605"/>
      <c r="Q219" s="605"/>
      <c r="R219" s="605"/>
    </row>
    <row r="220" spans="1:35">
      <c r="A220" s="907"/>
      <c r="B220" s="1242" t="s">
        <v>3474</v>
      </c>
      <c r="C220" s="1242"/>
      <c r="D220" s="1242"/>
      <c r="E220" s="1242" t="s">
        <v>3472</v>
      </c>
      <c r="F220" s="1234" t="s">
        <v>26</v>
      </c>
      <c r="G220" s="1234" t="s">
        <v>25</v>
      </c>
      <c r="H220" s="907"/>
      <c r="I220" s="907"/>
      <c r="J220" s="907"/>
      <c r="K220" s="907"/>
      <c r="L220" s="907"/>
      <c r="M220" s="605"/>
      <c r="N220" s="605"/>
      <c r="O220" s="605"/>
      <c r="P220" s="605"/>
      <c r="Q220" s="605"/>
      <c r="R220" s="605"/>
    </row>
    <row r="221" spans="1:35">
      <c r="A221" s="907"/>
      <c r="B221" s="1229" t="s">
        <v>251</v>
      </c>
      <c r="C221" s="883" t="s">
        <v>3479</v>
      </c>
      <c r="D221" s="883"/>
      <c r="E221" s="883"/>
      <c r="F221" s="882">
        <v>62.524148796513579</v>
      </c>
      <c r="G221" s="882">
        <v>73.305492476608961</v>
      </c>
      <c r="H221" s="907"/>
      <c r="I221" s="907"/>
      <c r="J221" s="907"/>
      <c r="K221" s="907"/>
      <c r="L221" s="907"/>
      <c r="M221" s="605"/>
      <c r="N221" s="605"/>
      <c r="O221" s="605"/>
      <c r="P221" s="1230"/>
      <c r="Q221" s="605"/>
      <c r="R221" s="605"/>
    </row>
    <row r="222" spans="1:35">
      <c r="A222" s="907"/>
      <c r="B222" s="907"/>
      <c r="C222" s="907"/>
      <c r="D222" s="907"/>
      <c r="E222" s="907"/>
      <c r="F222" s="907"/>
      <c r="G222" s="907"/>
      <c r="H222" s="907"/>
      <c r="I222" s="907"/>
      <c r="J222" s="907"/>
      <c r="K222" s="907"/>
      <c r="L222" s="907"/>
      <c r="M222" s="605"/>
      <c r="N222" s="605"/>
      <c r="O222" s="605"/>
      <c r="P222" s="605"/>
      <c r="Q222" s="605"/>
      <c r="R222" s="605"/>
    </row>
    <row r="223" spans="1:35">
      <c r="A223" s="907"/>
      <c r="B223" s="907"/>
      <c r="C223" s="907"/>
      <c r="D223" s="907"/>
      <c r="E223" s="907"/>
      <c r="F223" s="907"/>
      <c r="G223" s="907"/>
      <c r="H223" s="907"/>
      <c r="I223" s="907"/>
      <c r="J223" s="907"/>
      <c r="K223" s="907"/>
      <c r="L223" s="907"/>
      <c r="M223" s="605"/>
      <c r="N223" s="605"/>
      <c r="O223" s="605"/>
      <c r="P223" s="8"/>
      <c r="Q223" s="8"/>
      <c r="R223" s="605"/>
    </row>
    <row r="224" spans="1:35">
      <c r="D224" s="32"/>
      <c r="M224" s="605"/>
      <c r="N224" s="605"/>
      <c r="O224" s="605"/>
      <c r="P224" s="8"/>
      <c r="Q224" s="8"/>
      <c r="R224" s="605"/>
    </row>
    <row r="225" spans="1:35">
      <c r="D225" s="32"/>
      <c r="M225" s="605"/>
      <c r="N225" s="605"/>
      <c r="O225" s="605"/>
      <c r="P225" s="8"/>
      <c r="Q225" s="8"/>
      <c r="R225" s="605"/>
    </row>
    <row r="226" spans="1:35">
      <c r="D226" s="32"/>
      <c r="M226" s="605"/>
      <c r="N226" s="605"/>
      <c r="O226" s="605"/>
      <c r="P226" s="8"/>
      <c r="Q226" s="8"/>
      <c r="R226" s="605"/>
    </row>
    <row r="227" spans="1:35">
      <c r="D227" s="32"/>
      <c r="M227" s="605"/>
      <c r="N227" s="605"/>
      <c r="O227" s="605"/>
      <c r="P227" s="8"/>
      <c r="Q227" s="8"/>
      <c r="R227" s="605"/>
    </row>
    <row r="228" spans="1:35">
      <c r="D228" s="32"/>
      <c r="M228" s="605"/>
      <c r="N228" s="605"/>
      <c r="O228" s="605"/>
      <c r="P228" s="8"/>
      <c r="Q228" s="8"/>
      <c r="R228" s="605"/>
    </row>
    <row r="229" spans="1:35">
      <c r="D229" s="32"/>
      <c r="M229" s="605"/>
      <c r="N229" s="605"/>
      <c r="O229" s="605"/>
      <c r="P229" s="8"/>
      <c r="Q229" s="8"/>
      <c r="R229" s="605"/>
    </row>
    <row r="230" spans="1:35">
      <c r="D230" s="32"/>
      <c r="M230" s="605"/>
      <c r="N230" s="605"/>
      <c r="O230" s="605"/>
      <c r="P230" s="8"/>
      <c r="Q230" s="8"/>
      <c r="R230" s="605"/>
    </row>
    <row r="231" spans="1:35">
      <c r="D231" s="32"/>
      <c r="M231" s="605"/>
      <c r="N231" s="605"/>
      <c r="O231" s="605"/>
      <c r="P231" s="8"/>
      <c r="Q231" s="8"/>
      <c r="R231" s="605"/>
    </row>
    <row r="232" spans="1:35">
      <c r="D232" s="32"/>
      <c r="M232" s="605"/>
      <c r="N232" s="605"/>
      <c r="O232" s="605"/>
      <c r="P232" s="8"/>
      <c r="Q232" s="8"/>
      <c r="R232" s="605"/>
    </row>
    <row r="233" spans="1:35">
      <c r="D233" s="32"/>
      <c r="M233" s="605"/>
      <c r="N233" s="605"/>
      <c r="O233" s="605"/>
      <c r="P233" s="605"/>
      <c r="Q233" s="605"/>
      <c r="R233" s="605"/>
    </row>
    <row r="234" spans="1:35">
      <c r="D234" s="32"/>
      <c r="M234" s="1231"/>
      <c r="N234" s="1231"/>
      <c r="O234" s="1231"/>
      <c r="P234" s="1232"/>
      <c r="Q234" s="1232"/>
      <c r="R234" s="605"/>
    </row>
    <row r="235" spans="1:35">
      <c r="D235" s="32"/>
      <c r="M235" s="605"/>
      <c r="N235" s="605"/>
      <c r="O235" s="605"/>
      <c r="P235" s="1233"/>
      <c r="Q235" s="1233"/>
      <c r="R235" s="605"/>
    </row>
    <row r="236" spans="1:35">
      <c r="D236" s="32"/>
      <c r="M236" s="605"/>
      <c r="N236" s="605"/>
      <c r="O236" s="605"/>
      <c r="P236" s="605"/>
      <c r="Q236" s="605"/>
      <c r="R236" s="605"/>
    </row>
    <row r="237" spans="1:35">
      <c r="D237" s="32"/>
      <c r="M237" s="605"/>
      <c r="N237" s="605"/>
      <c r="O237" s="605"/>
      <c r="P237" s="605"/>
      <c r="Q237" s="605"/>
      <c r="R237" s="605"/>
    </row>
    <row r="238" spans="1:35">
      <c r="A238" s="852"/>
      <c r="B238" s="852"/>
      <c r="C238" s="852"/>
      <c r="D238" s="589"/>
      <c r="E238" s="852"/>
      <c r="F238" s="852"/>
      <c r="G238" s="852"/>
      <c r="H238" s="852"/>
      <c r="I238" s="852"/>
      <c r="J238" s="852"/>
      <c r="K238" s="852"/>
      <c r="L238" s="852"/>
      <c r="M238" s="852"/>
      <c r="N238" s="852"/>
      <c r="O238" s="852"/>
      <c r="P238" s="852"/>
      <c r="Q238" s="852"/>
      <c r="R238" s="852"/>
      <c r="S238" s="852"/>
      <c r="T238" s="852"/>
      <c r="U238" s="852"/>
      <c r="V238" s="852"/>
      <c r="W238" s="852"/>
      <c r="X238" s="852"/>
      <c r="Y238" s="852"/>
      <c r="Z238" s="852"/>
      <c r="AA238" s="852"/>
      <c r="AB238" s="852"/>
      <c r="AC238" s="852"/>
      <c r="AD238" s="852"/>
      <c r="AE238" s="852"/>
      <c r="AF238" s="852"/>
      <c r="AG238" s="852"/>
      <c r="AH238" s="852"/>
      <c r="AI238" s="852"/>
    </row>
    <row r="239" spans="1:35">
      <c r="A239" s="852"/>
      <c r="B239" s="852"/>
      <c r="C239" s="852"/>
      <c r="D239" s="589"/>
      <c r="E239" s="852"/>
      <c r="F239" s="852"/>
      <c r="G239" s="852"/>
      <c r="H239" s="852"/>
      <c r="I239" s="852"/>
      <c r="J239" s="852"/>
      <c r="K239" s="852"/>
      <c r="L239" s="852"/>
      <c r="M239" s="852"/>
      <c r="N239" s="852"/>
      <c r="O239" s="852"/>
      <c r="P239" s="852"/>
      <c r="Q239" s="852"/>
      <c r="R239" s="852"/>
      <c r="S239" s="852"/>
      <c r="T239" s="852"/>
      <c r="U239" s="852"/>
      <c r="V239" s="852"/>
      <c r="W239" s="852"/>
      <c r="X239" s="852"/>
      <c r="Y239" s="852"/>
      <c r="Z239" s="852"/>
      <c r="AA239" s="852"/>
      <c r="AB239" s="852"/>
      <c r="AC239" s="852"/>
      <c r="AD239" s="852"/>
      <c r="AE239" s="852"/>
      <c r="AF239" s="852"/>
      <c r="AG239" s="852"/>
      <c r="AH239" s="852"/>
      <c r="AI239" s="852"/>
    </row>
    <row r="240" spans="1:35" s="605" customFormat="1"/>
    <row r="241" spans="2:11" s="605" customFormat="1">
      <c r="B241" s="1235"/>
      <c r="C241" s="1235"/>
      <c r="H241" s="1235"/>
      <c r="I241" s="1235"/>
      <c r="J241" s="1235"/>
      <c r="K241" s="1235"/>
    </row>
    <row r="242" spans="2:11" s="605" customFormat="1">
      <c r="H242" s="8"/>
      <c r="I242" s="8"/>
      <c r="J242" s="8"/>
      <c r="K242" s="8"/>
    </row>
    <row r="243" spans="2:11" s="605" customFormat="1">
      <c r="H243" s="8"/>
      <c r="I243" s="8"/>
      <c r="J243" s="8"/>
      <c r="K243" s="8"/>
    </row>
    <row r="244" spans="2:11" s="605" customFormat="1">
      <c r="H244" s="8"/>
      <c r="I244" s="8"/>
      <c r="J244" s="8"/>
      <c r="K244" s="8"/>
    </row>
    <row r="245" spans="2:11" s="605" customFormat="1">
      <c r="H245" s="8"/>
      <c r="I245" s="8"/>
      <c r="J245" s="8"/>
      <c r="K245" s="8"/>
    </row>
    <row r="246" spans="2:11" s="605" customFormat="1">
      <c r="H246" s="8"/>
      <c r="I246" s="8"/>
      <c r="J246" s="8"/>
      <c r="K246" s="8"/>
    </row>
    <row r="247" spans="2:11" s="605" customFormat="1">
      <c r="H247" s="8"/>
      <c r="I247" s="8"/>
      <c r="J247" s="8"/>
      <c r="K247" s="8"/>
    </row>
    <row r="248" spans="2:11" s="605" customFormat="1">
      <c r="B248" s="1236"/>
      <c r="C248" s="1236"/>
      <c r="D248" s="1236"/>
      <c r="E248" s="1236"/>
      <c r="F248" s="1236"/>
      <c r="G248" s="1236"/>
      <c r="H248" s="785"/>
      <c r="I248" s="1237"/>
      <c r="J248" s="785"/>
      <c r="K248" s="1237"/>
    </row>
    <row r="249" spans="2:11" s="605" customFormat="1">
      <c r="B249" s="1236"/>
      <c r="C249" s="1236"/>
      <c r="D249" s="1236"/>
      <c r="E249" s="1236"/>
      <c r="F249" s="1236"/>
      <c r="G249" s="1236"/>
      <c r="H249" s="1238"/>
      <c r="I249" s="1239"/>
      <c r="J249" s="1238"/>
      <c r="K249" s="1239"/>
    </row>
    <row r="250" spans="2:11" s="605" customFormat="1"/>
    <row r="251" spans="2:11" s="605" customFormat="1">
      <c r="B251" s="1235"/>
      <c r="C251" s="1235"/>
      <c r="F251" s="785"/>
      <c r="G251" s="785"/>
    </row>
    <row r="252" spans="2:11" s="605" customFormat="1">
      <c r="F252" s="1240"/>
      <c r="G252" s="1240"/>
    </row>
    <row r="253" spans="2:11" s="605" customFormat="1">
      <c r="F253" s="1240"/>
      <c r="G253" s="1240"/>
    </row>
    <row r="254" spans="2:11" s="605" customFormat="1">
      <c r="F254" s="1240"/>
      <c r="G254" s="1240"/>
    </row>
    <row r="255" spans="2:11" s="605" customFormat="1">
      <c r="B255" s="1231"/>
      <c r="C255" s="1231"/>
      <c r="D255" s="1231"/>
      <c r="E255" s="1231"/>
      <c r="F255" s="1241"/>
      <c r="G255" s="1241"/>
    </row>
    <row r="256" spans="2:11" s="605" customFormat="1"/>
    <row r="257" spans="23:27" s="605" customFormat="1"/>
    <row r="258" spans="23:27">
      <c r="W258" s="852"/>
      <c r="X258" s="852"/>
      <c r="Y258" s="852"/>
      <c r="Z258" s="852"/>
      <c r="AA258" s="852"/>
    </row>
    <row r="259" spans="23:27">
      <c r="W259" s="852"/>
      <c r="X259" s="852"/>
      <c r="Y259" s="852"/>
      <c r="Z259" s="852"/>
      <c r="AA259" s="852"/>
    </row>
    <row r="260" spans="23:27">
      <c r="W260" s="852"/>
      <c r="X260" s="852"/>
      <c r="Y260" s="852"/>
      <c r="Z260" s="852"/>
      <c r="AA260" s="852"/>
    </row>
    <row r="261" spans="23:27">
      <c r="W261" s="852"/>
      <c r="X261" s="852"/>
      <c r="Y261" s="852"/>
      <c r="Z261" s="852"/>
      <c r="AA261" s="852"/>
    </row>
    <row r="262" spans="23:27">
      <c r="W262" s="852"/>
      <c r="X262" s="852"/>
      <c r="Y262" s="852"/>
      <c r="Z262" s="852"/>
      <c r="AA262" s="852"/>
    </row>
    <row r="263" spans="23:27">
      <c r="W263" s="852"/>
      <c r="X263" s="852"/>
      <c r="Y263" s="852"/>
      <c r="Z263" s="852"/>
      <c r="AA263" s="852"/>
    </row>
    <row r="264" spans="23:27">
      <c r="W264" s="852"/>
      <c r="X264" s="852"/>
      <c r="Y264" s="852"/>
      <c r="Z264" s="852"/>
      <c r="AA264" s="852"/>
    </row>
    <row r="265" spans="23:27">
      <c r="W265" s="852"/>
      <c r="X265" s="852"/>
      <c r="Y265" s="852"/>
      <c r="Z265" s="852"/>
      <c r="AA265" s="852"/>
    </row>
    <row r="266" spans="23:27">
      <c r="W266" s="852"/>
      <c r="X266" s="852"/>
      <c r="Y266" s="852"/>
      <c r="Z266" s="852"/>
      <c r="AA266" s="852"/>
    </row>
    <row r="267" spans="23:27">
      <c r="W267" s="852"/>
      <c r="X267" s="852"/>
      <c r="Y267" s="852"/>
      <c r="Z267" s="852"/>
      <c r="AA267" s="852"/>
    </row>
    <row r="268" spans="23:27">
      <c r="W268" s="852"/>
      <c r="X268" s="852"/>
      <c r="Y268" s="852"/>
      <c r="Z268" s="852"/>
      <c r="AA268" s="852"/>
    </row>
    <row r="269" spans="23:27">
      <c r="W269" s="852"/>
      <c r="X269" s="852"/>
      <c r="Y269" s="852"/>
      <c r="Z269" s="852"/>
      <c r="AA269" s="852"/>
    </row>
    <row r="270" spans="23:27">
      <c r="W270" s="852"/>
      <c r="X270" s="852"/>
      <c r="Y270" s="852"/>
      <c r="Z270" s="852"/>
      <c r="AA270" s="852"/>
    </row>
    <row r="271" spans="23:27">
      <c r="W271" s="852"/>
      <c r="X271" s="852"/>
      <c r="Y271" s="852"/>
      <c r="Z271" s="852"/>
      <c r="AA271" s="852"/>
    </row>
    <row r="272" spans="23:27">
      <c r="W272" s="852"/>
      <c r="X272" s="852"/>
      <c r="Y272" s="852"/>
      <c r="Z272" s="852"/>
      <c r="AA272" s="852"/>
    </row>
    <row r="273" spans="23:27">
      <c r="W273" s="852"/>
      <c r="X273" s="852"/>
      <c r="Y273" s="852"/>
      <c r="Z273" s="852"/>
      <c r="AA273" s="852"/>
    </row>
    <row r="274" spans="23:27">
      <c r="W274" s="852"/>
      <c r="X274" s="852"/>
      <c r="Y274" s="852"/>
      <c r="Z274" s="852"/>
      <c r="AA274" s="852"/>
    </row>
    <row r="275" spans="23:27">
      <c r="W275" s="852"/>
      <c r="X275" s="852"/>
      <c r="Y275" s="852"/>
      <c r="Z275" s="852"/>
      <c r="AA275" s="852"/>
    </row>
    <row r="276" spans="23:27">
      <c r="W276" s="852"/>
      <c r="X276" s="852"/>
      <c r="Y276" s="852"/>
      <c r="Z276" s="852"/>
      <c r="AA276" s="852"/>
    </row>
    <row r="277" spans="23:27">
      <c r="W277" s="852"/>
      <c r="X277" s="852"/>
      <c r="Y277" s="852"/>
      <c r="Z277" s="852"/>
      <c r="AA277" s="852"/>
    </row>
    <row r="278" spans="23:27">
      <c r="W278" s="852"/>
      <c r="X278" s="852"/>
      <c r="Y278" s="852"/>
      <c r="Z278" s="852"/>
      <c r="AA278" s="852"/>
    </row>
    <row r="279" spans="23:27">
      <c r="W279" s="852"/>
      <c r="X279" s="852"/>
      <c r="Y279" s="852"/>
      <c r="Z279" s="852"/>
      <c r="AA279" s="852"/>
    </row>
    <row r="280" spans="23:27">
      <c r="W280" s="852"/>
      <c r="X280" s="852"/>
      <c r="Y280" s="852"/>
      <c r="Z280" s="852"/>
      <c r="AA280" s="852"/>
    </row>
    <row r="281" spans="23:27">
      <c r="W281" s="852"/>
      <c r="X281" s="852"/>
      <c r="Y281" s="852"/>
      <c r="Z281" s="852"/>
      <c r="AA281" s="852"/>
    </row>
    <row r="282" spans="23:27">
      <c r="W282" s="852"/>
      <c r="X282" s="852"/>
      <c r="Y282" s="852"/>
      <c r="Z282" s="852"/>
      <c r="AA282" s="852"/>
    </row>
    <row r="283" spans="23:27">
      <c r="W283" s="852"/>
      <c r="X283" s="852"/>
      <c r="Y283" s="852"/>
      <c r="Z283" s="852"/>
      <c r="AA283" s="852"/>
    </row>
    <row r="284" spans="23:27">
      <c r="W284" s="852"/>
      <c r="X284" s="852"/>
      <c r="Y284" s="852"/>
      <c r="Z284" s="852"/>
      <c r="AA284" s="852"/>
    </row>
  </sheetData>
  <sheetProtection algorithmName="SHA-512" hashValue="+D9iX4OWlTK7Pjc6dQSfJzn8Zl9OfrUj14JA99h6rzlyM/ACKQpP65tYs/8qypMq8GfHZ1vnmp4yHkw+le7IPQ==" saltValue="hcwjzZUiyxsx/vbq+3M8/w==" spinCount="100000" sheet="1" objects="1" scenarios="1"/>
  <mergeCells count="65">
    <mergeCell ref="B24:B72"/>
    <mergeCell ref="M29:N29"/>
    <mergeCell ref="AF29:AG29"/>
    <mergeCell ref="P30:Q30"/>
    <mergeCell ref="X35:Y35"/>
    <mergeCell ref="E25:I26"/>
    <mergeCell ref="M25:Q26"/>
    <mergeCell ref="U25:Y26"/>
    <mergeCell ref="AC25:AG26"/>
    <mergeCell ref="AB28:AH28"/>
    <mergeCell ref="X44:Y44"/>
    <mergeCell ref="H46:I46"/>
    <mergeCell ref="B1:G3"/>
    <mergeCell ref="F6:J7"/>
    <mergeCell ref="E10:F10"/>
    <mergeCell ref="G10:H10"/>
    <mergeCell ref="E21:F21"/>
    <mergeCell ref="G21:H21"/>
    <mergeCell ref="B5:B21"/>
    <mergeCell ref="E76:I77"/>
    <mergeCell ref="N76:R77"/>
    <mergeCell ref="N85:O85"/>
    <mergeCell ref="T49:V49"/>
    <mergeCell ref="T57:Y57"/>
    <mergeCell ref="D49:F49"/>
    <mergeCell ref="D57:I57"/>
    <mergeCell ref="L49:N49"/>
    <mergeCell ref="L57:Q57"/>
    <mergeCell ref="AB141:AC141"/>
    <mergeCell ref="B218:G218"/>
    <mergeCell ref="E185:I186"/>
    <mergeCell ref="M185:Q186"/>
    <mergeCell ref="W192:AA195"/>
    <mergeCell ref="E194:F194"/>
    <mergeCell ref="H194:I194"/>
    <mergeCell ref="M194:N194"/>
    <mergeCell ref="P194:Q194"/>
    <mergeCell ref="H144:I144"/>
    <mergeCell ref="U146:V146"/>
    <mergeCell ref="O151:P151"/>
    <mergeCell ref="E98:F98"/>
    <mergeCell ref="E102:F102"/>
    <mergeCell ref="H102:I102"/>
    <mergeCell ref="D106:F106"/>
    <mergeCell ref="Z134:AC135"/>
    <mergeCell ref="E134:I135"/>
    <mergeCell ref="M134:P135"/>
    <mergeCell ref="T134:V135"/>
    <mergeCell ref="M114:R114"/>
    <mergeCell ref="R86:S86"/>
    <mergeCell ref="B75:B130"/>
    <mergeCell ref="B133:B181"/>
    <mergeCell ref="B184:B215"/>
    <mergeCell ref="S155:U155"/>
    <mergeCell ref="S166:X166"/>
    <mergeCell ref="D204:I204"/>
    <mergeCell ref="D198:F198"/>
    <mergeCell ref="L198:N198"/>
    <mergeCell ref="L204:Q204"/>
    <mergeCell ref="L155:N155"/>
    <mergeCell ref="D155:F155"/>
    <mergeCell ref="D166:I166"/>
    <mergeCell ref="L166:Q166"/>
    <mergeCell ref="D114:I114"/>
    <mergeCell ref="M106:O106"/>
  </mergeCells>
  <dataValidations count="15">
    <dataValidation type="list" allowBlank="1" showInputMessage="1" showErrorMessage="1" sqref="I95" xr:uid="{782A457F-758A-3C4D-A9C4-44D46B63556F}">
      <formula1>$G$91:$G$95</formula1>
    </dataValidation>
    <dataValidation type="list" allowBlank="1" showInputMessage="1" showErrorMessage="1" sqref="H190 P190" xr:uid="{13F29C8D-A133-F44B-985E-15D1D5F53161}">
      <formula1>$E$189:$E$190</formula1>
    </dataValidation>
    <dataValidation type="list" allowBlank="1" showInputMessage="1" showErrorMessage="1" sqref="AC139" xr:uid="{1B2EFDED-0D9A-264E-895E-D2C8794E9C05}">
      <formula1>$Z$138:$Z$139</formula1>
    </dataValidation>
    <dataValidation type="list" allowBlank="1" showInputMessage="1" showErrorMessage="1" sqref="V144" xr:uid="{70A4CF2D-5539-5A43-AB62-91DC7CD5FCA7}">
      <formula1>$T$143:$T$144</formula1>
    </dataValidation>
    <dataValidation type="list" allowBlank="1" showInputMessage="1" showErrorMessage="1" sqref="V139" xr:uid="{F27FD688-B021-5746-87D1-DD6A78418BE9}">
      <formula1>$T$138:$T$139</formula1>
    </dataValidation>
    <dataValidation type="list" allowBlank="1" showInputMessage="1" showErrorMessage="1" sqref="I143" xr:uid="{71225CA8-00BB-6840-8BE1-409F6FB8F4E2}">
      <formula1>$F$138:$F$143</formula1>
    </dataValidation>
    <dataValidation type="list" allowBlank="1" showInputMessage="1" showErrorMessage="1" sqref="P139" xr:uid="{44E3B7BA-4882-A642-8A9E-1C5F5D724B8A}">
      <formula1>$M$138:$M$139</formula1>
    </dataValidation>
    <dataValidation type="list" allowBlank="1" showInputMessage="1" showErrorMessage="1" sqref="P147" xr:uid="{A97A9CA5-FE8C-0B48-A7D7-6E7C422E7FF4}">
      <formula1>$M$143:$M$146</formula1>
    </dataValidation>
    <dataValidation type="list" allowBlank="1" showInputMessage="1" showErrorMessage="1" sqref="I141" xr:uid="{802437B1-94C9-FD4D-A66A-1A5195F3BBE5}">
      <formula1>$E$138:$E$140</formula1>
    </dataValidation>
    <dataValidation type="list" allowBlank="1" showInputMessage="1" showErrorMessage="1" sqref="H39" xr:uid="{E093ACC6-1DF2-0444-80F6-32EF7740AAFE}">
      <formula1>$G$35:$G$39</formula1>
    </dataValidation>
    <dataValidation type="list" allowBlank="1" showInputMessage="1" showErrorMessage="1" sqref="X40" xr:uid="{F9071352-D127-B74F-9374-5D77C6BBF40D}">
      <formula1>$W$38:$W$40</formula1>
    </dataValidation>
    <dataValidation type="list" allowBlank="1" showInputMessage="1" showErrorMessage="1" sqref="I81 R81 AF32 Q33" xr:uid="{1003C95A-1ADE-1046-A8F7-281FC0BD435D}">
      <formula1>$F$80:$F$81</formula1>
    </dataValidation>
    <dataValidation type="list" allowBlank="1" showInputMessage="1" showErrorMessage="1" sqref="H18" xr:uid="{DE278D55-751F-9645-9110-C7C37A0589BE}">
      <formula1>$F$13:$F$18</formula1>
    </dataValidation>
    <dataValidation type="list" allowBlank="1" showInputMessage="1" showErrorMessage="1" sqref="X35:Y35" xr:uid="{6D972BA2-3034-E04E-9025-1D68DECDEB9F}">
      <formula1>$V$29:$V$35</formula1>
    </dataValidation>
    <dataValidation type="list" allowBlank="1" showInputMessage="1" showErrorMessage="1" sqref="H32 I88" xr:uid="{430C612E-B3E7-3C4A-A79B-AA96E7E45491}">
      <formula1>$F$29:$F$32</formula1>
    </dataValidation>
  </dataValidations>
  <hyperlinks>
    <hyperlink ref="F192" location="'Iteration II Simulation'!L164" display="Next -&gt;" xr:uid="{7C51E1EF-A175-A949-95F5-AEA7F18367C7}"/>
    <hyperlink ref="F191" location="'Iteration II Simulation'!D169" display="Next -&gt;" xr:uid="{BA789933-EEF7-084F-B43C-33A2406E6535}"/>
    <hyperlink ref="J194" location="'Iteration II Simulation'!L164" display="Next -&gt;" xr:uid="{E43F0F0A-9436-014A-9887-48C81056DBEE}"/>
    <hyperlink ref="R194" location="'Iteration II Simulation'!W168" display="Next -&gt;" xr:uid="{BCA6DC8B-13DA-3E44-ADCD-D98A74DF1775}"/>
    <hyperlink ref="N192" location="'Iteration II Simulation'!L164" display="Next -&gt;" xr:uid="{037CE754-3320-CB44-B173-44E27659DBC0}"/>
    <hyperlink ref="N191" location="'Iteration II Simulation'!D169" display="Next -&gt;" xr:uid="{58939FD4-D5D8-C348-B303-E025BBA55041}"/>
    <hyperlink ref="AA196" location="'Iteration II Simulation'!B188" display="Click Here" xr:uid="{58A5C2E1-46B5-974B-83B8-79827F205C61}"/>
    <hyperlink ref="AA197" location="'Iteration II Simulation'!B208" display="Click Here" xr:uid="{E3D040DD-713C-9B42-93A2-F8C0DF9BEB37}"/>
    <hyperlink ref="AA198" location="'Iteration II Simulation'!AD208" display="Click Here" xr:uid="{9D2BE7F4-E882-F54A-91BB-4A6C99A67187}"/>
  </hyperlinks>
  <pageMargins left="0.7" right="0.7" top="0.75" bottom="0.75" header="0.3" footer="0.3"/>
  <pageSetup paperSize="9" scale="84" orientation="portrait" horizontalDpi="0" verticalDpi="0"/>
  <extLst>
    <ext xmlns:x14="http://schemas.microsoft.com/office/spreadsheetml/2009/9/main" uri="{CCE6A557-97BC-4b89-ADB6-D9C93CAAB3DF}">
      <x14:dataValidations xmlns:xm="http://schemas.microsoft.com/office/excel/2006/main" count="6">
        <x14:dataValidation type="list" allowBlank="1" showInputMessage="1" showErrorMessage="1" xr:uid="{C88B2CF8-0916-5745-85B4-98FB305DA8F7}">
          <x14:formula1>
            <xm:f>Outward!$D$1:$D$21</xm:f>
          </x14:formula1>
          <xm:sqref>G144</xm:sqref>
        </x14:dataValidation>
        <x14:dataValidation type="list" allowBlank="1" showInputMessage="1" showErrorMessage="1" xr:uid="{1B84A97E-41DD-A84F-8BCB-7C67A1C4293E}">
          <x14:formula1>
            <xm:f>Outward!$D$1:$D$11</xm:f>
          </x14:formula1>
          <xm:sqref>G46 G102</xm:sqref>
        </x14:dataValidation>
        <x14:dataValidation type="list" allowBlank="1" showInputMessage="1" showErrorMessage="1" xr:uid="{D0C667D3-3E68-7740-8FFA-A91B7A505456}">
          <x14:formula1>
            <xm:f>Outward!$D$1:$D$169</xm:f>
          </x14:formula1>
          <xm:sqref>N150:N151</xm:sqref>
        </x14:dataValidation>
        <x14:dataValidation type="list" allowBlank="1" showInputMessage="1" showErrorMessage="1" xr:uid="{D97A6485-3838-4642-8250-9FF3DD578C7D}">
          <x14:formula1>
            <xm:f>Outward!$D$2:$D$201</xm:f>
          </x14:formula1>
          <xm:sqref>G194 O194</xm:sqref>
        </x14:dataValidation>
        <x14:dataValidation type="list" allowBlank="1" showInputMessage="1" showErrorMessage="1" xr:uid="{EC9235C2-F201-AD40-AD30-5A81DE746BD3}">
          <x14:formula1>
            <xm:f>Outward!$D$2:$D$169</xm:f>
          </x14:formula1>
          <xm:sqref>P85 G98 W44 O29 G42</xm:sqref>
        </x14:dataValidation>
        <x14:dataValidation type="list" allowBlank="1" showInputMessage="1" showErrorMessage="1" xr:uid="{A767FA50-0DB2-EB4B-8B7B-F3C60F8F0A52}">
          <x14:formula1>
            <xm:f>Outward!$B$2:$B$2983</xm:f>
          </x14:formula1>
          <xm:sqref>G10:H10 G21:H21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83BEF-468B-7C40-9374-A697CE808B23}">
  <sheetPr codeName="Sheet7">
    <tabColor theme="1"/>
  </sheetPr>
  <dimension ref="A1:AK206"/>
  <sheetViews>
    <sheetView topLeftCell="A41" zoomScaleNormal="100" workbookViewId="0">
      <selection activeCell="N68" sqref="N68"/>
    </sheetView>
  </sheetViews>
  <sheetFormatPr baseColWidth="10" defaultRowHeight="16"/>
  <cols>
    <col min="1" max="1" width="3.33203125" style="32" customWidth="1"/>
    <col min="2" max="2" width="10.83203125" style="32" customWidth="1"/>
    <col min="3" max="3" width="6.33203125" style="32" customWidth="1"/>
    <col min="4" max="4" width="10.83203125" style="177"/>
    <col min="5" max="5" width="17.1640625" style="32" customWidth="1"/>
    <col min="6" max="6" width="13.6640625" style="32" customWidth="1"/>
    <col min="7" max="7" width="13" style="32" customWidth="1"/>
    <col min="8" max="8" width="15.1640625" style="32" customWidth="1"/>
    <col min="9" max="9" width="15.6640625" style="32" customWidth="1"/>
    <col min="10" max="10" width="12" style="32" customWidth="1"/>
    <col min="11" max="11" width="11.5" style="32" customWidth="1"/>
    <col min="12" max="12" width="10.83203125" style="32"/>
    <col min="13" max="13" width="18.83203125" style="32" customWidth="1"/>
    <col min="14" max="14" width="14" style="32" customWidth="1"/>
    <col min="15" max="15" width="14.33203125" style="32" customWidth="1"/>
    <col min="16" max="16" width="15.33203125" style="32" customWidth="1"/>
    <col min="17" max="17" width="15.1640625" style="32" customWidth="1"/>
    <col min="18" max="18" width="10.6640625" style="32" customWidth="1"/>
    <col min="19" max="19" width="14.83203125" style="32" customWidth="1"/>
    <col min="20" max="20" width="10.83203125" style="32"/>
    <col min="21" max="21" width="11" style="32" bestFit="1" customWidth="1"/>
    <col min="22" max="22" width="16.6640625" style="32" customWidth="1"/>
    <col min="23" max="23" width="11" style="32" bestFit="1" customWidth="1"/>
    <col min="24" max="24" width="11.83203125" style="32" customWidth="1"/>
    <col min="25" max="26" width="10.83203125" style="32"/>
    <col min="27" max="27" width="12.83203125" style="32" customWidth="1"/>
    <col min="28" max="28" width="10.83203125" style="32"/>
    <col min="29" max="29" width="12.5" style="32" customWidth="1"/>
    <col min="30" max="30" width="11.83203125" style="32" customWidth="1"/>
    <col min="31" max="37" width="10.83203125" style="32"/>
    <col min="38" max="16384" width="10.83203125" style="852"/>
  </cols>
  <sheetData>
    <row r="1" spans="1:37" ht="16" customHeight="1">
      <c r="A1" s="796"/>
      <c r="B1" s="1889" t="s">
        <v>3332</v>
      </c>
      <c r="C1" s="1889"/>
      <c r="D1" s="1889"/>
      <c r="E1" s="1889"/>
      <c r="F1" s="1889"/>
      <c r="G1" s="1889"/>
      <c r="H1" s="503"/>
      <c r="I1" s="503"/>
      <c r="J1" s="504"/>
      <c r="K1" s="504"/>
      <c r="L1" s="504"/>
      <c r="M1" s="504"/>
      <c r="N1" s="504"/>
      <c r="O1" s="504"/>
      <c r="P1" s="504"/>
      <c r="Q1" s="503"/>
      <c r="R1" s="503"/>
      <c r="S1" s="503"/>
      <c r="T1" s="503"/>
      <c r="U1" s="503"/>
      <c r="V1" s="503"/>
      <c r="W1" s="503"/>
      <c r="X1" s="503"/>
      <c r="Y1" s="503"/>
      <c r="Z1" s="503"/>
      <c r="AA1" s="503"/>
      <c r="AB1" s="503"/>
      <c r="AC1" s="503"/>
      <c r="AD1" s="503"/>
      <c r="AE1" s="503"/>
      <c r="AF1" s="503"/>
      <c r="AG1" s="503"/>
      <c r="AH1" s="503"/>
      <c r="AI1" s="503"/>
      <c r="AJ1" s="503"/>
      <c r="AK1" s="503"/>
    </row>
    <row r="2" spans="1:37" ht="16" customHeight="1">
      <c r="A2" s="796"/>
      <c r="B2" s="1889"/>
      <c r="C2" s="1889"/>
      <c r="D2" s="1889"/>
      <c r="E2" s="1889"/>
      <c r="F2" s="1889"/>
      <c r="G2" s="1889"/>
      <c r="H2" s="503"/>
      <c r="I2" s="503"/>
      <c r="J2" s="504"/>
      <c r="K2" s="504"/>
      <c r="L2" s="504"/>
      <c r="M2" s="504"/>
      <c r="N2" s="504"/>
      <c r="O2" s="504"/>
      <c r="P2" s="504"/>
      <c r="Q2" s="503"/>
      <c r="R2" s="503"/>
      <c r="S2" s="503"/>
      <c r="T2" s="503"/>
      <c r="U2" s="503"/>
      <c r="V2" s="503"/>
      <c r="W2" s="503"/>
      <c r="X2" s="503"/>
      <c r="Y2" s="503"/>
      <c r="Z2" s="503"/>
      <c r="AA2" s="503"/>
      <c r="AB2" s="503"/>
      <c r="AC2" s="503"/>
      <c r="AD2" s="503"/>
      <c r="AE2" s="503"/>
      <c r="AF2" s="503"/>
      <c r="AG2" s="503"/>
      <c r="AH2" s="503"/>
      <c r="AI2" s="503"/>
      <c r="AJ2" s="503"/>
      <c r="AK2" s="503"/>
    </row>
    <row r="3" spans="1:37" ht="16" customHeight="1">
      <c r="A3" s="796"/>
      <c r="B3" s="1889"/>
      <c r="C3" s="1889"/>
      <c r="D3" s="1889"/>
      <c r="E3" s="1889"/>
      <c r="F3" s="1889"/>
      <c r="G3" s="1889"/>
      <c r="H3" s="503"/>
      <c r="I3" s="503"/>
      <c r="J3" s="504"/>
      <c r="K3" s="504"/>
      <c r="L3" s="504"/>
      <c r="M3" s="504"/>
      <c r="N3" s="504"/>
      <c r="O3" s="504"/>
      <c r="P3" s="504"/>
      <c r="Q3" s="503"/>
      <c r="R3" s="503"/>
      <c r="S3" s="503"/>
      <c r="T3" s="503"/>
      <c r="U3" s="503"/>
      <c r="V3" s="503"/>
      <c r="W3" s="503"/>
      <c r="X3" s="503"/>
      <c r="Y3" s="503"/>
      <c r="Z3" s="503"/>
      <c r="AA3" s="503"/>
      <c r="AB3" s="503"/>
      <c r="AC3" s="503"/>
      <c r="AD3" s="503"/>
      <c r="AE3" s="503"/>
      <c r="AF3" s="503"/>
      <c r="AG3" s="503"/>
      <c r="AH3" s="503"/>
      <c r="AI3" s="503"/>
      <c r="AJ3" s="503"/>
      <c r="AK3" s="503"/>
    </row>
    <row r="4" spans="1:37" ht="29">
      <c r="A4" s="506"/>
      <c r="B4" s="795" t="s">
        <v>3460</v>
      </c>
      <c r="C4" s="506"/>
      <c r="D4" s="506"/>
      <c r="E4" s="506"/>
      <c r="F4" s="506"/>
      <c r="G4" s="506"/>
      <c r="H4" s="503"/>
      <c r="I4" s="503"/>
      <c r="J4" s="504"/>
      <c r="K4" s="504"/>
      <c r="L4" s="504"/>
      <c r="M4" s="504"/>
      <c r="N4" s="504"/>
      <c r="O4" s="504"/>
      <c r="P4" s="504"/>
      <c r="Q4" s="503"/>
      <c r="R4" s="503"/>
      <c r="S4" s="503"/>
      <c r="T4" s="503"/>
      <c r="U4" s="503"/>
      <c r="V4" s="503"/>
      <c r="W4" s="503"/>
      <c r="X4" s="503"/>
      <c r="Y4" s="503"/>
      <c r="Z4" s="503"/>
      <c r="AA4" s="503"/>
      <c r="AB4" s="503"/>
      <c r="AC4" s="503"/>
      <c r="AD4" s="503"/>
      <c r="AE4" s="503"/>
      <c r="AF4" s="503"/>
      <c r="AG4" s="503"/>
      <c r="AH4" s="503"/>
      <c r="AI4" s="503"/>
      <c r="AJ4" s="503"/>
      <c r="AK4" s="503"/>
    </row>
    <row r="5" spans="1:37" ht="14" customHeight="1">
      <c r="A5" s="506"/>
      <c r="B5" s="506"/>
      <c r="C5" s="506"/>
      <c r="D5" s="506"/>
      <c r="E5" s="506"/>
      <c r="F5" s="506"/>
      <c r="G5" s="506"/>
      <c r="H5" s="503"/>
      <c r="I5" s="503"/>
      <c r="J5" s="504"/>
      <c r="K5" s="504"/>
      <c r="L5" s="504"/>
      <c r="M5" s="504"/>
      <c r="N5" s="504"/>
      <c r="O5" s="504"/>
      <c r="P5" s="504"/>
      <c r="Q5" s="503"/>
      <c r="R5" s="503"/>
      <c r="S5" s="503"/>
      <c r="T5" s="503"/>
      <c r="U5" s="503"/>
      <c r="V5" s="503"/>
      <c r="W5" s="503"/>
      <c r="X5" s="503"/>
      <c r="Y5" s="503"/>
      <c r="Z5" s="503"/>
      <c r="AA5" s="503"/>
      <c r="AB5" s="503"/>
      <c r="AC5" s="503"/>
      <c r="AD5" s="503"/>
      <c r="AE5" s="503"/>
      <c r="AF5" s="503"/>
      <c r="AG5" s="503"/>
      <c r="AH5" s="503"/>
      <c r="AI5" s="503"/>
      <c r="AJ5" s="503"/>
      <c r="AK5" s="503"/>
    </row>
    <row r="6" spans="1:37" ht="17" thickBot="1">
      <c r="A6" s="445"/>
      <c r="B6" s="446"/>
      <c r="C6" s="445"/>
      <c r="D6" s="447"/>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445"/>
      <c r="AF6" s="445"/>
      <c r="AG6" s="445"/>
      <c r="AH6" s="445"/>
      <c r="AI6" s="445"/>
      <c r="AJ6" s="445"/>
      <c r="AK6" s="445"/>
    </row>
    <row r="7" spans="1:37" ht="17" customHeight="1" thickBot="1">
      <c r="A7" s="445"/>
      <c r="B7" s="1913" t="s">
        <v>86</v>
      </c>
      <c r="C7" s="446"/>
      <c r="D7" s="447"/>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445"/>
      <c r="AF7" s="445"/>
      <c r="AG7" s="445"/>
      <c r="AH7" s="445"/>
      <c r="AI7" s="445"/>
      <c r="AJ7" s="445"/>
      <c r="AK7" s="445"/>
    </row>
    <row r="8" spans="1:37" ht="16" customHeight="1">
      <c r="A8" s="445"/>
      <c r="B8" s="1914"/>
      <c r="C8" s="446"/>
      <c r="D8" s="447"/>
      <c r="E8" s="549"/>
      <c r="F8" s="1906" t="s">
        <v>98</v>
      </c>
      <c r="G8" s="1907"/>
      <c r="H8" s="1907"/>
      <c r="I8" s="1907"/>
      <c r="J8" s="1908"/>
      <c r="K8" s="549"/>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row>
    <row r="9" spans="1:37" ht="17" customHeight="1" thickBot="1">
      <c r="A9" s="445"/>
      <c r="B9" s="1914"/>
      <c r="C9" s="446"/>
      <c r="D9" s="447"/>
      <c r="E9" s="549"/>
      <c r="F9" s="1909"/>
      <c r="G9" s="1910"/>
      <c r="H9" s="1910"/>
      <c r="I9" s="1910"/>
      <c r="J9" s="1911"/>
      <c r="K9" s="549"/>
      <c r="L9" s="445"/>
      <c r="M9" s="445"/>
      <c r="N9" s="445"/>
      <c r="O9" s="445"/>
      <c r="P9" s="445"/>
      <c r="Q9" s="445"/>
      <c r="R9" s="445"/>
      <c r="S9" s="445"/>
      <c r="T9" s="445"/>
      <c r="U9" s="445"/>
      <c r="V9" s="445"/>
      <c r="W9" s="445"/>
      <c r="X9" s="445"/>
      <c r="Y9" s="445"/>
      <c r="Z9" s="445"/>
      <c r="AA9" s="445"/>
      <c r="AB9" s="445"/>
      <c r="AC9" s="445"/>
      <c r="AD9" s="445"/>
      <c r="AE9" s="445"/>
      <c r="AF9" s="445"/>
      <c r="AG9" s="445"/>
      <c r="AH9" s="445"/>
      <c r="AI9" s="445"/>
      <c r="AJ9" s="445"/>
      <c r="AK9" s="445"/>
    </row>
    <row r="10" spans="1:37">
      <c r="A10" s="445"/>
      <c r="B10" s="1914"/>
      <c r="C10" s="446"/>
      <c r="D10" s="447"/>
      <c r="E10" s="445"/>
      <c r="F10" s="445"/>
      <c r="G10" s="445"/>
      <c r="H10" s="445"/>
      <c r="I10" s="445"/>
      <c r="J10" s="445"/>
      <c r="K10" s="445"/>
      <c r="L10" s="445"/>
      <c r="M10" s="445"/>
      <c r="N10" s="445"/>
      <c r="O10" s="445"/>
      <c r="P10" s="445"/>
      <c r="Q10" s="445"/>
      <c r="R10" s="445"/>
      <c r="S10" s="445"/>
      <c r="T10" s="445"/>
      <c r="U10" s="445"/>
      <c r="V10" s="445"/>
      <c r="W10" s="445"/>
      <c r="X10" s="445"/>
      <c r="Y10" s="445"/>
      <c r="Z10" s="445"/>
      <c r="AA10" s="445"/>
      <c r="AB10" s="445"/>
      <c r="AC10" s="445"/>
      <c r="AD10" s="445"/>
      <c r="AE10" s="445"/>
      <c r="AF10" s="445"/>
      <c r="AG10" s="445"/>
      <c r="AH10" s="445"/>
      <c r="AI10" s="445"/>
      <c r="AJ10" s="445"/>
      <c r="AK10" s="445"/>
    </row>
    <row r="11" spans="1:37" ht="17" thickBot="1">
      <c r="A11" s="445"/>
      <c r="B11" s="1914"/>
      <c r="C11" s="446"/>
      <c r="D11" s="579" t="s">
        <v>45</v>
      </c>
      <c r="E11" s="212" t="str">
        <f>'Iteration II Simulation'!E11</f>
        <v>Please enter the outward postcode (First 3-4 characters of your postcode) of the area in which your residence is located.</v>
      </c>
      <c r="F11" s="212"/>
      <c r="G11" s="212"/>
      <c r="H11" s="212"/>
      <c r="I11" s="212"/>
      <c r="J11" s="212"/>
      <c r="K11" s="503"/>
      <c r="L11" s="503"/>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445"/>
      <c r="AK11" s="445"/>
    </row>
    <row r="12" spans="1:37" ht="17" thickBot="1">
      <c r="A12" s="445"/>
      <c r="B12" s="1914"/>
      <c r="C12" s="446"/>
      <c r="D12" s="447"/>
      <c r="E12" s="1871" t="s">
        <v>46</v>
      </c>
      <c r="F12" s="1872"/>
      <c r="G12" s="1873">
        <f>'Iteration II Simulation'!O219</f>
        <v>0</v>
      </c>
      <c r="H12" s="1874"/>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445"/>
      <c r="AK12" s="445"/>
    </row>
    <row r="13" spans="1:37">
      <c r="A13" s="445"/>
      <c r="B13" s="1914"/>
      <c r="C13" s="446"/>
      <c r="D13" s="447"/>
      <c r="E13" s="445"/>
      <c r="F13" s="445"/>
      <c r="G13" s="445"/>
      <c r="H13" s="445"/>
      <c r="I13" s="445"/>
      <c r="J13" s="445"/>
      <c r="K13" s="445"/>
      <c r="L13" s="445"/>
      <c r="M13" s="445"/>
      <c r="N13" s="445"/>
      <c r="O13" s="445"/>
      <c r="P13" s="445"/>
      <c r="Q13" s="445"/>
      <c r="R13" s="445"/>
      <c r="S13" s="445"/>
      <c r="T13" s="445"/>
      <c r="U13" s="445"/>
      <c r="V13" s="445"/>
      <c r="W13" s="445"/>
      <c r="X13" s="445"/>
      <c r="Y13" s="445"/>
      <c r="Z13" s="445"/>
      <c r="AA13" s="445"/>
      <c r="AB13" s="445"/>
      <c r="AC13" s="445"/>
      <c r="AD13" s="445"/>
      <c r="AE13" s="445"/>
      <c r="AF13" s="445"/>
      <c r="AG13" s="445"/>
      <c r="AH13" s="445"/>
      <c r="AI13" s="445"/>
      <c r="AJ13" s="445"/>
      <c r="AK13" s="445"/>
    </row>
    <row r="14" spans="1:37">
      <c r="A14" s="445"/>
      <c r="B14" s="1914"/>
      <c r="C14" s="446"/>
      <c r="D14" s="579" t="s">
        <v>47</v>
      </c>
      <c r="E14" s="212" t="str">
        <f>'Iteration II Simulation'!E14</f>
        <v>How do you usually commute to work, college or school?</v>
      </c>
      <c r="F14" s="212"/>
      <c r="G14" s="212"/>
      <c r="H14" s="212"/>
      <c r="I14" s="212"/>
      <c r="J14" s="212"/>
      <c r="K14" s="212"/>
      <c r="L14" s="212"/>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445"/>
      <c r="AK14" s="445"/>
    </row>
    <row r="15" spans="1:37">
      <c r="A15" s="445"/>
      <c r="B15" s="1914"/>
      <c r="C15" s="446"/>
      <c r="D15" s="447"/>
      <c r="E15" s="787" t="s">
        <v>34</v>
      </c>
      <c r="F15" s="445" t="s">
        <v>48</v>
      </c>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445"/>
      <c r="AK15" s="445"/>
    </row>
    <row r="16" spans="1:37">
      <c r="A16" s="445"/>
      <c r="B16" s="1914"/>
      <c r="C16" s="446"/>
      <c r="D16" s="447"/>
      <c r="E16" s="787" t="s">
        <v>35</v>
      </c>
      <c r="F16" s="445" t="s">
        <v>49</v>
      </c>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445"/>
      <c r="AK16" s="445"/>
    </row>
    <row r="17" spans="1:37">
      <c r="A17" s="445"/>
      <c r="B17" s="1914"/>
      <c r="C17" s="446"/>
      <c r="D17" s="447"/>
      <c r="E17" s="787" t="s">
        <v>36</v>
      </c>
      <c r="F17" s="445" t="s">
        <v>50</v>
      </c>
      <c r="G17" s="445"/>
      <c r="H17" s="445"/>
      <c r="I17" s="445"/>
      <c r="J17" s="445"/>
      <c r="K17" s="445"/>
      <c r="L17" s="445"/>
      <c r="M17" s="445"/>
      <c r="N17" s="445"/>
      <c r="O17" s="445"/>
      <c r="P17" s="445"/>
      <c r="Q17" s="445"/>
      <c r="R17" s="445"/>
      <c r="S17" s="445"/>
      <c r="T17" s="445"/>
      <c r="U17" s="445"/>
      <c r="V17" s="445"/>
      <c r="W17" s="445"/>
      <c r="X17" s="445"/>
      <c r="Y17" s="445"/>
      <c r="Z17" s="445"/>
      <c r="AA17" s="445"/>
      <c r="AB17" s="445"/>
      <c r="AC17" s="445"/>
      <c r="AD17" s="445"/>
      <c r="AE17" s="445"/>
      <c r="AF17" s="445"/>
      <c r="AG17" s="445"/>
      <c r="AH17" s="445"/>
      <c r="AI17" s="445"/>
      <c r="AJ17" s="445"/>
      <c r="AK17" s="445"/>
    </row>
    <row r="18" spans="1:37">
      <c r="A18" s="445"/>
      <c r="B18" s="1914"/>
      <c r="C18" s="446"/>
      <c r="D18" s="447"/>
      <c r="E18" s="787" t="s">
        <v>37</v>
      </c>
      <c r="F18" s="445" t="s">
        <v>51</v>
      </c>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445"/>
      <c r="AK18" s="445"/>
    </row>
    <row r="19" spans="1:37" ht="17" thickBot="1">
      <c r="A19" s="445"/>
      <c r="B19" s="1914"/>
      <c r="C19" s="446"/>
      <c r="D19" s="447"/>
      <c r="E19" s="787" t="s">
        <v>38</v>
      </c>
      <c r="F19" s="445" t="s">
        <v>52</v>
      </c>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445"/>
      <c r="AK19" s="445"/>
    </row>
    <row r="20" spans="1:37" ht="17" thickBot="1">
      <c r="A20" s="445"/>
      <c r="B20" s="1914"/>
      <c r="C20" s="446"/>
      <c r="D20" s="447"/>
      <c r="E20" s="787" t="s">
        <v>39</v>
      </c>
      <c r="F20" s="445" t="s">
        <v>53</v>
      </c>
      <c r="G20" s="445"/>
      <c r="H20" s="788">
        <f>'Iteration II Simulation'!O220</f>
        <v>0</v>
      </c>
      <c r="I20" s="448"/>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445"/>
      <c r="AK20" s="445"/>
    </row>
    <row r="21" spans="1:37">
      <c r="A21" s="445"/>
      <c r="B21" s="1914"/>
      <c r="C21" s="446"/>
      <c r="D21" s="447"/>
      <c r="E21" s="445"/>
      <c r="F21" s="445"/>
      <c r="G21" s="445"/>
      <c r="H21" s="445"/>
      <c r="I21" s="445"/>
      <c r="J21" s="445"/>
      <c r="K21" s="445"/>
      <c r="L21" s="445"/>
      <c r="M21" s="445"/>
      <c r="N21" s="445"/>
      <c r="O21" s="445"/>
      <c r="P21" s="445"/>
      <c r="Q21" s="445"/>
      <c r="R21" s="445"/>
      <c r="S21" s="445"/>
      <c r="T21" s="445"/>
      <c r="U21" s="445"/>
      <c r="V21" s="445"/>
      <c r="W21" s="445"/>
      <c r="X21" s="445"/>
      <c r="Y21" s="445"/>
      <c r="Z21" s="445"/>
      <c r="AA21" s="445"/>
      <c r="AB21" s="445"/>
      <c r="AC21" s="445"/>
      <c r="AD21" s="445"/>
      <c r="AE21" s="445"/>
      <c r="AF21" s="445"/>
      <c r="AG21" s="445"/>
      <c r="AH21" s="445"/>
      <c r="AI21" s="445"/>
      <c r="AJ21" s="445"/>
      <c r="AK21" s="445"/>
    </row>
    <row r="22" spans="1:37">
      <c r="A22" s="445"/>
      <c r="B22" s="1914"/>
      <c r="C22" s="446"/>
      <c r="D22" s="459"/>
      <c r="E22" s="460"/>
      <c r="F22" s="460"/>
      <c r="G22" s="460"/>
      <c r="H22" s="460"/>
      <c r="I22" s="460"/>
      <c r="J22" s="460"/>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445"/>
      <c r="AK22" s="445"/>
    </row>
    <row r="23" spans="1:37">
      <c r="A23" s="445"/>
      <c r="B23" s="1914"/>
      <c r="C23" s="446"/>
      <c r="D23" s="577"/>
      <c r="E23" s="1912"/>
      <c r="F23" s="1912"/>
      <c r="G23" s="1912"/>
      <c r="H23" s="1912"/>
      <c r="I23" s="448"/>
      <c r="J23" s="448"/>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445"/>
      <c r="AK23" s="445"/>
    </row>
    <row r="24" spans="1:37">
      <c r="A24" s="445"/>
      <c r="B24" s="1914"/>
      <c r="C24" s="446"/>
      <c r="D24" s="577"/>
      <c r="E24" s="448"/>
      <c r="F24" s="448"/>
      <c r="G24" s="448"/>
      <c r="H24" s="448"/>
      <c r="I24" s="448"/>
      <c r="J24" s="448"/>
      <c r="K24" s="445"/>
      <c r="L24" s="445"/>
      <c r="M24" s="445"/>
      <c r="N24" s="445"/>
      <c r="O24" s="445"/>
      <c r="P24" s="445"/>
      <c r="Q24" s="445"/>
      <c r="R24" s="445"/>
      <c r="S24" s="445"/>
      <c r="T24" s="445"/>
      <c r="U24" s="445"/>
      <c r="V24" s="445"/>
      <c r="W24" s="445"/>
      <c r="X24" s="445"/>
      <c r="Y24" s="445"/>
      <c r="Z24" s="445"/>
      <c r="AA24" s="445"/>
      <c r="AB24" s="445"/>
      <c r="AC24" s="445"/>
      <c r="AD24" s="445"/>
      <c r="AE24" s="445"/>
      <c r="AF24" s="445"/>
      <c r="AG24" s="445"/>
      <c r="AH24" s="445"/>
      <c r="AI24" s="445"/>
      <c r="AJ24" s="445"/>
      <c r="AK24" s="445"/>
    </row>
    <row r="25" spans="1:37" ht="17" thickBot="1">
      <c r="A25" s="445"/>
      <c r="B25" s="1914"/>
      <c r="C25" s="446"/>
      <c r="D25" s="447"/>
      <c r="E25" s="445"/>
      <c r="F25" s="445"/>
      <c r="G25" s="445"/>
      <c r="H25" s="445"/>
      <c r="I25" s="445"/>
      <c r="J25" s="445"/>
      <c r="K25" s="445"/>
      <c r="L25" s="445"/>
      <c r="M25" s="445"/>
      <c r="N25" s="445"/>
      <c r="O25" s="445"/>
      <c r="P25" s="445"/>
      <c r="Q25" s="445"/>
      <c r="R25" s="445"/>
      <c r="S25" s="445"/>
      <c r="T25" s="445"/>
      <c r="U25" s="445"/>
      <c r="V25" s="445"/>
      <c r="W25" s="445"/>
      <c r="X25" s="445"/>
      <c r="Y25" s="445"/>
      <c r="Z25" s="445"/>
      <c r="AA25" s="445"/>
      <c r="AB25" s="445"/>
      <c r="AC25" s="445"/>
      <c r="AD25" s="445"/>
      <c r="AE25" s="445"/>
      <c r="AF25" s="445"/>
      <c r="AG25" s="445"/>
      <c r="AH25" s="445"/>
      <c r="AI25" s="445"/>
      <c r="AJ25" s="445"/>
      <c r="AK25" s="445"/>
    </row>
    <row r="26" spans="1:37" ht="17" thickBot="1">
      <c r="A26" s="445"/>
      <c r="B26" s="1914"/>
      <c r="C26" s="446"/>
      <c r="D26" s="435" t="s">
        <v>114</v>
      </c>
      <c r="E26" s="443"/>
      <c r="F26" s="436"/>
      <c r="G26" s="445"/>
      <c r="H26" s="445"/>
      <c r="I26" s="445"/>
      <c r="J26" s="445"/>
      <c r="K26" s="445"/>
      <c r="L26" s="445"/>
      <c r="M26" s="445"/>
      <c r="N26" s="445"/>
      <c r="O26" s="445"/>
      <c r="P26" s="445"/>
      <c r="Q26" s="445"/>
      <c r="R26" s="445"/>
      <c r="S26" s="445"/>
      <c r="T26" s="445"/>
      <c r="U26" s="445"/>
      <c r="V26" s="445"/>
      <c r="W26" s="445"/>
      <c r="X26" s="445"/>
      <c r="Y26" s="445"/>
      <c r="Z26" s="445"/>
      <c r="AA26" s="445"/>
      <c r="AB26" s="445"/>
      <c r="AC26" s="445"/>
      <c r="AD26" s="445"/>
      <c r="AE26" s="445"/>
      <c r="AF26" s="445"/>
      <c r="AG26" s="445"/>
      <c r="AH26" s="445"/>
      <c r="AI26" s="445"/>
      <c r="AJ26" s="445"/>
      <c r="AK26" s="445"/>
    </row>
    <row r="27" spans="1:37">
      <c r="A27" s="445"/>
      <c r="B27" s="1914"/>
      <c r="C27" s="446"/>
      <c r="D27" s="449" t="s">
        <v>126</v>
      </c>
      <c r="E27" s="450"/>
      <c r="F27" s="457">
        <f>G12</f>
        <v>0</v>
      </c>
      <c r="G27" s="445"/>
      <c r="H27" s="445"/>
      <c r="I27" s="445"/>
      <c r="J27" s="445"/>
      <c r="K27" s="445"/>
      <c r="L27" s="445"/>
      <c r="M27" s="445"/>
      <c r="N27" s="445"/>
      <c r="O27" s="445"/>
      <c r="P27" s="445"/>
      <c r="Q27" s="445"/>
      <c r="R27" s="445"/>
      <c r="S27" s="445"/>
      <c r="T27" s="445"/>
      <c r="U27" s="445"/>
      <c r="V27" s="445"/>
      <c r="W27" s="445"/>
      <c r="X27" s="445"/>
      <c r="Y27" s="445"/>
      <c r="Z27" s="445"/>
      <c r="AA27" s="445"/>
      <c r="AB27" s="445"/>
      <c r="AC27" s="445"/>
      <c r="AD27" s="445"/>
      <c r="AE27" s="445"/>
      <c r="AF27" s="445"/>
      <c r="AG27" s="445"/>
      <c r="AH27" s="445"/>
      <c r="AI27" s="445"/>
      <c r="AJ27" s="445"/>
      <c r="AK27" s="445"/>
    </row>
    <row r="28" spans="1:37">
      <c r="A28" s="445"/>
      <c r="B28" s="1914"/>
      <c r="C28" s="446"/>
      <c r="D28" s="451" t="s">
        <v>237</v>
      </c>
      <c r="E28" s="448"/>
      <c r="F28" s="455" t="e">
        <f>VLOOKUP(F27,'T2'!B9:D2990,2,FALSE)</f>
        <v>#N/A</v>
      </c>
      <c r="G28" s="445"/>
      <c r="H28" s="445"/>
      <c r="I28" s="445"/>
      <c r="J28" s="445"/>
      <c r="K28" s="445"/>
      <c r="L28" s="445"/>
      <c r="M28" s="445"/>
      <c r="N28" s="445"/>
      <c r="O28" s="445"/>
      <c r="P28" s="445"/>
      <c r="Q28" s="445"/>
      <c r="R28" s="445"/>
      <c r="S28" s="445"/>
      <c r="T28" s="445"/>
      <c r="U28" s="445"/>
      <c r="V28" s="445"/>
      <c r="W28" s="445"/>
      <c r="X28" s="445"/>
      <c r="Y28" s="445"/>
      <c r="Z28" s="445"/>
      <c r="AA28" s="445"/>
      <c r="AB28" s="445"/>
      <c r="AC28" s="445"/>
      <c r="AD28" s="445"/>
      <c r="AE28" s="445"/>
      <c r="AF28" s="445"/>
      <c r="AG28" s="445"/>
      <c r="AH28" s="445"/>
      <c r="AI28" s="445"/>
      <c r="AJ28" s="445"/>
      <c r="AK28" s="445"/>
    </row>
    <row r="29" spans="1:37" ht="17" thickBot="1">
      <c r="A29" s="445"/>
      <c r="B29" s="1914"/>
      <c r="C29" s="446"/>
      <c r="D29" s="452" t="s">
        <v>238</v>
      </c>
      <c r="E29" s="453"/>
      <c r="F29" s="456" t="e">
        <f>VLOOKUP(F27,'T2'!B9:D2990,3,FALSE)</f>
        <v>#N/A</v>
      </c>
      <c r="G29" s="445"/>
      <c r="H29" s="445"/>
      <c r="I29" s="445"/>
      <c r="J29" s="445"/>
      <c r="K29" s="445"/>
      <c r="L29" s="445"/>
      <c r="M29" s="445"/>
      <c r="N29" s="445"/>
      <c r="O29" s="445"/>
      <c r="P29" s="445"/>
      <c r="Q29" s="445"/>
      <c r="R29" s="445"/>
      <c r="S29" s="445"/>
      <c r="T29" s="445"/>
      <c r="U29" s="445"/>
      <c r="V29" s="445"/>
      <c r="W29" s="445"/>
      <c r="X29" s="445"/>
      <c r="Y29" s="445"/>
      <c r="Z29" s="445"/>
      <c r="AA29" s="445"/>
      <c r="AB29" s="445"/>
      <c r="AC29" s="445"/>
      <c r="AD29" s="445"/>
      <c r="AE29" s="445"/>
      <c r="AF29" s="445"/>
      <c r="AG29" s="445"/>
      <c r="AH29" s="445"/>
      <c r="AI29" s="445"/>
      <c r="AJ29" s="445"/>
      <c r="AK29" s="445"/>
    </row>
    <row r="30" spans="1:37" ht="17" thickBot="1">
      <c r="A30" s="445"/>
      <c r="B30" s="1915"/>
      <c r="C30" s="446"/>
      <c r="D30" s="445"/>
      <c r="E30" s="445"/>
      <c r="F30" s="445"/>
      <c r="G30" s="445"/>
      <c r="H30" s="445"/>
      <c r="I30" s="445"/>
      <c r="J30" s="445"/>
      <c r="K30" s="445"/>
      <c r="L30" s="445"/>
      <c r="M30" s="445"/>
      <c r="N30" s="445"/>
      <c r="O30" s="445"/>
      <c r="P30" s="445"/>
      <c r="Q30" s="445"/>
      <c r="R30" s="445"/>
      <c r="S30" s="445"/>
      <c r="T30" s="445"/>
      <c r="U30" s="445"/>
      <c r="V30" s="445"/>
      <c r="W30" s="445"/>
      <c r="X30" s="445"/>
      <c r="Y30" s="445"/>
      <c r="Z30" s="445"/>
      <c r="AA30" s="445"/>
      <c r="AB30" s="445"/>
      <c r="AC30" s="445"/>
      <c r="AD30" s="445"/>
      <c r="AE30" s="445"/>
      <c r="AF30" s="445"/>
      <c r="AG30" s="445"/>
      <c r="AH30" s="445"/>
      <c r="AI30" s="445"/>
      <c r="AJ30" s="445"/>
      <c r="AK30" s="445"/>
    </row>
    <row r="31" spans="1:37">
      <c r="A31" s="445"/>
      <c r="B31" s="454"/>
      <c r="C31" s="446"/>
      <c r="D31" s="447"/>
      <c r="E31" s="445"/>
      <c r="F31" s="445"/>
      <c r="G31" s="445"/>
      <c r="H31" s="445"/>
      <c r="I31" s="445"/>
      <c r="J31" s="445"/>
      <c r="K31" s="445"/>
      <c r="L31" s="445"/>
      <c r="M31" s="445"/>
      <c r="N31" s="445"/>
      <c r="O31" s="445"/>
      <c r="P31" s="445"/>
      <c r="Q31" s="445"/>
      <c r="R31" s="445"/>
      <c r="S31" s="445"/>
      <c r="T31" s="445"/>
      <c r="U31" s="445"/>
      <c r="V31" s="445"/>
      <c r="W31" s="445"/>
      <c r="X31" s="445"/>
      <c r="Y31" s="445"/>
      <c r="Z31" s="445"/>
      <c r="AA31" s="445"/>
      <c r="AB31" s="445"/>
      <c r="AC31" s="445"/>
      <c r="AD31" s="445"/>
      <c r="AE31" s="445"/>
      <c r="AF31" s="445"/>
      <c r="AG31" s="445"/>
      <c r="AH31" s="445"/>
      <c r="AI31" s="445"/>
      <c r="AJ31" s="445"/>
      <c r="AK31" s="445"/>
    </row>
    <row r="32" spans="1:37" ht="17" thickBot="1">
      <c r="A32" s="172"/>
      <c r="B32" s="437"/>
      <c r="C32" s="38"/>
      <c r="D32" s="34"/>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172"/>
      <c r="AK32" s="172"/>
    </row>
    <row r="33" spans="1:37" ht="17" customHeight="1" thickBot="1">
      <c r="A33" s="172"/>
      <c r="B33" s="1919" t="s">
        <v>86</v>
      </c>
      <c r="C33" s="38"/>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172"/>
      <c r="AK33" s="172"/>
    </row>
    <row r="34" spans="1:37" ht="16" customHeight="1">
      <c r="A34" s="172"/>
      <c r="B34" s="1920"/>
      <c r="C34" s="38"/>
      <c r="D34" s="172"/>
      <c r="E34" s="1894" t="s">
        <v>98</v>
      </c>
      <c r="F34" s="1895"/>
      <c r="G34" s="1895"/>
      <c r="H34" s="1895"/>
      <c r="I34" s="1896"/>
      <c r="J34" s="172"/>
      <c r="K34" s="172"/>
      <c r="L34" s="172"/>
      <c r="M34" s="1894" t="s">
        <v>97</v>
      </c>
      <c r="N34" s="1895"/>
      <c r="O34" s="1895"/>
      <c r="P34" s="1895"/>
      <c r="Q34" s="1896"/>
      <c r="R34" s="172"/>
      <c r="S34" s="172"/>
      <c r="T34" s="172"/>
      <c r="U34" s="1894" t="s">
        <v>99</v>
      </c>
      <c r="V34" s="1895"/>
      <c r="W34" s="1895"/>
      <c r="X34" s="1895"/>
      <c r="Y34" s="1896"/>
      <c r="Z34" s="172"/>
      <c r="AA34" s="172"/>
      <c r="AB34" s="172"/>
      <c r="AC34" s="1894" t="s">
        <v>100</v>
      </c>
      <c r="AD34" s="1895"/>
      <c r="AE34" s="1895"/>
      <c r="AF34" s="1895"/>
      <c r="AG34" s="1896"/>
      <c r="AH34" s="172"/>
      <c r="AI34" s="172"/>
      <c r="AJ34" s="172"/>
      <c r="AK34" s="172"/>
    </row>
    <row r="35" spans="1:37" ht="17" thickBot="1">
      <c r="A35" s="172"/>
      <c r="B35" s="1920"/>
      <c r="C35" s="38"/>
      <c r="D35" s="172"/>
      <c r="E35" s="1897"/>
      <c r="F35" s="1898"/>
      <c r="G35" s="1898"/>
      <c r="H35" s="1898"/>
      <c r="I35" s="1899"/>
      <c r="J35" s="172"/>
      <c r="K35" s="172"/>
      <c r="L35" s="172"/>
      <c r="M35" s="1897"/>
      <c r="N35" s="1898"/>
      <c r="O35" s="1898"/>
      <c r="P35" s="1898"/>
      <c r="Q35" s="1899"/>
      <c r="R35" s="172"/>
      <c r="S35" s="172"/>
      <c r="T35" s="172"/>
      <c r="U35" s="1897"/>
      <c r="V35" s="1898"/>
      <c r="W35" s="1898"/>
      <c r="X35" s="1898"/>
      <c r="Y35" s="1899"/>
      <c r="Z35" s="172"/>
      <c r="AA35" s="172"/>
      <c r="AB35" s="172"/>
      <c r="AC35" s="1897"/>
      <c r="AD35" s="1898"/>
      <c r="AE35" s="1898"/>
      <c r="AF35" s="1898"/>
      <c r="AG35" s="1899"/>
      <c r="AH35" s="172"/>
      <c r="AI35" s="172"/>
      <c r="AJ35" s="172"/>
      <c r="AK35" s="172"/>
    </row>
    <row r="36" spans="1:37">
      <c r="A36" s="172"/>
      <c r="B36" s="1920"/>
      <c r="C36" s="38"/>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c r="AC36" s="172"/>
      <c r="AD36" s="172"/>
      <c r="AE36" s="172"/>
      <c r="AF36" s="172"/>
      <c r="AG36" s="172"/>
      <c r="AH36" s="172"/>
      <c r="AI36" s="172"/>
      <c r="AJ36" s="172"/>
      <c r="AK36" s="172"/>
    </row>
    <row r="37" spans="1:37" ht="17" thickBot="1">
      <c r="A37" s="172"/>
      <c r="B37" s="1920"/>
      <c r="C37" s="38"/>
      <c r="D37" s="579" t="s">
        <v>54</v>
      </c>
      <c r="E37" s="212" t="str">
        <f>'Iteration II Simulation'!E37</f>
        <v>What type of car do you have?</v>
      </c>
      <c r="F37" s="212"/>
      <c r="G37" s="212"/>
      <c r="H37" s="212"/>
      <c r="I37" s="212"/>
      <c r="J37" s="212"/>
      <c r="K37" s="172"/>
      <c r="L37" s="579" t="s">
        <v>75</v>
      </c>
      <c r="M37" s="212" t="str">
        <f>'Iteration II Simulation'!M37</f>
        <v>On average, how many hours do you usually spend on bus for commuting each week?</v>
      </c>
      <c r="N37" s="212"/>
      <c r="O37" s="212"/>
      <c r="P37" s="212"/>
      <c r="Q37" s="212"/>
      <c r="R37" s="212"/>
      <c r="S37" s="172"/>
      <c r="T37" s="579" t="s">
        <v>76</v>
      </c>
      <c r="U37" s="212" t="str">
        <f>'Iteration II Simulation'!U37</f>
        <v>What is your motorbike's engine type and size?</v>
      </c>
      <c r="V37" s="212"/>
      <c r="W37" s="212"/>
      <c r="X37" s="212"/>
      <c r="Y37" s="212"/>
      <c r="Z37" s="212"/>
      <c r="AA37" s="172"/>
      <c r="AB37" s="1893" t="s">
        <v>85</v>
      </c>
      <c r="AC37" s="1893"/>
      <c r="AD37" s="1893"/>
      <c r="AE37" s="1893"/>
      <c r="AF37" s="1893"/>
      <c r="AG37" s="1893"/>
      <c r="AH37" s="1893"/>
      <c r="AI37" s="172"/>
      <c r="AJ37" s="172"/>
      <c r="AK37" s="172"/>
    </row>
    <row r="38" spans="1:37" ht="17" thickBot="1">
      <c r="A38" s="172"/>
      <c r="B38" s="1920"/>
      <c r="C38" s="38"/>
      <c r="D38" s="34"/>
      <c r="E38" s="34" t="s">
        <v>34</v>
      </c>
      <c r="F38" s="172" t="s">
        <v>9</v>
      </c>
      <c r="G38" s="172"/>
      <c r="H38" s="172"/>
      <c r="I38" s="172"/>
      <c r="J38" s="172"/>
      <c r="K38" s="172"/>
      <c r="L38" s="172"/>
      <c r="M38" s="1869" t="s">
        <v>73</v>
      </c>
      <c r="N38" s="1870"/>
      <c r="O38" s="788">
        <f>'Iteration II Simulation'!O225</f>
        <v>0</v>
      </c>
      <c r="P38" s="232"/>
      <c r="Q38" s="172"/>
      <c r="R38" s="172"/>
      <c r="S38" s="172"/>
      <c r="T38" s="172"/>
      <c r="U38" s="34" t="s">
        <v>34</v>
      </c>
      <c r="V38" s="232" t="s">
        <v>77</v>
      </c>
      <c r="W38" s="172"/>
      <c r="X38" s="172"/>
      <c r="Y38" s="172"/>
      <c r="Z38" s="172"/>
      <c r="AA38" s="172"/>
      <c r="AB38" s="172"/>
      <c r="AC38" s="172"/>
      <c r="AD38" s="172"/>
      <c r="AE38" s="172"/>
      <c r="AF38" s="172"/>
      <c r="AG38" s="172"/>
      <c r="AH38" s="172"/>
      <c r="AI38" s="172"/>
      <c r="AJ38" s="172"/>
      <c r="AK38" s="172"/>
    </row>
    <row r="39" spans="1:37">
      <c r="A39" s="172"/>
      <c r="B39" s="1920"/>
      <c r="C39" s="38"/>
      <c r="D39" s="34"/>
      <c r="E39" s="34" t="s">
        <v>35</v>
      </c>
      <c r="F39" s="172" t="s">
        <v>6</v>
      </c>
      <c r="G39" s="172"/>
      <c r="H39" s="172"/>
      <c r="I39" s="172"/>
      <c r="J39" s="172"/>
      <c r="K39" s="172"/>
      <c r="L39" s="172"/>
      <c r="M39" s="172"/>
      <c r="N39" s="172"/>
      <c r="O39" s="172"/>
      <c r="P39" s="172"/>
      <c r="Q39" s="172"/>
      <c r="R39" s="172"/>
      <c r="S39" s="172"/>
      <c r="T39" s="172"/>
      <c r="U39" s="34" t="s">
        <v>35</v>
      </c>
      <c r="V39" s="232" t="s">
        <v>80</v>
      </c>
      <c r="W39" s="172"/>
      <c r="X39" s="172"/>
      <c r="Y39" s="172"/>
      <c r="Z39" s="172"/>
      <c r="AA39" s="172"/>
      <c r="AB39" s="439"/>
      <c r="AC39" s="440"/>
      <c r="AD39" s="440"/>
      <c r="AE39" s="440"/>
      <c r="AF39" s="440"/>
      <c r="AG39" s="440"/>
      <c r="AH39" s="440"/>
      <c r="AI39" s="172"/>
      <c r="AJ39" s="172"/>
      <c r="AK39" s="172"/>
    </row>
    <row r="40" spans="1:37" ht="17" thickBot="1">
      <c r="A40" s="172"/>
      <c r="B40" s="1920"/>
      <c r="C40" s="38"/>
      <c r="D40" s="34"/>
      <c r="E40" s="34" t="s">
        <v>36</v>
      </c>
      <c r="F40" s="172" t="s">
        <v>55</v>
      </c>
      <c r="G40" s="172"/>
      <c r="H40" s="172"/>
      <c r="I40" s="172"/>
      <c r="J40" s="172"/>
      <c r="K40" s="172"/>
      <c r="L40" s="439"/>
      <c r="M40" s="440"/>
      <c r="N40" s="440"/>
      <c r="O40" s="440"/>
      <c r="P40" s="440"/>
      <c r="Q40" s="440"/>
      <c r="R40" s="440"/>
      <c r="S40" s="172"/>
      <c r="T40" s="172"/>
      <c r="U40" s="34" t="s">
        <v>36</v>
      </c>
      <c r="V40" s="232" t="s">
        <v>81</v>
      </c>
      <c r="W40" s="172"/>
      <c r="X40" s="172"/>
      <c r="Y40" s="172"/>
      <c r="Z40" s="172"/>
      <c r="AA40" s="172"/>
      <c r="AB40" s="232"/>
      <c r="AC40" s="438"/>
      <c r="AD40" s="232"/>
      <c r="AE40" s="232"/>
      <c r="AF40" s="232"/>
      <c r="AG40" s="232"/>
      <c r="AH40" s="232"/>
      <c r="AI40" s="172"/>
      <c r="AJ40" s="172"/>
      <c r="AK40" s="172"/>
    </row>
    <row r="41" spans="1:37" ht="17" thickBot="1">
      <c r="A41" s="172"/>
      <c r="B41" s="1920"/>
      <c r="C41" s="38"/>
      <c r="D41" s="34"/>
      <c r="E41" s="34" t="s">
        <v>37</v>
      </c>
      <c r="F41" s="172" t="s">
        <v>0</v>
      </c>
      <c r="G41" s="172"/>
      <c r="H41" s="788">
        <f>'Iteration II Simulation'!O221</f>
        <v>0</v>
      </c>
      <c r="I41" s="172"/>
      <c r="J41" s="172"/>
      <c r="K41" s="172"/>
      <c r="L41" s="232"/>
      <c r="M41" s="438"/>
      <c r="N41" s="232"/>
      <c r="O41" s="232"/>
      <c r="P41" s="232"/>
      <c r="Q41" s="232"/>
      <c r="R41" s="232"/>
      <c r="S41" s="172"/>
      <c r="T41" s="172"/>
      <c r="U41" s="34" t="s">
        <v>37</v>
      </c>
      <c r="V41" s="232" t="s">
        <v>78</v>
      </c>
      <c r="W41" s="172"/>
      <c r="X41" s="172"/>
      <c r="Y41" s="172"/>
      <c r="Z41" s="172"/>
      <c r="AA41" s="172"/>
      <c r="AB41" s="232"/>
      <c r="AC41" s="438"/>
      <c r="AD41" s="232"/>
      <c r="AE41" s="232"/>
      <c r="AF41" s="43"/>
      <c r="AG41" s="232"/>
      <c r="AH41" s="232"/>
      <c r="AI41" s="172"/>
      <c r="AJ41" s="172"/>
      <c r="AK41" s="172"/>
    </row>
    <row r="42" spans="1:37">
      <c r="A42" s="172"/>
      <c r="B42" s="1920"/>
      <c r="C42" s="38"/>
      <c r="D42" s="34"/>
      <c r="E42" s="172"/>
      <c r="F42" s="172"/>
      <c r="G42" s="172"/>
      <c r="H42" s="172"/>
      <c r="I42" s="172"/>
      <c r="J42" s="172"/>
      <c r="K42" s="172"/>
      <c r="L42" s="232"/>
      <c r="M42" s="438"/>
      <c r="N42" s="232"/>
      <c r="O42" s="232"/>
      <c r="P42" s="232"/>
      <c r="Q42" s="43"/>
      <c r="R42" s="232"/>
      <c r="S42" s="172"/>
      <c r="T42" s="172"/>
      <c r="U42" s="34" t="s">
        <v>38</v>
      </c>
      <c r="V42" s="232" t="s">
        <v>79</v>
      </c>
      <c r="W42" s="172"/>
      <c r="X42" s="172"/>
      <c r="Y42" s="172"/>
      <c r="Z42" s="172"/>
      <c r="AA42" s="172"/>
      <c r="AB42" s="232"/>
      <c r="AC42" s="232"/>
      <c r="AD42" s="232"/>
      <c r="AE42" s="232"/>
      <c r="AF42" s="232"/>
      <c r="AG42" s="232"/>
      <c r="AH42" s="232"/>
      <c r="AI42" s="172"/>
      <c r="AJ42" s="172"/>
      <c r="AK42" s="172"/>
    </row>
    <row r="43" spans="1:37" ht="17" thickBot="1">
      <c r="A43" s="172"/>
      <c r="B43" s="1920"/>
      <c r="C43" s="38"/>
      <c r="D43" s="579" t="s">
        <v>56</v>
      </c>
      <c r="E43" s="212" t="str">
        <f>'Iteration II Simulation'!E43</f>
        <v>How old is your car?</v>
      </c>
      <c r="F43" s="212"/>
      <c r="G43" s="212"/>
      <c r="H43" s="212"/>
      <c r="I43" s="212"/>
      <c r="J43" s="212"/>
      <c r="K43" s="172"/>
      <c r="L43" s="232"/>
      <c r="M43" s="232"/>
      <c r="N43" s="232"/>
      <c r="O43" s="232"/>
      <c r="P43" s="232"/>
      <c r="Q43" s="232"/>
      <c r="R43" s="232"/>
      <c r="S43" s="172"/>
      <c r="T43" s="172"/>
      <c r="U43" s="34" t="s">
        <v>39</v>
      </c>
      <c r="V43" s="232" t="s">
        <v>82</v>
      </c>
      <c r="W43" s="172"/>
      <c r="X43" s="172"/>
      <c r="Y43" s="172"/>
      <c r="Z43" s="172"/>
      <c r="AA43" s="172"/>
      <c r="AB43" s="232"/>
      <c r="AC43" s="232"/>
      <c r="AD43" s="232"/>
      <c r="AE43" s="232"/>
      <c r="AF43" s="232"/>
      <c r="AG43" s="232"/>
      <c r="AH43" s="232"/>
      <c r="AI43" s="172"/>
      <c r="AJ43" s="172"/>
      <c r="AK43" s="172"/>
    </row>
    <row r="44" spans="1:37" ht="17" thickBot="1">
      <c r="A44" s="172"/>
      <c r="B44" s="1920"/>
      <c r="C44" s="38"/>
      <c r="D44" s="34"/>
      <c r="E44" s="34" t="s">
        <v>34</v>
      </c>
      <c r="F44" s="172" t="s">
        <v>57</v>
      </c>
      <c r="G44" s="172" t="s">
        <v>7</v>
      </c>
      <c r="H44" s="172"/>
      <c r="I44" s="172"/>
      <c r="J44" s="172"/>
      <c r="K44" s="172"/>
      <c r="L44" s="172"/>
      <c r="M44" s="172"/>
      <c r="N44" s="172"/>
      <c r="O44" s="172"/>
      <c r="P44" s="172"/>
      <c r="Q44" s="172"/>
      <c r="R44" s="172"/>
      <c r="S44" s="172"/>
      <c r="T44" s="172"/>
      <c r="U44" s="34" t="s">
        <v>40</v>
      </c>
      <c r="V44" s="232" t="s">
        <v>71</v>
      </c>
      <c r="W44" s="172"/>
      <c r="X44" s="1873">
        <f>'Iteration II Simulation'!O226</f>
        <v>0</v>
      </c>
      <c r="Y44" s="1874"/>
      <c r="Z44" s="172"/>
      <c r="AA44" s="43"/>
      <c r="AB44" s="172"/>
      <c r="AC44" s="172"/>
      <c r="AD44" s="172"/>
      <c r="AE44" s="172"/>
      <c r="AF44" s="172"/>
      <c r="AG44" s="172"/>
      <c r="AH44" s="172"/>
      <c r="AI44" s="172"/>
      <c r="AJ44" s="172"/>
      <c r="AK44" s="172"/>
    </row>
    <row r="45" spans="1:37" ht="17" thickBot="1">
      <c r="A45" s="172"/>
      <c r="B45" s="1920"/>
      <c r="C45" s="38"/>
      <c r="D45" s="34"/>
      <c r="E45" s="34" t="s">
        <v>35</v>
      </c>
      <c r="F45" s="172" t="s">
        <v>57</v>
      </c>
      <c r="G45" s="172" t="s">
        <v>8</v>
      </c>
      <c r="H45" s="172"/>
      <c r="I45" s="172"/>
      <c r="J45" s="172"/>
      <c r="K45" s="172"/>
      <c r="L45" s="172"/>
      <c r="M45" s="172"/>
      <c r="N45" s="172"/>
      <c r="O45" s="172"/>
      <c r="P45" s="172"/>
      <c r="Q45" s="172"/>
      <c r="R45" s="172"/>
      <c r="S45" s="172"/>
      <c r="T45" s="172"/>
      <c r="U45" s="34"/>
      <c r="V45" s="172"/>
      <c r="W45" s="172"/>
      <c r="X45" s="172"/>
      <c r="Y45" s="172"/>
      <c r="Z45" s="172"/>
      <c r="AA45" s="172"/>
      <c r="AB45" s="172"/>
      <c r="AC45" s="172"/>
      <c r="AD45" s="172"/>
      <c r="AE45" s="172"/>
      <c r="AF45" s="172"/>
      <c r="AG45" s="172"/>
      <c r="AH45" s="172"/>
      <c r="AI45" s="172"/>
      <c r="AJ45" s="172"/>
      <c r="AK45" s="172"/>
    </row>
    <row r="46" spans="1:37" ht="17" thickBot="1">
      <c r="A46" s="172"/>
      <c r="B46" s="1920"/>
      <c r="C46" s="38"/>
      <c r="D46" s="34"/>
      <c r="E46" s="34" t="s">
        <v>36</v>
      </c>
      <c r="F46" s="172" t="s">
        <v>58</v>
      </c>
      <c r="G46" s="172" t="s">
        <v>2</v>
      </c>
      <c r="H46" s="172"/>
      <c r="I46" s="172"/>
      <c r="J46" s="172"/>
      <c r="K46" s="172"/>
      <c r="L46" s="172"/>
      <c r="M46" s="172"/>
      <c r="N46" s="172"/>
      <c r="O46" s="172"/>
      <c r="P46" s="172"/>
      <c r="Q46" s="172"/>
      <c r="R46" s="172"/>
      <c r="S46" s="172"/>
      <c r="T46" s="405" t="s">
        <v>83</v>
      </c>
      <c r="U46" s="508" t="str">
        <f>'Iteration II Simulation'!U46</f>
        <v>How old is your motorbike?</v>
      </c>
      <c r="V46" s="508"/>
      <c r="W46" s="508"/>
      <c r="X46" s="508"/>
      <c r="Y46" s="508"/>
      <c r="Z46" s="462"/>
      <c r="AA46" s="172"/>
      <c r="AB46" s="172"/>
      <c r="AC46" s="172"/>
      <c r="AD46" s="172"/>
      <c r="AE46" s="172"/>
      <c r="AF46" s="172"/>
      <c r="AG46" s="172"/>
      <c r="AH46" s="172"/>
      <c r="AI46" s="172"/>
      <c r="AJ46" s="172"/>
      <c r="AK46" s="172"/>
    </row>
    <row r="47" spans="1:37" ht="17" thickBot="1">
      <c r="A47" s="172"/>
      <c r="B47" s="1920"/>
      <c r="C47" s="38"/>
      <c r="D47" s="34"/>
      <c r="E47" s="34" t="s">
        <v>37</v>
      </c>
      <c r="F47" s="172" t="s">
        <v>60</v>
      </c>
      <c r="G47" s="172" t="s">
        <v>1</v>
      </c>
      <c r="H47" s="172"/>
      <c r="I47" s="172"/>
      <c r="J47" s="172"/>
      <c r="K47" s="172"/>
      <c r="L47" s="172"/>
      <c r="M47" s="172"/>
      <c r="N47" s="172"/>
      <c r="O47" s="172"/>
      <c r="P47" s="172"/>
      <c r="Q47" s="172"/>
      <c r="R47" s="172"/>
      <c r="S47" s="172"/>
      <c r="T47" s="172"/>
      <c r="U47" s="34" t="s">
        <v>34</v>
      </c>
      <c r="V47" s="172" t="s">
        <v>262</v>
      </c>
      <c r="W47" s="172" t="s">
        <v>2</v>
      </c>
      <c r="X47" s="172"/>
      <c r="Y47" s="172"/>
      <c r="Z47" s="172"/>
      <c r="AA47" s="172"/>
      <c r="AB47" s="172"/>
      <c r="AC47" s="172"/>
      <c r="AD47" s="172"/>
      <c r="AE47" s="172"/>
      <c r="AF47" s="172"/>
      <c r="AG47" s="172"/>
      <c r="AH47" s="172"/>
      <c r="AI47" s="172"/>
      <c r="AJ47" s="172"/>
      <c r="AK47" s="172"/>
    </row>
    <row r="48" spans="1:37" ht="17" thickBot="1">
      <c r="A48" s="172"/>
      <c r="B48" s="1920"/>
      <c r="C48" s="38"/>
      <c r="D48" s="34"/>
      <c r="E48" s="34" t="s">
        <v>38</v>
      </c>
      <c r="F48" s="172" t="s">
        <v>59</v>
      </c>
      <c r="G48" s="172" t="s">
        <v>5</v>
      </c>
      <c r="H48" s="788">
        <f>'Iteration II Simulation'!O222</f>
        <v>0</v>
      </c>
      <c r="I48" s="172"/>
      <c r="J48" s="172"/>
      <c r="K48" s="172"/>
      <c r="L48" s="172"/>
      <c r="M48" s="172"/>
      <c r="N48" s="172"/>
      <c r="O48" s="172"/>
      <c r="P48" s="172"/>
      <c r="Q48" s="172"/>
      <c r="R48" s="172"/>
      <c r="S48" s="172"/>
      <c r="T48" s="172"/>
      <c r="U48" s="34" t="s">
        <v>35</v>
      </c>
      <c r="V48" s="172" t="s">
        <v>264</v>
      </c>
      <c r="W48" s="172" t="s">
        <v>1</v>
      </c>
      <c r="X48" s="172"/>
      <c r="Y48" s="172"/>
      <c r="Z48" s="172"/>
      <c r="AA48" s="172"/>
      <c r="AB48" s="172"/>
      <c r="AC48" s="172"/>
      <c r="AD48" s="172"/>
      <c r="AE48" s="172"/>
      <c r="AF48" s="172"/>
      <c r="AG48" s="172"/>
      <c r="AH48" s="172"/>
      <c r="AI48" s="172"/>
      <c r="AJ48" s="172"/>
      <c r="AK48" s="172"/>
    </row>
    <row r="49" spans="1:37" ht="17" thickBot="1">
      <c r="A49" s="172"/>
      <c r="B49" s="1920"/>
      <c r="C49" s="38"/>
      <c r="D49" s="172"/>
      <c r="E49" s="34"/>
      <c r="F49" s="172"/>
      <c r="G49" s="172"/>
      <c r="H49" s="172"/>
      <c r="I49" s="172"/>
      <c r="J49" s="172"/>
      <c r="K49" s="172"/>
      <c r="L49" s="172"/>
      <c r="M49" s="172"/>
      <c r="N49" s="172"/>
      <c r="O49" s="172"/>
      <c r="P49" s="172"/>
      <c r="Q49" s="172"/>
      <c r="R49" s="172"/>
      <c r="S49" s="172"/>
      <c r="T49" s="172"/>
      <c r="U49" s="34" t="s">
        <v>36</v>
      </c>
      <c r="V49" s="172" t="s">
        <v>263</v>
      </c>
      <c r="W49" s="172" t="s">
        <v>5</v>
      </c>
      <c r="X49" s="788">
        <f>'Iteration II Simulation'!O227</f>
        <v>0</v>
      </c>
      <c r="Y49" s="172"/>
      <c r="Z49" s="172"/>
      <c r="AA49" s="172"/>
      <c r="AB49" s="172"/>
      <c r="AC49" s="172"/>
      <c r="AD49" s="172"/>
      <c r="AE49" s="172"/>
      <c r="AF49" s="172"/>
      <c r="AG49" s="172"/>
      <c r="AH49" s="172"/>
      <c r="AI49" s="172"/>
      <c r="AJ49" s="172"/>
      <c r="AK49" s="172"/>
    </row>
    <row r="50" spans="1:37" ht="17" thickBot="1">
      <c r="A50" s="172"/>
      <c r="B50" s="1920"/>
      <c r="C50" s="38"/>
      <c r="D50" s="579" t="s">
        <v>72</v>
      </c>
      <c r="E50" s="212" t="str">
        <f>'Iteration II Simulation'!E50</f>
        <v>On average, how many hours do you usually spend in your car for commuting each week?</v>
      </c>
      <c r="F50" s="212"/>
      <c r="G50" s="212"/>
      <c r="H50" s="212"/>
      <c r="I50" s="212"/>
      <c r="J50" s="212"/>
      <c r="K50" s="172"/>
      <c r="L50" s="172"/>
      <c r="M50" s="172"/>
      <c r="N50" s="172"/>
      <c r="O50" s="172"/>
      <c r="P50" s="172"/>
      <c r="Q50" s="172"/>
      <c r="R50" s="172"/>
      <c r="S50" s="172"/>
      <c r="T50" s="172"/>
      <c r="U50" s="172"/>
      <c r="V50" s="172"/>
      <c r="W50" s="172"/>
      <c r="X50" s="172"/>
      <c r="Y50" s="172"/>
      <c r="Z50" s="172"/>
      <c r="AA50" s="172"/>
      <c r="AB50" s="172"/>
      <c r="AC50" s="172"/>
      <c r="AD50" s="172"/>
      <c r="AE50" s="172"/>
      <c r="AF50" s="172"/>
      <c r="AG50" s="172"/>
      <c r="AH50" s="172"/>
      <c r="AI50" s="172"/>
      <c r="AJ50" s="172"/>
      <c r="AK50" s="172"/>
    </row>
    <row r="51" spans="1:37" ht="17" thickBot="1">
      <c r="A51" s="172"/>
      <c r="B51" s="1920"/>
      <c r="C51" s="38"/>
      <c r="D51" s="34"/>
      <c r="E51" s="234" t="s">
        <v>73</v>
      </c>
      <c r="F51" s="578"/>
      <c r="G51" s="788">
        <f>'Iteration II Simulation'!O223</f>
        <v>0</v>
      </c>
      <c r="H51" s="43"/>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34"/>
    </row>
    <row r="52" spans="1:37" ht="17" thickBot="1">
      <c r="A52" s="172"/>
      <c r="B52" s="1920"/>
      <c r="C52" s="38"/>
      <c r="D52" s="34"/>
      <c r="E52" s="172"/>
      <c r="F52" s="172"/>
      <c r="G52" s="172"/>
      <c r="H52" s="172"/>
      <c r="I52" s="172"/>
      <c r="J52" s="172"/>
      <c r="K52" s="172"/>
      <c r="L52" s="172"/>
      <c r="M52" s="172"/>
      <c r="N52" s="172"/>
      <c r="O52" s="172"/>
      <c r="P52" s="172"/>
      <c r="Q52" s="172"/>
      <c r="R52" s="172"/>
      <c r="S52" s="172"/>
      <c r="T52" s="579" t="s">
        <v>84</v>
      </c>
      <c r="U52" s="212" t="str">
        <f>'Iteration II Simulation'!U52</f>
        <v>On average, how many hours do you usually spend on a motorbike for commuting each week?</v>
      </c>
      <c r="V52" s="212"/>
      <c r="W52" s="212"/>
      <c r="X52" s="212"/>
      <c r="Y52" s="212"/>
      <c r="Z52" s="212"/>
      <c r="AA52" s="172"/>
      <c r="AB52" s="172"/>
      <c r="AC52" s="172"/>
      <c r="AD52" s="172"/>
      <c r="AE52" s="172"/>
      <c r="AF52" s="172"/>
      <c r="AG52" s="172"/>
      <c r="AH52" s="172"/>
      <c r="AI52" s="172"/>
      <c r="AJ52" s="172"/>
      <c r="AK52" s="172"/>
    </row>
    <row r="53" spans="1:37" ht="17" thickBot="1">
      <c r="A53" s="172"/>
      <c r="B53" s="1920"/>
      <c r="C53" s="38"/>
      <c r="D53" s="579" t="s">
        <v>74</v>
      </c>
      <c r="E53" s="212" t="str">
        <f>'Iteration II Simulation'!E54</f>
        <v>How many people usually travel with you to the same place of work, college or school?</v>
      </c>
      <c r="F53" s="212"/>
      <c r="G53" s="212"/>
      <c r="H53" s="212"/>
      <c r="I53" s="212"/>
      <c r="J53" s="212"/>
      <c r="K53" s="172"/>
      <c r="L53" s="172"/>
      <c r="M53" s="172"/>
      <c r="N53" s="172"/>
      <c r="O53" s="172"/>
      <c r="P53" s="172"/>
      <c r="Q53" s="172"/>
      <c r="R53" s="172"/>
      <c r="S53" s="172"/>
      <c r="T53" s="172"/>
      <c r="U53" s="234" t="s">
        <v>73</v>
      </c>
      <c r="V53" s="578"/>
      <c r="W53" s="788">
        <f>'Iteration II Simulation'!O228</f>
        <v>0</v>
      </c>
      <c r="X53" s="509"/>
      <c r="Y53" s="172"/>
      <c r="Z53" s="172"/>
      <c r="AA53" s="172"/>
      <c r="AB53" s="172"/>
      <c r="AC53" s="172"/>
      <c r="AD53" s="172"/>
      <c r="AE53" s="172"/>
      <c r="AF53" s="172"/>
      <c r="AG53" s="172"/>
      <c r="AH53" s="172"/>
      <c r="AI53" s="172"/>
      <c r="AJ53" s="172"/>
      <c r="AK53" s="172"/>
    </row>
    <row r="54" spans="1:37" ht="17" thickBot="1">
      <c r="A54" s="172"/>
      <c r="B54" s="1920"/>
      <c r="C54" s="38"/>
      <c r="D54" s="34"/>
      <c r="E54" s="234" t="s">
        <v>73</v>
      </c>
      <c r="F54" s="578"/>
      <c r="G54" s="788">
        <f>'Iteration II Simulation'!O224</f>
        <v>0</v>
      </c>
      <c r="H54" s="43"/>
      <c r="I54" s="172"/>
      <c r="J54" s="172"/>
      <c r="K54" s="172"/>
      <c r="L54" s="172"/>
      <c r="M54" s="172"/>
      <c r="N54" s="172"/>
      <c r="O54" s="172"/>
      <c r="P54" s="172"/>
      <c r="Q54" s="172"/>
      <c r="R54" s="172"/>
      <c r="S54" s="172"/>
      <c r="T54" s="172"/>
      <c r="U54" s="34"/>
      <c r="V54" s="172"/>
      <c r="W54" s="172"/>
      <c r="X54" s="172"/>
      <c r="Y54" s="172"/>
      <c r="Z54" s="172"/>
      <c r="AA54" s="172"/>
      <c r="AB54" s="172"/>
      <c r="AC54" s="172"/>
      <c r="AD54" s="172"/>
      <c r="AE54" s="172"/>
      <c r="AF54" s="172"/>
      <c r="AG54" s="172"/>
      <c r="AH54" s="172"/>
      <c r="AI54" s="172"/>
      <c r="AJ54" s="172"/>
      <c r="AK54" s="172"/>
    </row>
    <row r="55" spans="1:37">
      <c r="A55" s="172"/>
      <c r="B55" s="1920"/>
      <c r="C55" s="38"/>
      <c r="D55" s="34"/>
      <c r="E55" s="172"/>
      <c r="F55" s="172"/>
      <c r="G55" s="172"/>
      <c r="H55" s="172"/>
      <c r="I55" s="172"/>
      <c r="J55" s="172"/>
      <c r="K55" s="172"/>
      <c r="L55" s="172"/>
      <c r="M55" s="172"/>
      <c r="N55" s="172"/>
      <c r="O55" s="172"/>
      <c r="P55" s="172"/>
      <c r="Q55" s="172"/>
      <c r="R55" s="172"/>
      <c r="S55" s="172"/>
      <c r="T55" s="439"/>
      <c r="U55" s="440"/>
      <c r="V55" s="440"/>
      <c r="W55" s="440"/>
      <c r="X55" s="440"/>
      <c r="Y55" s="440"/>
      <c r="Z55" s="440"/>
      <c r="AA55" s="172"/>
      <c r="AB55" s="172"/>
      <c r="AC55" s="172"/>
      <c r="AD55" s="172"/>
      <c r="AE55" s="172"/>
      <c r="AF55" s="172"/>
      <c r="AG55" s="172"/>
      <c r="AH55" s="172"/>
      <c r="AI55" s="172"/>
      <c r="AJ55" s="172"/>
      <c r="AK55" s="172"/>
    </row>
    <row r="56" spans="1:37" ht="17" thickBot="1">
      <c r="A56" s="172"/>
      <c r="B56" s="1920"/>
      <c r="C56" s="38"/>
      <c r="D56" s="172"/>
      <c r="E56" s="172"/>
      <c r="F56" s="172"/>
      <c r="G56" s="172"/>
      <c r="H56" s="172"/>
      <c r="I56" s="172"/>
      <c r="J56" s="172"/>
      <c r="K56" s="172"/>
      <c r="L56" s="172"/>
      <c r="M56" s="172"/>
      <c r="N56" s="172"/>
      <c r="O56" s="172"/>
      <c r="P56" s="172"/>
      <c r="Q56" s="172"/>
      <c r="R56" s="172"/>
      <c r="S56" s="172"/>
      <c r="T56" s="232"/>
      <c r="U56" s="438"/>
      <c r="V56" s="232"/>
      <c r="W56" s="232"/>
      <c r="X56" s="232"/>
      <c r="Y56" s="232"/>
      <c r="Z56" s="232"/>
      <c r="AA56" s="172"/>
      <c r="AB56" s="172"/>
      <c r="AC56" s="172"/>
      <c r="AD56" s="172"/>
      <c r="AE56" s="172"/>
      <c r="AF56" s="172"/>
      <c r="AG56" s="172"/>
      <c r="AH56" s="172"/>
      <c r="AI56" s="172"/>
      <c r="AJ56" s="172"/>
      <c r="AK56" s="172"/>
    </row>
    <row r="57" spans="1:37" ht="17" thickBot="1">
      <c r="A57" s="172"/>
      <c r="B57" s="1920"/>
      <c r="C57" s="38"/>
      <c r="D57" s="442" t="s">
        <v>148</v>
      </c>
      <c r="E57" s="236"/>
      <c r="F57" s="236"/>
      <c r="G57" s="237"/>
      <c r="H57" s="458"/>
      <c r="I57" s="458"/>
      <c r="J57" s="172"/>
      <c r="K57" s="172"/>
      <c r="L57" s="172"/>
      <c r="M57" s="172"/>
      <c r="N57" s="172"/>
      <c r="O57" s="172"/>
      <c r="P57" s="172"/>
      <c r="Q57" s="172"/>
      <c r="R57" s="172"/>
      <c r="S57" s="172"/>
      <c r="T57" s="442" t="s">
        <v>148</v>
      </c>
      <c r="U57" s="236"/>
      <c r="V57" s="236"/>
      <c r="W57" s="237"/>
      <c r="X57" s="458"/>
      <c r="Y57" s="458"/>
      <c r="Z57" s="172"/>
      <c r="AA57" s="172"/>
      <c r="AB57" s="172"/>
      <c r="AC57" s="172"/>
      <c r="AD57" s="172"/>
      <c r="AE57" s="172"/>
      <c r="AF57" s="172"/>
      <c r="AG57" s="172"/>
      <c r="AH57" s="172"/>
      <c r="AI57" s="172"/>
      <c r="AJ57" s="172"/>
      <c r="AK57" s="172"/>
    </row>
    <row r="58" spans="1:37">
      <c r="A58" s="172"/>
      <c r="B58" s="1920"/>
      <c r="C58" s="38"/>
      <c r="D58" s="238" t="s">
        <v>33</v>
      </c>
      <c r="E58" s="239"/>
      <c r="F58" s="240">
        <f>G12</f>
        <v>0</v>
      </c>
      <c r="G58" s="241"/>
      <c r="H58" s="232"/>
      <c r="I58" s="232"/>
      <c r="J58" s="172"/>
      <c r="K58" s="172"/>
      <c r="L58" s="172"/>
      <c r="M58" s="172"/>
      <c r="N58" s="172"/>
      <c r="O58" s="172"/>
      <c r="P58" s="172"/>
      <c r="Q58" s="172"/>
      <c r="R58" s="172"/>
      <c r="S58" s="172"/>
      <c r="T58" s="238" t="s">
        <v>33</v>
      </c>
      <c r="U58" s="239"/>
      <c r="V58" s="243">
        <f>G12</f>
        <v>0</v>
      </c>
      <c r="W58" s="244"/>
      <c r="X58" s="232"/>
      <c r="Y58" s="232"/>
      <c r="Z58" s="172"/>
      <c r="AA58" s="172"/>
      <c r="AB58" s="172"/>
      <c r="AC58" s="172"/>
      <c r="AD58" s="172"/>
      <c r="AE58" s="172"/>
      <c r="AF58" s="172"/>
      <c r="AG58" s="172"/>
      <c r="AH58" s="172"/>
      <c r="AI58" s="172"/>
      <c r="AJ58" s="172"/>
      <c r="AK58" s="172"/>
    </row>
    <row r="59" spans="1:37" ht="17" thickBot="1">
      <c r="A59" s="172"/>
      <c r="B59" s="1920"/>
      <c r="C59" s="38"/>
      <c r="D59" s="245" t="s">
        <v>43</v>
      </c>
      <c r="E59" s="246"/>
      <c r="F59" s="247" t="e">
        <f>VLOOKUP(F58,'T3'!B9:C2990,2,FALSE)</f>
        <v>#N/A</v>
      </c>
      <c r="G59" s="248" t="s">
        <v>44</v>
      </c>
      <c r="H59" s="232"/>
      <c r="I59" s="232"/>
      <c r="J59" s="172"/>
      <c r="K59" s="172"/>
      <c r="L59" s="172"/>
      <c r="M59" s="172"/>
      <c r="N59" s="172"/>
      <c r="O59" s="172"/>
      <c r="P59" s="172"/>
      <c r="Q59" s="172"/>
      <c r="R59" s="172"/>
      <c r="S59" s="172"/>
      <c r="T59" s="245" t="s">
        <v>43</v>
      </c>
      <c r="U59" s="246"/>
      <c r="V59" s="247" t="e">
        <f>VLOOKUP(V58,'T3'!B9:C2990,2,FALSE)</f>
        <v>#N/A</v>
      </c>
      <c r="W59" s="248" t="s">
        <v>44</v>
      </c>
      <c r="X59" s="232"/>
      <c r="Y59" s="232"/>
      <c r="Z59" s="172"/>
      <c r="AA59" s="172"/>
      <c r="AB59" s="172"/>
      <c r="AC59" s="172"/>
      <c r="AD59" s="172"/>
      <c r="AE59" s="172"/>
      <c r="AF59" s="172"/>
      <c r="AG59" s="172"/>
      <c r="AH59" s="172"/>
      <c r="AI59" s="172"/>
      <c r="AJ59" s="172"/>
      <c r="AK59" s="172"/>
    </row>
    <row r="60" spans="1:37" ht="17" thickBot="1">
      <c r="A60" s="172"/>
      <c r="B60" s="1920"/>
      <c r="C60" s="38"/>
      <c r="D60" s="34"/>
      <c r="E60" s="172"/>
      <c r="F60" s="172"/>
      <c r="G60" s="172"/>
      <c r="H60" s="172"/>
      <c r="I60" s="172"/>
      <c r="J60" s="172"/>
      <c r="K60" s="172"/>
      <c r="L60" s="442" t="s">
        <v>149</v>
      </c>
      <c r="M60" s="236"/>
      <c r="N60" s="236"/>
      <c r="O60" s="237"/>
      <c r="P60" s="458"/>
      <c r="Q60" s="458"/>
      <c r="R60" s="172"/>
      <c r="S60" s="172"/>
      <c r="T60" s="34"/>
      <c r="U60" s="172"/>
      <c r="V60" s="172"/>
      <c r="W60" s="172"/>
      <c r="X60" s="172"/>
      <c r="Y60" s="172"/>
      <c r="Z60" s="172"/>
      <c r="AA60" s="172"/>
      <c r="AB60" s="172"/>
      <c r="AC60" s="172"/>
      <c r="AD60" s="172"/>
      <c r="AE60" s="172"/>
      <c r="AF60" s="172"/>
      <c r="AG60" s="172"/>
      <c r="AH60" s="172"/>
      <c r="AI60" s="172"/>
      <c r="AJ60" s="172"/>
      <c r="AK60" s="172"/>
    </row>
    <row r="61" spans="1:37" ht="17" thickBot="1">
      <c r="A61" s="172"/>
      <c r="B61" s="1920"/>
      <c r="C61" s="38"/>
      <c r="D61" s="250" t="s">
        <v>67</v>
      </c>
      <c r="E61" s="251"/>
      <c r="F61" s="251"/>
      <c r="G61" s="252"/>
      <c r="H61" s="172"/>
      <c r="I61" s="172"/>
      <c r="J61" s="172"/>
      <c r="K61" s="172"/>
      <c r="L61" s="238" t="s">
        <v>126</v>
      </c>
      <c r="M61" s="242"/>
      <c r="N61" s="240">
        <f>G12</f>
        <v>0</v>
      </c>
      <c r="O61" s="241"/>
      <c r="P61" s="232"/>
      <c r="Q61" s="232"/>
      <c r="R61" s="172"/>
      <c r="S61" s="172"/>
      <c r="T61" s="250" t="s">
        <v>106</v>
      </c>
      <c r="U61" s="251"/>
      <c r="V61" s="251"/>
      <c r="W61" s="252"/>
      <c r="X61" s="172"/>
      <c r="Y61" s="172"/>
      <c r="Z61" s="172"/>
      <c r="AA61" s="172"/>
      <c r="AB61" s="172"/>
      <c r="AC61" s="172"/>
      <c r="AD61" s="172"/>
      <c r="AE61" s="172"/>
      <c r="AF61" s="172"/>
      <c r="AG61" s="172"/>
      <c r="AH61" s="172"/>
      <c r="AI61" s="172"/>
      <c r="AJ61" s="172"/>
      <c r="AK61" s="172"/>
    </row>
    <row r="62" spans="1:37" ht="17" thickBot="1">
      <c r="A62" s="172"/>
      <c r="B62" s="1920"/>
      <c r="C62" s="38"/>
      <c r="D62" s="76" t="s">
        <v>43</v>
      </c>
      <c r="E62" s="77"/>
      <c r="F62" s="253" t="e">
        <f>F59</f>
        <v>#N/A</v>
      </c>
      <c r="G62" s="254" t="s">
        <v>44</v>
      </c>
      <c r="H62" s="172"/>
      <c r="I62" s="172"/>
      <c r="J62" s="172"/>
      <c r="K62" s="172"/>
      <c r="L62" s="245" t="s">
        <v>131</v>
      </c>
      <c r="M62" s="249"/>
      <c r="N62" s="247" t="e">
        <f>VLOOKUP(N61,'T4'!B7:C2988,2,FALSE)</f>
        <v>#N/A</v>
      </c>
      <c r="O62" s="248" t="s">
        <v>44</v>
      </c>
      <c r="P62" s="232"/>
      <c r="Q62" s="232"/>
      <c r="R62" s="172"/>
      <c r="S62" s="172"/>
      <c r="T62" s="62" t="s">
        <v>43</v>
      </c>
      <c r="U62" s="63"/>
      <c r="V62" s="255" t="e">
        <f>V59</f>
        <v>#N/A</v>
      </c>
      <c r="W62" s="254" t="s">
        <v>44</v>
      </c>
      <c r="X62" s="172"/>
      <c r="Y62" s="172"/>
      <c r="Z62" s="172"/>
      <c r="AA62" s="172"/>
      <c r="AB62" s="172"/>
      <c r="AC62" s="172"/>
      <c r="AD62" s="172"/>
      <c r="AE62" s="172"/>
      <c r="AF62" s="172"/>
      <c r="AG62" s="172"/>
      <c r="AH62" s="172"/>
      <c r="AI62" s="172"/>
      <c r="AJ62" s="172"/>
      <c r="AK62" s="172"/>
    </row>
    <row r="63" spans="1:37" ht="17" thickBot="1">
      <c r="A63" s="172"/>
      <c r="B63" s="1920"/>
      <c r="C63" s="38"/>
      <c r="D63" s="256" t="s">
        <v>61</v>
      </c>
      <c r="E63" s="257"/>
      <c r="F63" s="258" t="s">
        <v>48</v>
      </c>
      <c r="G63" s="259"/>
      <c r="H63" s="172"/>
      <c r="I63" s="172"/>
      <c r="J63" s="172"/>
      <c r="K63" s="172"/>
      <c r="L63" s="34"/>
      <c r="M63" s="172"/>
      <c r="N63" s="172"/>
      <c r="O63" s="172"/>
      <c r="P63" s="172"/>
      <c r="Q63" s="172"/>
      <c r="R63" s="172"/>
      <c r="S63" s="172"/>
      <c r="T63" s="256" t="s">
        <v>61</v>
      </c>
      <c r="U63" s="261"/>
      <c r="V63" s="258" t="s">
        <v>50</v>
      </c>
      <c r="W63" s="259"/>
      <c r="X63" s="172"/>
      <c r="Y63" s="172"/>
      <c r="Z63" s="172"/>
      <c r="AA63" s="172"/>
      <c r="AB63" s="172"/>
      <c r="AC63" s="172"/>
      <c r="AD63" s="172"/>
      <c r="AE63" s="172"/>
      <c r="AF63" s="172"/>
      <c r="AG63" s="172"/>
      <c r="AH63" s="172"/>
      <c r="AI63" s="172"/>
      <c r="AJ63" s="172"/>
      <c r="AK63" s="172"/>
    </row>
    <row r="64" spans="1:37" ht="17" thickBot="1">
      <c r="A64" s="172"/>
      <c r="B64" s="1920"/>
      <c r="C64" s="38"/>
      <c r="D64" s="256" t="s">
        <v>24</v>
      </c>
      <c r="E64" s="257"/>
      <c r="F64" s="258">
        <f>H41</f>
        <v>0</v>
      </c>
      <c r="G64" s="259"/>
      <c r="H64" s="172"/>
      <c r="I64" s="172"/>
      <c r="J64" s="172"/>
      <c r="K64" s="172"/>
      <c r="L64" s="250" t="s">
        <v>135</v>
      </c>
      <c r="M64" s="251"/>
      <c r="N64" s="251"/>
      <c r="O64" s="252"/>
      <c r="P64" s="172"/>
      <c r="Q64" s="172"/>
      <c r="R64" s="172"/>
      <c r="S64" s="172"/>
      <c r="T64" s="256" t="s">
        <v>24</v>
      </c>
      <c r="U64" s="261"/>
      <c r="V64" s="258">
        <f>X44</f>
        <v>0</v>
      </c>
      <c r="W64" s="259"/>
      <c r="X64" s="172"/>
      <c r="Y64" s="172"/>
      <c r="Z64" s="172"/>
      <c r="AA64" s="172"/>
      <c r="AB64" s="172"/>
      <c r="AC64" s="172"/>
      <c r="AD64" s="172"/>
      <c r="AE64" s="172"/>
      <c r="AF64" s="172"/>
      <c r="AG64" s="172"/>
      <c r="AH64" s="172"/>
      <c r="AI64" s="172"/>
      <c r="AJ64" s="172"/>
      <c r="AK64" s="172"/>
    </row>
    <row r="65" spans="1:37">
      <c r="A65" s="172"/>
      <c r="B65" s="1920"/>
      <c r="C65" s="38"/>
      <c r="D65" s="256" t="s">
        <v>23</v>
      </c>
      <c r="E65" s="257"/>
      <c r="F65" s="258">
        <f>H48</f>
        <v>0</v>
      </c>
      <c r="G65" s="259"/>
      <c r="H65" s="172"/>
      <c r="I65" s="172"/>
      <c r="J65" s="172"/>
      <c r="K65" s="172"/>
      <c r="L65" s="62" t="s">
        <v>43</v>
      </c>
      <c r="M65" s="172"/>
      <c r="N65" s="255" t="e">
        <f>N62</f>
        <v>#N/A</v>
      </c>
      <c r="O65" s="254" t="s">
        <v>44</v>
      </c>
      <c r="P65" s="172"/>
      <c r="Q65" s="172"/>
      <c r="R65" s="172"/>
      <c r="S65" s="172"/>
      <c r="T65" s="256" t="s">
        <v>23</v>
      </c>
      <c r="U65" s="261"/>
      <c r="V65" s="258">
        <f>X49</f>
        <v>0</v>
      </c>
      <c r="W65" s="259"/>
      <c r="X65" s="172"/>
      <c r="Y65" s="172"/>
      <c r="Z65" s="172"/>
      <c r="AA65" s="172"/>
      <c r="AB65" s="172"/>
      <c r="AC65" s="172"/>
      <c r="AD65" s="172"/>
      <c r="AE65" s="172"/>
      <c r="AF65" s="172"/>
      <c r="AG65" s="172"/>
      <c r="AH65" s="172"/>
      <c r="AI65" s="172"/>
      <c r="AJ65" s="172"/>
      <c r="AK65" s="172"/>
    </row>
    <row r="66" spans="1:37">
      <c r="A66" s="172"/>
      <c r="B66" s="1920"/>
      <c r="C66" s="38"/>
      <c r="D66" s="256" t="s">
        <v>132</v>
      </c>
      <c r="E66" s="257"/>
      <c r="F66" s="264" t="e">
        <f>INDEX('T1'!AA9:AE12,MATCH(F64,'T1'!Z9:Z12,0),MATCH(F65,'T1'!AA8:AE8,0))</f>
        <v>#N/A</v>
      </c>
      <c r="G66" s="259" t="s">
        <v>136</v>
      </c>
      <c r="H66" s="172"/>
      <c r="I66" s="172"/>
      <c r="J66" s="172"/>
      <c r="K66" s="172"/>
      <c r="L66" s="260" t="s">
        <v>132</v>
      </c>
      <c r="M66" s="232"/>
      <c r="N66" s="258">
        <f>'T5 - T7 | T9 - T16'!D30</f>
        <v>0.36551246602196114</v>
      </c>
      <c r="O66" s="259" t="s">
        <v>136</v>
      </c>
      <c r="P66" s="172"/>
      <c r="Q66" s="172"/>
      <c r="R66" s="172"/>
      <c r="S66" s="172"/>
      <c r="T66" s="256" t="s">
        <v>132</v>
      </c>
      <c r="U66" s="261"/>
      <c r="V66" s="264" t="e">
        <f>INDEX('T8'!AA9:AC15,MATCH(V64,'T8'!Z9:Z15,0),MATCH(V65,'T8'!AA8:AC8,0))</f>
        <v>#N/A</v>
      </c>
      <c r="W66" s="259" t="s">
        <v>136</v>
      </c>
      <c r="X66" s="172"/>
      <c r="Y66" s="172"/>
      <c r="Z66" s="172"/>
      <c r="AA66" s="172"/>
      <c r="AB66" s="172"/>
      <c r="AC66" s="172"/>
      <c r="AD66" s="172"/>
      <c r="AE66" s="172"/>
      <c r="AF66" s="172"/>
      <c r="AG66" s="172"/>
      <c r="AH66" s="172"/>
      <c r="AI66" s="172"/>
      <c r="AJ66" s="172"/>
      <c r="AK66" s="172"/>
    </row>
    <row r="67" spans="1:37" ht="17" thickBot="1">
      <c r="A67" s="172"/>
      <c r="B67" s="1920"/>
      <c r="C67" s="38"/>
      <c r="D67" s="245" t="s">
        <v>133</v>
      </c>
      <c r="E67" s="265"/>
      <c r="F67" s="247" t="e">
        <f>INDEX('T1'!AA16:AE19,MATCH(F64,'T1'!Z16:Z19,0),MATCH(F65,'T1'!AA15:AE15,0))</f>
        <v>#N/A</v>
      </c>
      <c r="G67" s="248" t="s">
        <v>136</v>
      </c>
      <c r="H67" s="172"/>
      <c r="I67" s="172"/>
      <c r="J67" s="172"/>
      <c r="K67" s="172"/>
      <c r="L67" s="262" t="s">
        <v>133</v>
      </c>
      <c r="M67" s="249"/>
      <c r="N67" s="263">
        <f>'T5 - T7 | T9 - T16'!C30</f>
        <v>4.0206371262415724E-3</v>
      </c>
      <c r="O67" s="248" t="s">
        <v>136</v>
      </c>
      <c r="P67" s="172"/>
      <c r="Q67" s="172"/>
      <c r="R67" s="172"/>
      <c r="S67" s="172"/>
      <c r="T67" s="245" t="s">
        <v>133</v>
      </c>
      <c r="U67" s="246"/>
      <c r="V67" s="247" t="e">
        <f>INDEX('T8'!AA19:AC25,MATCH(V64,'T8'!Z19:Z25,0),MATCH(V65,'T8'!AA18:AC18,0))</f>
        <v>#N/A</v>
      </c>
      <c r="W67" s="248" t="s">
        <v>136</v>
      </c>
      <c r="X67" s="172"/>
      <c r="Y67" s="172"/>
      <c r="Z67" s="172"/>
      <c r="AA67" s="172"/>
      <c r="AB67" s="172"/>
      <c r="AC67" s="172"/>
      <c r="AD67" s="172"/>
      <c r="AE67" s="172"/>
      <c r="AF67" s="172"/>
      <c r="AG67" s="172"/>
      <c r="AH67" s="172"/>
      <c r="AI67" s="172"/>
      <c r="AJ67" s="172"/>
      <c r="AK67" s="172"/>
    </row>
    <row r="68" spans="1:37" ht="17" thickBot="1">
      <c r="A68" s="172"/>
      <c r="B68" s="1920"/>
      <c r="C68" s="38"/>
      <c r="D68" s="172"/>
      <c r="E68" s="172"/>
      <c r="F68" s="172"/>
      <c r="G68" s="172"/>
      <c r="H68" s="172"/>
      <c r="I68" s="172"/>
      <c r="J68" s="172"/>
      <c r="K68" s="172"/>
      <c r="L68" s="172"/>
      <c r="M68" s="172"/>
      <c r="N68" s="172"/>
      <c r="O68" s="172"/>
      <c r="P68" s="172"/>
      <c r="Q68" s="172"/>
      <c r="R68" s="172"/>
      <c r="S68" s="172"/>
      <c r="T68" s="172"/>
      <c r="U68" s="172"/>
      <c r="V68" s="172"/>
      <c r="W68" s="172"/>
      <c r="X68" s="172"/>
      <c r="Y68" s="172"/>
      <c r="Z68" s="172"/>
      <c r="AA68" s="172"/>
      <c r="AB68" s="172"/>
      <c r="AC68" s="172"/>
      <c r="AD68" s="172"/>
      <c r="AE68" s="172"/>
      <c r="AF68" s="172"/>
      <c r="AG68" s="172"/>
      <c r="AH68" s="172"/>
      <c r="AI68" s="172"/>
      <c r="AJ68" s="172"/>
      <c r="AK68" s="172"/>
    </row>
    <row r="69" spans="1:37">
      <c r="A69" s="172"/>
      <c r="B69" s="1920"/>
      <c r="C69" s="38"/>
      <c r="D69" s="266"/>
      <c r="E69" s="242"/>
      <c r="F69" s="73" t="s">
        <v>26</v>
      </c>
      <c r="G69" s="582" t="s">
        <v>25</v>
      </c>
      <c r="H69" s="172"/>
      <c r="I69" s="172"/>
      <c r="J69" s="172"/>
      <c r="K69" s="172"/>
      <c r="L69" s="266"/>
      <c r="M69" s="242"/>
      <c r="N69" s="73" t="s">
        <v>26</v>
      </c>
      <c r="O69" s="582" t="s">
        <v>25</v>
      </c>
      <c r="P69" s="172"/>
      <c r="Q69" s="172"/>
      <c r="R69" s="172"/>
      <c r="S69" s="172"/>
      <c r="T69" s="266"/>
      <c r="U69" s="242"/>
      <c r="V69" s="73" t="s">
        <v>26</v>
      </c>
      <c r="W69" s="582" t="s">
        <v>25</v>
      </c>
      <c r="X69" s="172"/>
      <c r="Y69" s="172"/>
      <c r="Z69" s="172"/>
      <c r="AA69" s="172"/>
      <c r="AB69" s="266"/>
      <c r="AC69" s="242"/>
      <c r="AD69" s="73" t="s">
        <v>26</v>
      </c>
      <c r="AE69" s="582" t="s">
        <v>25</v>
      </c>
      <c r="AF69" s="172"/>
      <c r="AG69" s="172"/>
      <c r="AH69" s="172"/>
      <c r="AI69" s="172"/>
      <c r="AJ69" s="172"/>
      <c r="AK69" s="172"/>
    </row>
    <row r="70" spans="1:37">
      <c r="A70" s="172"/>
      <c r="B70" s="1920"/>
      <c r="C70" s="38"/>
      <c r="D70" s="258" t="s">
        <v>112</v>
      </c>
      <c r="E70" s="232"/>
      <c r="F70" s="43">
        <f>IF(H20=F15,F66*F62*G51*52/(G54+1),0)</f>
        <v>0</v>
      </c>
      <c r="G70" s="583">
        <f>IF(H20=F15,F67*F62*G51*52/(G54+1),0)</f>
        <v>0</v>
      </c>
      <c r="H70" s="172"/>
      <c r="I70" s="172"/>
      <c r="J70" s="172"/>
      <c r="K70" s="172"/>
      <c r="L70" s="258" t="s">
        <v>112</v>
      </c>
      <c r="M70" s="232"/>
      <c r="N70" s="43">
        <f>IF(H20=F16,N66*N65*O38*52,0)</f>
        <v>0</v>
      </c>
      <c r="O70" s="583">
        <f>IF(H20=F16,N67*N65*O38*52,0)</f>
        <v>0</v>
      </c>
      <c r="P70" s="172"/>
      <c r="Q70" s="172"/>
      <c r="R70" s="172"/>
      <c r="S70" s="172"/>
      <c r="T70" s="258" t="s">
        <v>112</v>
      </c>
      <c r="U70" s="232"/>
      <c r="V70" s="43">
        <f>IF(H20=F17,V66*V62*W53*52,0)</f>
        <v>0</v>
      </c>
      <c r="W70" s="583">
        <f>IF(H20=F17,V67*V62*W53*52,0)</f>
        <v>0</v>
      </c>
      <c r="X70" s="172"/>
      <c r="Y70" s="172"/>
      <c r="Z70" s="172"/>
      <c r="AA70" s="172"/>
      <c r="AB70" s="258" t="s">
        <v>112</v>
      </c>
      <c r="AC70" s="232"/>
      <c r="AD70" s="43">
        <v>0</v>
      </c>
      <c r="AE70" s="583">
        <v>0</v>
      </c>
      <c r="AF70" s="172"/>
      <c r="AG70" s="172"/>
      <c r="AH70" s="172"/>
      <c r="AI70" s="172"/>
      <c r="AJ70" s="172"/>
      <c r="AK70" s="172"/>
    </row>
    <row r="71" spans="1:37" ht="17" thickBot="1">
      <c r="A71" s="172"/>
      <c r="B71" s="1920"/>
      <c r="C71" s="38"/>
      <c r="D71" s="263" t="s">
        <v>113</v>
      </c>
      <c r="E71" s="249"/>
      <c r="F71" s="74">
        <f>IF(H20=F15,F70*F28/(10^6),0)</f>
        <v>0</v>
      </c>
      <c r="G71" s="586">
        <f>IF(H20=F15,G70*F29/(10^6),0)</f>
        <v>0</v>
      </c>
      <c r="H71" s="172"/>
      <c r="I71" s="172"/>
      <c r="J71" s="172"/>
      <c r="K71" s="172"/>
      <c r="L71" s="263" t="s">
        <v>113</v>
      </c>
      <c r="M71" s="249"/>
      <c r="N71" s="74">
        <f>IF(H20=F16,N70*F28/(10^6),0)</f>
        <v>0</v>
      </c>
      <c r="O71" s="586">
        <f>IF(H20=F16,O70*F29/(10^6),0)</f>
        <v>0</v>
      </c>
      <c r="P71" s="172"/>
      <c r="Q71" s="172"/>
      <c r="R71" s="172"/>
      <c r="S71" s="172"/>
      <c r="T71" s="263" t="s">
        <v>113</v>
      </c>
      <c r="U71" s="249"/>
      <c r="V71" s="74">
        <f>IF(H20=F17,V70*F28/(10^6),0)</f>
        <v>0</v>
      </c>
      <c r="W71" s="586">
        <f>IF(H20=F17,W70*F29/(10^6),0)</f>
        <v>0</v>
      </c>
      <c r="X71" s="172"/>
      <c r="Y71" s="172"/>
      <c r="Z71" s="172"/>
      <c r="AA71" s="172"/>
      <c r="AB71" s="263" t="s">
        <v>113</v>
      </c>
      <c r="AC71" s="249"/>
      <c r="AD71" s="74">
        <v>0</v>
      </c>
      <c r="AE71" s="586">
        <v>0</v>
      </c>
      <c r="AF71" s="172"/>
      <c r="AG71" s="172"/>
      <c r="AH71" s="172"/>
      <c r="AI71" s="172"/>
      <c r="AJ71" s="172"/>
      <c r="AK71" s="172"/>
    </row>
    <row r="72" spans="1:37" ht="17" thickBot="1">
      <c r="A72" s="172"/>
      <c r="B72" s="1921"/>
      <c r="C72" s="38"/>
      <c r="D72" s="172"/>
      <c r="E72" s="172"/>
      <c r="F72" s="172"/>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row>
    <row r="73" spans="1:37">
      <c r="A73" s="172"/>
      <c r="B73" s="444"/>
      <c r="C73" s="38"/>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c r="AJ73" s="172"/>
      <c r="AK73" s="172"/>
    </row>
    <row r="74" spans="1:37" ht="16" customHeight="1" thickBot="1">
      <c r="A74" s="207"/>
      <c r="B74" s="26"/>
      <c r="C74" s="207"/>
      <c r="D74" s="26"/>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7"/>
      <c r="AI74" s="207"/>
      <c r="AJ74" s="207"/>
      <c r="AK74" s="207"/>
    </row>
    <row r="75" spans="1:37" ht="17" thickBot="1">
      <c r="A75" s="207"/>
      <c r="B75" s="1916" t="s">
        <v>140</v>
      </c>
      <c r="C75" s="207"/>
      <c r="D75" s="26"/>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E75" s="207"/>
      <c r="AF75" s="207"/>
      <c r="AG75" s="207"/>
      <c r="AH75" s="207"/>
      <c r="AI75" s="207"/>
      <c r="AJ75" s="207"/>
      <c r="AK75" s="207"/>
    </row>
    <row r="76" spans="1:37" ht="16" customHeight="1">
      <c r="A76" s="207"/>
      <c r="B76" s="1917"/>
      <c r="C76" s="207"/>
      <c r="D76" s="207"/>
      <c r="E76" s="1863" t="s">
        <v>102</v>
      </c>
      <c r="F76" s="1864"/>
      <c r="G76" s="1864"/>
      <c r="H76" s="1864"/>
      <c r="I76" s="1865"/>
      <c r="J76" s="207"/>
      <c r="K76" s="207"/>
      <c r="L76" s="207"/>
      <c r="M76" s="207"/>
      <c r="N76" s="1863" t="s">
        <v>101</v>
      </c>
      <c r="O76" s="1864"/>
      <c r="P76" s="1864"/>
      <c r="Q76" s="1864"/>
      <c r="R76" s="1865"/>
      <c r="S76" s="207"/>
      <c r="T76" s="207"/>
      <c r="U76" s="207"/>
      <c r="V76" s="207"/>
      <c r="W76" s="207"/>
      <c r="X76" s="207"/>
      <c r="Y76" s="207"/>
      <c r="Z76" s="207"/>
      <c r="AA76" s="207"/>
      <c r="AB76" s="207"/>
      <c r="AC76" s="207"/>
      <c r="AD76" s="207"/>
      <c r="AE76" s="207"/>
      <c r="AF76" s="207"/>
      <c r="AG76" s="207"/>
      <c r="AH76" s="207"/>
      <c r="AI76" s="207"/>
      <c r="AJ76" s="207"/>
      <c r="AK76" s="207"/>
    </row>
    <row r="77" spans="1:37" ht="17" customHeight="1" thickBot="1">
      <c r="A77" s="207"/>
      <c r="B77" s="1917"/>
      <c r="C77" s="207"/>
      <c r="D77" s="207"/>
      <c r="E77" s="1866"/>
      <c r="F77" s="1867"/>
      <c r="G77" s="1867"/>
      <c r="H77" s="1867"/>
      <c r="I77" s="1868"/>
      <c r="J77" s="207"/>
      <c r="K77" s="207"/>
      <c r="L77" s="207"/>
      <c r="M77" s="207"/>
      <c r="N77" s="1866"/>
      <c r="O77" s="1867"/>
      <c r="P77" s="1867"/>
      <c r="Q77" s="1867"/>
      <c r="R77" s="1868"/>
      <c r="S77" s="207"/>
      <c r="T77" s="207"/>
      <c r="U77" s="207"/>
      <c r="V77" s="207"/>
      <c r="W77" s="207"/>
      <c r="X77" s="207"/>
      <c r="Y77" s="207"/>
      <c r="Z77" s="207"/>
      <c r="AA77" s="207"/>
      <c r="AB77" s="207"/>
      <c r="AC77" s="207"/>
      <c r="AD77" s="207"/>
      <c r="AE77" s="207"/>
      <c r="AF77" s="207"/>
      <c r="AG77" s="207"/>
      <c r="AH77" s="207"/>
      <c r="AI77" s="207"/>
      <c r="AJ77" s="207"/>
      <c r="AK77" s="207"/>
    </row>
    <row r="78" spans="1:37">
      <c r="A78" s="207"/>
      <c r="B78" s="1917"/>
      <c r="C78" s="207"/>
      <c r="D78" s="207"/>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E78" s="207"/>
      <c r="AF78" s="207"/>
      <c r="AG78" s="207"/>
      <c r="AH78" s="207"/>
      <c r="AI78" s="207"/>
      <c r="AJ78" s="207"/>
      <c r="AK78" s="207"/>
    </row>
    <row r="79" spans="1:37">
      <c r="A79" s="207"/>
      <c r="B79" s="1917"/>
      <c r="C79" s="207"/>
      <c r="D79" s="579" t="s">
        <v>91</v>
      </c>
      <c r="E79" s="212" t="str">
        <f>'Iteration II Simulation'!E79</f>
        <v>Outside of commuting, do you travel by car?</v>
      </c>
      <c r="F79" s="212"/>
      <c r="G79" s="212"/>
      <c r="H79" s="212"/>
      <c r="I79" s="212"/>
      <c r="J79" s="212"/>
      <c r="K79" s="207"/>
      <c r="L79" s="207"/>
      <c r="M79" s="579" t="s">
        <v>96</v>
      </c>
      <c r="N79" s="212" t="str">
        <f>'Iteration II Simulation'!N79</f>
        <v>Outside of commuting, do you travel by bus?</v>
      </c>
      <c r="O79" s="212"/>
      <c r="P79" s="212"/>
      <c r="Q79" s="212"/>
      <c r="R79" s="212"/>
      <c r="S79" s="212"/>
      <c r="T79" s="207"/>
      <c r="U79" s="207"/>
      <c r="V79" s="207"/>
      <c r="W79" s="207"/>
      <c r="X79" s="207"/>
      <c r="Y79" s="207"/>
      <c r="Z79" s="207"/>
      <c r="AA79" s="207"/>
      <c r="AB79" s="207"/>
      <c r="AC79" s="207"/>
      <c r="AD79" s="207"/>
      <c r="AE79" s="207"/>
      <c r="AF79" s="207"/>
      <c r="AG79" s="207"/>
      <c r="AH79" s="207"/>
      <c r="AI79" s="207"/>
      <c r="AJ79" s="207"/>
      <c r="AK79" s="207"/>
    </row>
    <row r="80" spans="1:37" ht="17" thickBot="1">
      <c r="A80" s="207"/>
      <c r="B80" s="1917"/>
      <c r="C80" s="207"/>
      <c r="D80" s="207"/>
      <c r="E80" s="26" t="s">
        <v>34</v>
      </c>
      <c r="F80" s="207" t="s">
        <v>88</v>
      </c>
      <c r="G80" s="207"/>
      <c r="H80" s="207"/>
      <c r="I80" s="207"/>
      <c r="J80" s="207"/>
      <c r="K80" s="207"/>
      <c r="L80" s="207"/>
      <c r="M80" s="207"/>
      <c r="N80" s="26" t="s">
        <v>34</v>
      </c>
      <c r="O80" s="207" t="s">
        <v>88</v>
      </c>
      <c r="P80" s="207"/>
      <c r="Q80" s="207"/>
      <c r="R80" s="207"/>
      <c r="S80" s="207"/>
      <c r="T80" s="207"/>
      <c r="U80" s="207"/>
      <c r="V80" s="207"/>
      <c r="W80" s="207"/>
      <c r="X80" s="207"/>
      <c r="Y80" s="207"/>
      <c r="Z80" s="207"/>
      <c r="AA80" s="207"/>
      <c r="AB80" s="207"/>
      <c r="AC80" s="207"/>
      <c r="AD80" s="207"/>
      <c r="AE80" s="207"/>
      <c r="AF80" s="207"/>
      <c r="AG80" s="207"/>
      <c r="AH80" s="207"/>
      <c r="AI80" s="207"/>
      <c r="AJ80" s="207"/>
      <c r="AK80" s="207"/>
    </row>
    <row r="81" spans="1:37" ht="17" thickBot="1">
      <c r="A81" s="207"/>
      <c r="B81" s="1917"/>
      <c r="C81" s="207"/>
      <c r="D81" s="207"/>
      <c r="E81" s="26" t="s">
        <v>35</v>
      </c>
      <c r="F81" s="207" t="s">
        <v>89</v>
      </c>
      <c r="G81" s="207"/>
      <c r="H81" s="207"/>
      <c r="I81" s="788">
        <f>'Iteration II Simulation'!O229</f>
        <v>0</v>
      </c>
      <c r="J81" s="207"/>
      <c r="K81" s="207"/>
      <c r="L81" s="207"/>
      <c r="M81" s="207"/>
      <c r="N81" s="26" t="s">
        <v>35</v>
      </c>
      <c r="O81" s="207" t="s">
        <v>89</v>
      </c>
      <c r="P81" s="207"/>
      <c r="Q81" s="207"/>
      <c r="R81" s="788">
        <f>'Iteration II Simulation'!O234</f>
        <v>0</v>
      </c>
      <c r="S81" s="207"/>
      <c r="T81" s="207"/>
      <c r="U81" s="207"/>
      <c r="V81" s="207"/>
      <c r="W81" s="207"/>
      <c r="X81" s="207"/>
      <c r="Y81" s="207"/>
      <c r="Z81" s="207"/>
      <c r="AA81" s="207"/>
      <c r="AB81" s="207"/>
      <c r="AC81" s="207"/>
      <c r="AD81" s="207"/>
      <c r="AE81" s="207"/>
      <c r="AF81" s="207"/>
      <c r="AG81" s="207"/>
      <c r="AH81" s="207"/>
      <c r="AI81" s="207"/>
      <c r="AJ81" s="207"/>
      <c r="AK81" s="207"/>
    </row>
    <row r="82" spans="1:37">
      <c r="A82" s="207"/>
      <c r="B82" s="1917"/>
      <c r="C82" s="207"/>
      <c r="D82" s="207"/>
      <c r="E82" s="207"/>
      <c r="F82" s="207"/>
      <c r="G82" s="207"/>
      <c r="H82" s="207"/>
      <c r="I82" s="207"/>
      <c r="J82" s="207"/>
      <c r="K82" s="207"/>
      <c r="L82" s="207"/>
      <c r="M82" s="207"/>
      <c r="N82" s="207"/>
      <c r="O82" s="207"/>
      <c r="P82" s="207"/>
      <c r="Q82" s="207"/>
      <c r="R82" s="207"/>
      <c r="S82" s="207"/>
      <c r="T82" s="207"/>
      <c r="U82" s="207"/>
      <c r="V82" s="207"/>
      <c r="W82" s="207"/>
      <c r="X82" s="207"/>
      <c r="Y82" s="207"/>
      <c r="Z82" s="207"/>
      <c r="AA82" s="207"/>
      <c r="AB82" s="207"/>
      <c r="AC82" s="207"/>
      <c r="AD82" s="207"/>
      <c r="AE82" s="207"/>
      <c r="AF82" s="207"/>
      <c r="AG82" s="207"/>
      <c r="AH82" s="207"/>
      <c r="AI82" s="207"/>
      <c r="AJ82" s="207"/>
      <c r="AK82" s="207"/>
    </row>
    <row r="83" spans="1:37" ht="17" thickBot="1">
      <c r="A83" s="207"/>
      <c r="B83" s="1917"/>
      <c r="C83" s="207"/>
      <c r="D83" s="579" t="s">
        <v>92</v>
      </c>
      <c r="E83" s="212" t="str">
        <f>'Iteration II Simulation'!E84</f>
        <v>What type of car do you have?</v>
      </c>
      <c r="F83" s="212"/>
      <c r="G83" s="212"/>
      <c r="H83" s="212"/>
      <c r="I83" s="212"/>
      <c r="J83" s="212"/>
      <c r="K83" s="207"/>
      <c r="L83" s="207"/>
      <c r="M83" s="579" t="s">
        <v>103</v>
      </c>
      <c r="N83" s="212" t="str">
        <f>'Iteration II Simulation'!N84</f>
        <v>On average, how many hours do you usually spend on a bus outside of commuting each week?</v>
      </c>
      <c r="O83" s="212"/>
      <c r="P83" s="212"/>
      <c r="Q83" s="212"/>
      <c r="R83" s="212"/>
      <c r="S83" s="212"/>
      <c r="T83" s="207"/>
      <c r="U83" s="207"/>
      <c r="V83" s="207"/>
      <c r="W83" s="207"/>
      <c r="X83" s="207"/>
      <c r="Y83" s="207"/>
      <c r="Z83" s="207"/>
      <c r="AA83" s="207"/>
      <c r="AB83" s="207"/>
      <c r="AC83" s="207"/>
      <c r="AD83" s="207"/>
      <c r="AE83" s="207"/>
      <c r="AF83" s="207"/>
      <c r="AG83" s="207"/>
      <c r="AH83" s="207"/>
      <c r="AI83" s="207"/>
      <c r="AJ83" s="207"/>
      <c r="AK83" s="207"/>
    </row>
    <row r="84" spans="1:37" ht="17" thickBot="1">
      <c r="A84" s="207"/>
      <c r="B84" s="1917"/>
      <c r="C84" s="207"/>
      <c r="D84" s="26"/>
      <c r="E84" s="26" t="s">
        <v>34</v>
      </c>
      <c r="F84" s="207" t="s">
        <v>9</v>
      </c>
      <c r="G84" s="207"/>
      <c r="H84" s="207"/>
      <c r="I84" s="207"/>
      <c r="J84" s="207"/>
      <c r="K84" s="207"/>
      <c r="L84" s="207"/>
      <c r="M84" s="207"/>
      <c r="N84" s="1881" t="s">
        <v>73</v>
      </c>
      <c r="O84" s="1882"/>
      <c r="P84" s="788">
        <f>'Iteration II Simulation'!O235</f>
        <v>0</v>
      </c>
      <c r="Q84" s="285"/>
      <c r="R84" s="207"/>
      <c r="S84" s="207"/>
      <c r="T84" s="207"/>
      <c r="U84" s="207"/>
      <c r="V84" s="285"/>
      <c r="W84" s="207"/>
      <c r="X84" s="207"/>
      <c r="Y84" s="207"/>
      <c r="Z84" s="207"/>
      <c r="AA84" s="207"/>
      <c r="AB84" s="207"/>
      <c r="AC84" s="207"/>
      <c r="AD84" s="207"/>
      <c r="AE84" s="207"/>
      <c r="AF84" s="207"/>
      <c r="AG84" s="207"/>
      <c r="AH84" s="207"/>
      <c r="AI84" s="207"/>
      <c r="AJ84" s="207"/>
      <c r="AK84" s="207"/>
    </row>
    <row r="85" spans="1:37">
      <c r="A85" s="207"/>
      <c r="B85" s="1917"/>
      <c r="C85" s="207"/>
      <c r="D85" s="26"/>
      <c r="E85" s="26" t="s">
        <v>35</v>
      </c>
      <c r="F85" s="207" t="s">
        <v>6</v>
      </c>
      <c r="G85" s="207"/>
      <c r="H85" s="207"/>
      <c r="I85" s="207"/>
      <c r="J85" s="207"/>
      <c r="K85" s="207"/>
      <c r="L85" s="207"/>
      <c r="M85" s="207"/>
      <c r="N85" s="207"/>
      <c r="O85" s="207"/>
      <c r="P85" s="207"/>
      <c r="Q85" s="207"/>
      <c r="R85" s="207"/>
      <c r="S85" s="207"/>
      <c r="T85" s="207"/>
      <c r="U85" s="207"/>
      <c r="V85" s="207"/>
      <c r="W85" s="207"/>
      <c r="X85" s="207"/>
      <c r="Y85" s="207"/>
      <c r="Z85" s="207"/>
      <c r="AA85" s="207"/>
      <c r="AB85" s="207"/>
      <c r="AC85" s="207"/>
      <c r="AD85" s="207"/>
      <c r="AE85" s="207"/>
      <c r="AF85" s="207"/>
      <c r="AG85" s="207"/>
      <c r="AH85" s="207"/>
      <c r="AI85" s="207"/>
      <c r="AJ85" s="207"/>
      <c r="AK85" s="207"/>
    </row>
    <row r="86" spans="1:37" ht="17" thickBot="1">
      <c r="A86" s="207"/>
      <c r="B86" s="1917"/>
      <c r="C86" s="207"/>
      <c r="D86" s="26"/>
      <c r="E86" s="26" t="s">
        <v>36</v>
      </c>
      <c r="F86" s="207" t="s">
        <v>55</v>
      </c>
      <c r="G86" s="207"/>
      <c r="H86" s="207"/>
      <c r="I86" s="207"/>
      <c r="J86" s="207"/>
      <c r="K86" s="207"/>
      <c r="L86" s="207"/>
      <c r="M86" s="207"/>
      <c r="N86" s="207"/>
      <c r="O86" s="207"/>
      <c r="P86" s="207"/>
      <c r="Q86" s="207"/>
      <c r="R86" s="207"/>
      <c r="S86" s="207"/>
      <c r="T86" s="207"/>
      <c r="U86" s="207"/>
      <c r="V86" s="207"/>
      <c r="W86" s="207"/>
      <c r="X86" s="207"/>
      <c r="Y86" s="207"/>
      <c r="Z86" s="207"/>
      <c r="AA86" s="207"/>
      <c r="AB86" s="207"/>
      <c r="AC86" s="207"/>
      <c r="AD86" s="207"/>
      <c r="AE86" s="207"/>
      <c r="AF86" s="207"/>
      <c r="AG86" s="207"/>
      <c r="AH86" s="207"/>
      <c r="AI86" s="207"/>
      <c r="AJ86" s="207"/>
      <c r="AK86" s="207"/>
    </row>
    <row r="87" spans="1:37" ht="17" thickBot="1">
      <c r="A87" s="207"/>
      <c r="B87" s="1917"/>
      <c r="C87" s="207"/>
      <c r="D87" s="26"/>
      <c r="E87" s="26" t="s">
        <v>37</v>
      </c>
      <c r="F87" s="207" t="s">
        <v>0</v>
      </c>
      <c r="G87" s="207"/>
      <c r="H87" s="207"/>
      <c r="I87" s="788">
        <f>'Iteration II Simulation'!O230</f>
        <v>0</v>
      </c>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c r="AJ87" s="207"/>
      <c r="AK87" s="207"/>
    </row>
    <row r="88" spans="1:37">
      <c r="A88" s="207"/>
      <c r="B88" s="1917"/>
      <c r="C88" s="207"/>
      <c r="D88" s="26"/>
      <c r="E88" s="207"/>
      <c r="F88" s="207"/>
      <c r="G88" s="207"/>
      <c r="H88" s="207"/>
      <c r="I88" s="207"/>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c r="AJ88" s="207"/>
      <c r="AK88" s="207"/>
    </row>
    <row r="89" spans="1:37">
      <c r="A89" s="207"/>
      <c r="B89" s="1917"/>
      <c r="C89" s="207"/>
      <c r="D89" s="579" t="s">
        <v>93</v>
      </c>
      <c r="E89" s="212" t="str">
        <f>'Iteration II Simulation'!E90</f>
        <v>How old is your car?</v>
      </c>
      <c r="F89" s="212"/>
      <c r="G89" s="212"/>
      <c r="H89" s="212"/>
      <c r="I89" s="212"/>
      <c r="J89" s="212"/>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c r="AJ89" s="207"/>
      <c r="AK89" s="207"/>
    </row>
    <row r="90" spans="1:37">
      <c r="A90" s="207"/>
      <c r="B90" s="1917"/>
      <c r="C90" s="207"/>
      <c r="D90" s="26"/>
      <c r="E90" s="26" t="s">
        <v>34</v>
      </c>
      <c r="F90" s="207" t="s">
        <v>57</v>
      </c>
      <c r="G90" s="207" t="s">
        <v>7</v>
      </c>
      <c r="H90" s="207"/>
      <c r="I90" s="207"/>
      <c r="J90" s="207"/>
      <c r="K90" s="207"/>
      <c r="L90" s="207"/>
      <c r="M90" s="207"/>
      <c r="N90" s="207"/>
      <c r="O90" s="207"/>
      <c r="P90" s="207"/>
      <c r="Q90" s="207"/>
      <c r="R90" s="207"/>
      <c r="S90" s="207"/>
      <c r="T90" s="207"/>
      <c r="U90" s="207"/>
      <c r="V90" s="207"/>
      <c r="W90" s="207"/>
      <c r="X90" s="207"/>
      <c r="Y90" s="207"/>
      <c r="Z90" s="207"/>
      <c r="AA90" s="207"/>
      <c r="AB90" s="207"/>
      <c r="AC90" s="207"/>
      <c r="AD90" s="207"/>
      <c r="AE90" s="207"/>
      <c r="AF90" s="207"/>
      <c r="AG90" s="207"/>
      <c r="AH90" s="207"/>
      <c r="AI90" s="207"/>
      <c r="AJ90" s="207"/>
      <c r="AK90" s="207"/>
    </row>
    <row r="91" spans="1:37">
      <c r="A91" s="207"/>
      <c r="B91" s="1917"/>
      <c r="C91" s="207"/>
      <c r="D91" s="26"/>
      <c r="E91" s="26" t="s">
        <v>35</v>
      </c>
      <c r="F91" s="207" t="s">
        <v>57</v>
      </c>
      <c r="G91" s="207" t="s">
        <v>8</v>
      </c>
      <c r="H91" s="207"/>
      <c r="I91" s="207"/>
      <c r="J91" s="207"/>
      <c r="K91" s="207"/>
      <c r="L91" s="207"/>
      <c r="M91" s="207"/>
      <c r="N91" s="207"/>
      <c r="O91" s="207"/>
      <c r="P91" s="207"/>
      <c r="Q91" s="207"/>
      <c r="R91" s="207"/>
      <c r="S91" s="207"/>
      <c r="T91" s="207"/>
      <c r="U91" s="207"/>
      <c r="V91" s="207"/>
      <c r="W91" s="207"/>
      <c r="X91" s="207"/>
      <c r="Y91" s="207"/>
      <c r="Z91" s="207"/>
      <c r="AA91" s="207"/>
      <c r="AB91" s="207"/>
      <c r="AC91" s="207"/>
      <c r="AD91" s="207"/>
      <c r="AE91" s="207"/>
      <c r="AF91" s="207"/>
      <c r="AG91" s="207"/>
      <c r="AH91" s="207"/>
      <c r="AI91" s="207"/>
      <c r="AJ91" s="207"/>
      <c r="AK91" s="207"/>
    </row>
    <row r="92" spans="1:37">
      <c r="A92" s="207"/>
      <c r="B92" s="1917"/>
      <c r="C92" s="207"/>
      <c r="D92" s="26"/>
      <c r="E92" s="26" t="s">
        <v>36</v>
      </c>
      <c r="F92" s="207" t="s">
        <v>58</v>
      </c>
      <c r="G92" s="207" t="s">
        <v>2</v>
      </c>
      <c r="H92" s="207"/>
      <c r="I92" s="207"/>
      <c r="J92" s="207"/>
      <c r="K92" s="207"/>
      <c r="L92" s="207"/>
      <c r="M92" s="207"/>
      <c r="N92" s="207"/>
      <c r="O92" s="207"/>
      <c r="P92" s="207"/>
      <c r="Q92" s="207"/>
      <c r="R92" s="207"/>
      <c r="S92" s="207"/>
      <c r="T92" s="207"/>
      <c r="U92" s="207"/>
      <c r="V92" s="207"/>
      <c r="W92" s="207"/>
      <c r="X92" s="207"/>
      <c r="Y92" s="207"/>
      <c r="Z92" s="207"/>
      <c r="AA92" s="207"/>
      <c r="AB92" s="207"/>
      <c r="AC92" s="207"/>
      <c r="AD92" s="207"/>
      <c r="AE92" s="207"/>
      <c r="AF92" s="207"/>
      <c r="AG92" s="207"/>
      <c r="AH92" s="207"/>
      <c r="AI92" s="207"/>
      <c r="AJ92" s="207"/>
      <c r="AK92" s="207"/>
    </row>
    <row r="93" spans="1:37" ht="17" thickBot="1">
      <c r="A93" s="207"/>
      <c r="B93" s="1917"/>
      <c r="C93" s="207"/>
      <c r="D93" s="26"/>
      <c r="E93" s="26" t="s">
        <v>37</v>
      </c>
      <c r="F93" s="207" t="s">
        <v>60</v>
      </c>
      <c r="G93" s="207" t="s">
        <v>1</v>
      </c>
      <c r="H93" s="207"/>
      <c r="I93" s="207"/>
      <c r="J93" s="207"/>
      <c r="K93" s="207"/>
      <c r="L93" s="207"/>
      <c r="M93" s="207"/>
      <c r="N93" s="207"/>
      <c r="O93" s="207"/>
      <c r="P93" s="207"/>
      <c r="Q93" s="207"/>
      <c r="R93" s="207"/>
      <c r="S93" s="207"/>
      <c r="T93" s="207"/>
      <c r="U93" s="207"/>
      <c r="V93" s="207"/>
      <c r="W93" s="207"/>
      <c r="X93" s="207"/>
      <c r="Y93" s="207"/>
      <c r="Z93" s="207"/>
      <c r="AA93" s="207"/>
      <c r="AB93" s="207"/>
      <c r="AC93" s="207"/>
      <c r="AD93" s="207"/>
      <c r="AE93" s="207"/>
      <c r="AF93" s="207"/>
      <c r="AG93" s="207"/>
      <c r="AH93" s="207"/>
      <c r="AI93" s="207"/>
      <c r="AJ93" s="207"/>
      <c r="AK93" s="207"/>
    </row>
    <row r="94" spans="1:37" ht="17" thickBot="1">
      <c r="A94" s="207"/>
      <c r="B94" s="1917"/>
      <c r="C94" s="207"/>
      <c r="D94" s="26"/>
      <c r="E94" s="26" t="s">
        <v>38</v>
      </c>
      <c r="F94" s="207" t="s">
        <v>59</v>
      </c>
      <c r="G94" s="207" t="s">
        <v>5</v>
      </c>
      <c r="H94" s="207"/>
      <c r="I94" s="788">
        <f>'Iteration II Simulation'!O231</f>
        <v>0</v>
      </c>
      <c r="J94" s="207"/>
      <c r="K94" s="207"/>
      <c r="L94" s="207"/>
      <c r="M94" s="207"/>
      <c r="N94" s="207"/>
      <c r="O94" s="207"/>
      <c r="P94" s="207"/>
      <c r="Q94" s="207"/>
      <c r="R94" s="207"/>
      <c r="S94" s="207"/>
      <c r="T94" s="207"/>
      <c r="U94" s="207"/>
      <c r="V94" s="207"/>
      <c r="W94" s="207"/>
      <c r="X94" s="207"/>
      <c r="Y94" s="207"/>
      <c r="Z94" s="207"/>
      <c r="AA94" s="207"/>
      <c r="AB94" s="207"/>
      <c r="AC94" s="207"/>
      <c r="AD94" s="207"/>
      <c r="AE94" s="207"/>
      <c r="AF94" s="207"/>
      <c r="AG94" s="207"/>
      <c r="AH94" s="207"/>
      <c r="AI94" s="207"/>
      <c r="AJ94" s="207"/>
      <c r="AK94" s="207"/>
    </row>
    <row r="95" spans="1:37">
      <c r="A95" s="207"/>
      <c r="B95" s="1917"/>
      <c r="C95" s="207"/>
      <c r="D95" s="207"/>
      <c r="E95" s="207"/>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207"/>
      <c r="AD95" s="207"/>
      <c r="AE95" s="207"/>
      <c r="AF95" s="207"/>
      <c r="AG95" s="207"/>
      <c r="AH95" s="207"/>
      <c r="AI95" s="207"/>
      <c r="AJ95" s="207"/>
      <c r="AK95" s="207"/>
    </row>
    <row r="96" spans="1:37" ht="17" thickBot="1">
      <c r="A96" s="207"/>
      <c r="B96" s="1917"/>
      <c r="C96" s="207"/>
      <c r="D96" s="579" t="s">
        <v>94</v>
      </c>
      <c r="E96" s="212" t="str">
        <f>'Iteration II Simulation'!E97</f>
        <v>On average, how many hours do you usually spend in your car outside of commuting each week?</v>
      </c>
      <c r="F96" s="212"/>
      <c r="G96" s="212"/>
      <c r="H96" s="212"/>
      <c r="I96" s="212"/>
      <c r="J96" s="212"/>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07"/>
      <c r="AI96" s="207"/>
      <c r="AJ96" s="207"/>
      <c r="AK96" s="207"/>
    </row>
    <row r="97" spans="1:37" ht="17" thickBot="1">
      <c r="A97" s="207"/>
      <c r="B97" s="1917"/>
      <c r="C97" s="207"/>
      <c r="D97" s="26"/>
      <c r="E97" s="1881" t="s">
        <v>73</v>
      </c>
      <c r="F97" s="1882"/>
      <c r="G97" s="788">
        <f>'Iteration II Simulation'!O232</f>
        <v>0</v>
      </c>
      <c r="H97" s="510"/>
      <c r="I97" s="207"/>
      <c r="J97" s="207"/>
      <c r="K97" s="207"/>
      <c r="L97" s="207"/>
      <c r="M97" s="207"/>
      <c r="N97" s="207"/>
      <c r="O97" s="207"/>
      <c r="P97" s="207"/>
      <c r="Q97" s="207"/>
      <c r="R97" s="207"/>
      <c r="S97" s="207"/>
      <c r="T97" s="207"/>
      <c r="U97" s="207"/>
      <c r="V97" s="207"/>
      <c r="W97" s="207"/>
      <c r="X97" s="207"/>
      <c r="Y97" s="207"/>
      <c r="Z97" s="207"/>
      <c r="AA97" s="207"/>
      <c r="AB97" s="207"/>
      <c r="AC97" s="207"/>
      <c r="AD97" s="207"/>
      <c r="AE97" s="207"/>
      <c r="AF97" s="207"/>
      <c r="AG97" s="207"/>
      <c r="AH97" s="207"/>
      <c r="AI97" s="207"/>
      <c r="AJ97" s="207"/>
      <c r="AK97" s="207"/>
    </row>
    <row r="98" spans="1:37">
      <c r="A98" s="207"/>
      <c r="B98" s="1917"/>
      <c r="C98" s="207"/>
      <c r="D98" s="207" t="s">
        <v>3291</v>
      </c>
      <c r="E98" s="207"/>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207"/>
      <c r="AD98" s="207"/>
      <c r="AE98" s="207"/>
      <c r="AF98" s="207"/>
      <c r="AG98" s="207"/>
      <c r="AH98" s="207"/>
      <c r="AI98" s="207"/>
      <c r="AJ98" s="207"/>
      <c r="AK98" s="207"/>
    </row>
    <row r="99" spans="1:37">
      <c r="A99" s="207"/>
      <c r="B99" s="1917"/>
      <c r="C99" s="207"/>
      <c r="D99" s="207"/>
      <c r="E99" s="207"/>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207"/>
      <c r="AD99" s="207"/>
      <c r="AE99" s="207"/>
      <c r="AF99" s="207"/>
      <c r="AG99" s="207"/>
      <c r="AH99" s="207"/>
      <c r="AI99" s="207"/>
      <c r="AJ99" s="207"/>
      <c r="AK99" s="207"/>
    </row>
    <row r="100" spans="1:37" ht="17" thickBot="1">
      <c r="A100" s="207"/>
      <c r="B100" s="1917"/>
      <c r="C100" s="207"/>
      <c r="D100" s="579" t="s">
        <v>95</v>
      </c>
      <c r="E100" s="212" t="str">
        <f>'Iteration II Simulation'!E101</f>
        <v>How many people are usually with you in the car at the same time?</v>
      </c>
      <c r="F100" s="212"/>
      <c r="G100" s="212"/>
      <c r="H100" s="212"/>
      <c r="I100" s="212"/>
      <c r="J100" s="212"/>
      <c r="K100" s="207"/>
      <c r="L100" s="207"/>
      <c r="M100" s="207"/>
      <c r="N100" s="207"/>
      <c r="O100" s="207"/>
      <c r="P100" s="207"/>
      <c r="Q100" s="207"/>
      <c r="R100" s="207"/>
      <c r="S100" s="207"/>
      <c r="T100" s="207"/>
      <c r="U100" s="207"/>
      <c r="V100" s="207"/>
      <c r="W100" s="207"/>
      <c r="X100" s="207"/>
      <c r="Y100" s="207"/>
      <c r="Z100" s="207"/>
      <c r="AA100" s="207"/>
      <c r="AB100" s="207"/>
      <c r="AC100" s="207"/>
      <c r="AD100" s="207"/>
      <c r="AE100" s="207"/>
      <c r="AF100" s="207"/>
      <c r="AG100" s="207"/>
      <c r="AH100" s="207"/>
      <c r="AI100" s="207"/>
      <c r="AJ100" s="207"/>
      <c r="AK100" s="207"/>
    </row>
    <row r="101" spans="1:37" ht="17" thickBot="1">
      <c r="A101" s="207"/>
      <c r="B101" s="1917"/>
      <c r="C101" s="207"/>
      <c r="D101" s="26"/>
      <c r="E101" s="1881" t="s">
        <v>73</v>
      </c>
      <c r="F101" s="1882"/>
      <c r="G101" s="788">
        <f>'Iteration II Simulation'!O233</f>
        <v>0</v>
      </c>
      <c r="H101" s="285"/>
      <c r="I101" s="207"/>
      <c r="J101" s="207"/>
      <c r="K101" s="207"/>
      <c r="L101" s="207"/>
      <c r="M101" s="207"/>
      <c r="N101" s="207"/>
      <c r="O101" s="207"/>
      <c r="P101" s="207"/>
      <c r="Q101" s="207"/>
      <c r="R101" s="207"/>
      <c r="S101" s="207"/>
      <c r="T101" s="207"/>
      <c r="U101" s="207"/>
      <c r="V101" s="207"/>
      <c r="W101" s="207"/>
      <c r="X101" s="207"/>
      <c r="Y101" s="207"/>
      <c r="Z101" s="207"/>
      <c r="AA101" s="207"/>
      <c r="AB101" s="207"/>
      <c r="AC101" s="207"/>
      <c r="AD101" s="207"/>
      <c r="AE101" s="207"/>
      <c r="AF101" s="207"/>
      <c r="AG101" s="207"/>
      <c r="AH101" s="207"/>
      <c r="AI101" s="207"/>
      <c r="AJ101" s="207"/>
      <c r="AK101" s="207"/>
    </row>
    <row r="102" spans="1:37">
      <c r="A102" s="207"/>
      <c r="B102" s="1917"/>
      <c r="C102" s="207"/>
      <c r="D102" s="207"/>
      <c r="E102" s="207"/>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207"/>
      <c r="AD102" s="207"/>
      <c r="AE102" s="207"/>
      <c r="AF102" s="207"/>
      <c r="AG102" s="207"/>
      <c r="AH102" s="207"/>
      <c r="AI102" s="207"/>
      <c r="AJ102" s="207"/>
      <c r="AK102" s="207"/>
    </row>
    <row r="103" spans="1:37">
      <c r="A103" s="207"/>
      <c r="B103" s="1917"/>
      <c r="C103" s="207"/>
      <c r="D103" s="26"/>
      <c r="E103" s="207"/>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207"/>
      <c r="AD103" s="207"/>
      <c r="AE103" s="207"/>
      <c r="AF103" s="207"/>
      <c r="AG103" s="207"/>
      <c r="AH103" s="207"/>
      <c r="AI103" s="207"/>
      <c r="AJ103" s="207"/>
      <c r="AK103" s="207"/>
    </row>
    <row r="104" spans="1:37" ht="17" thickBot="1">
      <c r="A104" s="207"/>
      <c r="B104" s="1917"/>
      <c r="C104" s="207"/>
      <c r="D104" s="207"/>
      <c r="E104" s="207"/>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207"/>
      <c r="AD104" s="207"/>
      <c r="AE104" s="207"/>
      <c r="AF104" s="207"/>
      <c r="AG104" s="207"/>
      <c r="AH104" s="207"/>
      <c r="AI104" s="207"/>
      <c r="AJ104" s="207"/>
      <c r="AK104" s="207"/>
    </row>
    <row r="105" spans="1:37" ht="17" thickBot="1">
      <c r="A105" s="207"/>
      <c r="B105" s="1917"/>
      <c r="C105" s="207"/>
      <c r="D105" s="166" t="s">
        <v>67</v>
      </c>
      <c r="E105" s="268"/>
      <c r="F105" s="268"/>
      <c r="G105" s="269"/>
      <c r="H105" s="207"/>
      <c r="I105" s="207"/>
      <c r="J105" s="207"/>
      <c r="K105" s="207"/>
      <c r="L105" s="207"/>
      <c r="M105" s="270" t="s">
        <v>134</v>
      </c>
      <c r="N105" s="271"/>
      <c r="O105" s="271"/>
      <c r="P105" s="269"/>
      <c r="Q105" s="207"/>
      <c r="R105" s="207"/>
      <c r="S105" s="207"/>
      <c r="T105" s="207"/>
      <c r="U105" s="207"/>
      <c r="V105" s="207"/>
      <c r="W105" s="207"/>
      <c r="X105" s="207"/>
      <c r="Y105" s="207"/>
      <c r="Z105" s="207"/>
      <c r="AA105" s="207"/>
      <c r="AB105" s="207"/>
      <c r="AC105" s="207"/>
      <c r="AD105" s="207"/>
      <c r="AE105" s="207"/>
      <c r="AF105" s="207"/>
      <c r="AG105" s="207"/>
      <c r="AH105" s="207"/>
      <c r="AI105" s="207"/>
      <c r="AJ105" s="207"/>
      <c r="AK105" s="207"/>
    </row>
    <row r="106" spans="1:37">
      <c r="A106" s="207"/>
      <c r="B106" s="1917"/>
      <c r="C106" s="207"/>
      <c r="D106" s="83" t="s">
        <v>43</v>
      </c>
      <c r="E106" s="84"/>
      <c r="F106" s="272" t="e">
        <f>F62</f>
        <v>#N/A</v>
      </c>
      <c r="G106" s="273" t="s">
        <v>44</v>
      </c>
      <c r="H106" s="207"/>
      <c r="I106" s="207"/>
      <c r="J106" s="207"/>
      <c r="K106" s="207"/>
      <c r="L106" s="207"/>
      <c r="M106" s="274" t="s">
        <v>126</v>
      </c>
      <c r="N106" s="275"/>
      <c r="O106" s="523">
        <f>G12</f>
        <v>0</v>
      </c>
      <c r="P106" s="273"/>
      <c r="Q106" s="207"/>
      <c r="R106" s="207"/>
      <c r="S106" s="207"/>
      <c r="T106" s="207"/>
      <c r="U106" s="207"/>
      <c r="V106" s="207"/>
      <c r="W106" s="207"/>
      <c r="X106" s="207"/>
      <c r="Y106" s="207"/>
      <c r="Z106" s="207"/>
      <c r="AA106" s="207"/>
      <c r="AB106" s="207"/>
      <c r="AC106" s="207"/>
      <c r="AD106" s="207"/>
      <c r="AE106" s="207"/>
      <c r="AF106" s="207"/>
      <c r="AG106" s="207"/>
      <c r="AH106" s="207"/>
      <c r="AI106" s="207"/>
      <c r="AJ106" s="207"/>
      <c r="AK106" s="207"/>
    </row>
    <row r="107" spans="1:37" ht="17" thickBot="1">
      <c r="A107" s="207"/>
      <c r="B107" s="1917"/>
      <c r="C107" s="207"/>
      <c r="D107" s="276" t="s">
        <v>61</v>
      </c>
      <c r="E107" s="277"/>
      <c r="F107" s="278" t="s">
        <v>48</v>
      </c>
      <c r="G107" s="279"/>
      <c r="H107" s="207"/>
      <c r="I107" s="207"/>
      <c r="J107" s="207"/>
      <c r="K107" s="207"/>
      <c r="L107" s="207"/>
      <c r="M107" s="280" t="s">
        <v>43</v>
      </c>
      <c r="N107" s="281"/>
      <c r="O107" s="282" t="e">
        <f>VLOOKUP(O106,'T4'!B7:C2988,2,FALSE)</f>
        <v>#N/A</v>
      </c>
      <c r="P107" s="283" t="s">
        <v>44</v>
      </c>
      <c r="Q107" s="207"/>
      <c r="R107" s="207"/>
      <c r="S107" s="207"/>
      <c r="T107" s="207"/>
      <c r="U107" s="207"/>
      <c r="V107" s="207"/>
      <c r="W107" s="207"/>
      <c r="X107" s="207"/>
      <c r="Y107" s="207"/>
      <c r="Z107" s="207"/>
      <c r="AA107" s="207"/>
      <c r="AB107" s="207"/>
      <c r="AC107" s="207"/>
      <c r="AD107" s="207"/>
      <c r="AE107" s="207"/>
      <c r="AF107" s="207"/>
      <c r="AG107" s="207"/>
      <c r="AH107" s="207"/>
      <c r="AI107" s="207"/>
      <c r="AJ107" s="207"/>
      <c r="AK107" s="207"/>
    </row>
    <row r="108" spans="1:37" ht="17" thickBot="1">
      <c r="A108" s="207"/>
      <c r="B108" s="1917"/>
      <c r="C108" s="207"/>
      <c r="D108" s="276" t="s">
        <v>24</v>
      </c>
      <c r="E108" s="277"/>
      <c r="F108" s="278">
        <f>I87</f>
        <v>0</v>
      </c>
      <c r="G108" s="279"/>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207"/>
      <c r="AD108" s="207"/>
      <c r="AE108" s="207"/>
      <c r="AF108" s="207"/>
      <c r="AG108" s="207"/>
      <c r="AH108" s="207"/>
      <c r="AI108" s="207"/>
      <c r="AJ108" s="207"/>
      <c r="AK108" s="207"/>
    </row>
    <row r="109" spans="1:37" ht="17" thickBot="1">
      <c r="A109" s="207"/>
      <c r="B109" s="1917"/>
      <c r="C109" s="207"/>
      <c r="D109" s="276" t="s">
        <v>23</v>
      </c>
      <c r="E109" s="277"/>
      <c r="F109" s="278">
        <f>I94</f>
        <v>0</v>
      </c>
      <c r="G109" s="279"/>
      <c r="H109" s="207"/>
      <c r="I109" s="207"/>
      <c r="J109" s="207"/>
      <c r="K109" s="207"/>
      <c r="L109" s="207"/>
      <c r="M109" s="288" t="s">
        <v>135</v>
      </c>
      <c r="N109" s="275"/>
      <c r="O109" s="268"/>
      <c r="P109" s="269"/>
      <c r="Q109" s="207"/>
      <c r="R109" s="207"/>
      <c r="S109" s="207"/>
      <c r="T109" s="207"/>
      <c r="U109" s="207"/>
      <c r="V109" s="207"/>
      <c r="W109" s="207"/>
      <c r="X109" s="207"/>
      <c r="Y109" s="207"/>
      <c r="Z109" s="207"/>
      <c r="AA109" s="207"/>
      <c r="AB109" s="207"/>
      <c r="AC109" s="207"/>
      <c r="AD109" s="207"/>
      <c r="AE109" s="207"/>
      <c r="AF109" s="207"/>
      <c r="AG109" s="207"/>
      <c r="AH109" s="207"/>
      <c r="AI109" s="207"/>
      <c r="AJ109" s="207"/>
      <c r="AK109" s="207"/>
    </row>
    <row r="110" spans="1:37">
      <c r="A110" s="207"/>
      <c r="B110" s="1917"/>
      <c r="C110" s="207"/>
      <c r="D110" s="276" t="s">
        <v>132</v>
      </c>
      <c r="E110" s="277"/>
      <c r="F110" s="284" t="e">
        <f>INDEX('T1'!AA9:AE12,MATCH(F108,'T1'!Z9:Z12,0),MATCH(F109,'T1'!AA8:AE8,0))</f>
        <v>#N/A</v>
      </c>
      <c r="G110" s="279" t="s">
        <v>136</v>
      </c>
      <c r="H110" s="207"/>
      <c r="I110" s="207"/>
      <c r="J110" s="207"/>
      <c r="K110" s="207"/>
      <c r="L110" s="207"/>
      <c r="M110" s="274" t="s">
        <v>132</v>
      </c>
      <c r="N110" s="273"/>
      <c r="O110" s="285">
        <f>'T5 - T7 | T9 - T16'!D30</f>
        <v>0.36551246602196114</v>
      </c>
      <c r="P110" s="279" t="s">
        <v>137</v>
      </c>
      <c r="Q110" s="207"/>
      <c r="R110" s="207"/>
      <c r="S110" s="207"/>
      <c r="T110" s="207"/>
      <c r="U110" s="207"/>
      <c r="V110" s="207"/>
      <c r="W110" s="207"/>
      <c r="X110" s="207"/>
      <c r="Y110" s="207"/>
      <c r="Z110" s="207"/>
      <c r="AA110" s="207"/>
      <c r="AB110" s="207"/>
      <c r="AC110" s="207"/>
      <c r="AD110" s="207"/>
      <c r="AE110" s="207"/>
      <c r="AF110" s="207"/>
      <c r="AG110" s="207"/>
      <c r="AH110" s="207"/>
      <c r="AI110" s="207"/>
      <c r="AJ110" s="207"/>
      <c r="AK110" s="207"/>
    </row>
    <row r="111" spans="1:37" ht="17" thickBot="1">
      <c r="A111" s="207"/>
      <c r="B111" s="1917"/>
      <c r="C111" s="207"/>
      <c r="D111" s="280" t="s">
        <v>133</v>
      </c>
      <c r="E111" s="286"/>
      <c r="F111" s="282" t="e">
        <f>INDEX('T1'!AA16:AE19,MATCH(F108,'T1'!Z16:Z19,0),MATCH(F109,'T1'!AA15:AE15,0))</f>
        <v>#N/A</v>
      </c>
      <c r="G111" s="283" t="s">
        <v>136</v>
      </c>
      <c r="H111" s="207"/>
      <c r="I111" s="207"/>
      <c r="J111" s="207"/>
      <c r="K111" s="207"/>
      <c r="L111" s="207"/>
      <c r="M111" s="280" t="s">
        <v>133</v>
      </c>
      <c r="N111" s="283"/>
      <c r="O111" s="281">
        <f>'T5 - T7 | T9 - T16'!C30</f>
        <v>4.0206371262415724E-3</v>
      </c>
      <c r="P111" s="283" t="s">
        <v>137</v>
      </c>
      <c r="Q111" s="207"/>
      <c r="R111" s="207"/>
      <c r="S111" s="207"/>
      <c r="T111" s="207"/>
      <c r="U111" s="207"/>
      <c r="V111" s="207"/>
      <c r="W111" s="207"/>
      <c r="X111" s="207"/>
      <c r="Y111" s="207"/>
      <c r="Z111" s="207"/>
      <c r="AA111" s="207"/>
      <c r="AB111" s="207"/>
      <c r="AC111" s="207"/>
      <c r="AD111" s="207"/>
      <c r="AE111" s="207"/>
      <c r="AF111" s="207"/>
      <c r="AG111" s="207"/>
      <c r="AH111" s="207"/>
      <c r="AI111" s="207"/>
      <c r="AJ111" s="207"/>
      <c r="AK111" s="207"/>
    </row>
    <row r="112" spans="1:37" ht="17" thickBot="1">
      <c r="A112" s="207"/>
      <c r="B112" s="1917"/>
      <c r="C112" s="207"/>
      <c r="D112" s="207"/>
      <c r="E112" s="207"/>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207"/>
      <c r="AD112" s="207"/>
      <c r="AE112" s="207"/>
      <c r="AF112" s="207"/>
      <c r="AG112" s="207"/>
      <c r="AH112" s="207"/>
      <c r="AI112" s="207"/>
      <c r="AJ112" s="207"/>
      <c r="AK112" s="207"/>
    </row>
    <row r="113" spans="1:37">
      <c r="A113" s="207"/>
      <c r="B113" s="1917"/>
      <c r="C113" s="207"/>
      <c r="D113" s="288"/>
      <c r="E113" s="275"/>
      <c r="F113" s="79" t="s">
        <v>26</v>
      </c>
      <c r="G113" s="80" t="s">
        <v>25</v>
      </c>
      <c r="H113" s="207"/>
      <c r="I113" s="207"/>
      <c r="J113" s="207"/>
      <c r="K113" s="207"/>
      <c r="L113" s="207"/>
      <c r="M113" s="288"/>
      <c r="N113" s="275"/>
      <c r="O113" s="79" t="s">
        <v>26</v>
      </c>
      <c r="P113" s="80" t="s">
        <v>25</v>
      </c>
      <c r="Q113" s="207"/>
      <c r="R113" s="207"/>
      <c r="S113" s="207"/>
      <c r="T113" s="207"/>
      <c r="U113" s="207"/>
      <c r="V113" s="207"/>
      <c r="W113" s="207"/>
      <c r="X113" s="207"/>
      <c r="Y113" s="207"/>
      <c r="Z113" s="207"/>
      <c r="AA113" s="207"/>
      <c r="AB113" s="207"/>
      <c r="AC113" s="207"/>
      <c r="AD113" s="207"/>
      <c r="AE113" s="207"/>
      <c r="AF113" s="207"/>
      <c r="AG113" s="207"/>
      <c r="AH113" s="207"/>
      <c r="AI113" s="207"/>
      <c r="AJ113" s="207"/>
      <c r="AK113" s="207"/>
    </row>
    <row r="114" spans="1:37">
      <c r="A114" s="207"/>
      <c r="B114" s="1917"/>
      <c r="C114" s="207"/>
      <c r="D114" s="278" t="s">
        <v>112</v>
      </c>
      <c r="E114" s="285"/>
      <c r="F114" s="695">
        <f>IF(I81=F80,F110*F106*G97*52/(G101+1),0)</f>
        <v>0</v>
      </c>
      <c r="G114" s="696">
        <f>IF(I81=F80,F111*F106*G97*52/(G101+1),0)</f>
        <v>0</v>
      </c>
      <c r="H114" s="207"/>
      <c r="I114" s="207"/>
      <c r="J114" s="207"/>
      <c r="K114" s="207"/>
      <c r="L114" s="207"/>
      <c r="M114" s="278" t="s">
        <v>112</v>
      </c>
      <c r="N114" s="285"/>
      <c r="O114" s="695">
        <f>IF(R81=O80,O110*O107*P84*52,0)</f>
        <v>0</v>
      </c>
      <c r="P114" s="696">
        <f>IF(R81=O80,O111*O107*P84*52,0)</f>
        <v>0</v>
      </c>
      <c r="Q114" s="207"/>
      <c r="R114" s="207"/>
      <c r="S114" s="207"/>
      <c r="T114" s="207"/>
      <c r="U114" s="207"/>
      <c r="V114" s="207"/>
      <c r="W114" s="207"/>
      <c r="X114" s="207"/>
      <c r="Y114" s="207"/>
      <c r="Z114" s="207"/>
      <c r="AA114" s="207"/>
      <c r="AB114" s="207"/>
      <c r="AC114" s="207"/>
      <c r="AD114" s="207"/>
      <c r="AE114" s="207"/>
      <c r="AF114" s="207"/>
      <c r="AG114" s="207"/>
      <c r="AH114" s="207"/>
      <c r="AI114" s="207"/>
      <c r="AJ114" s="207"/>
      <c r="AK114" s="207"/>
    </row>
    <row r="115" spans="1:37" ht="17" thickBot="1">
      <c r="A115" s="207"/>
      <c r="B115" s="1918"/>
      <c r="C115" s="207"/>
      <c r="D115" s="287" t="s">
        <v>113</v>
      </c>
      <c r="E115" s="281"/>
      <c r="F115" s="81">
        <f>IF(I81=F80,F114*F28/(10^6),0)</f>
        <v>0</v>
      </c>
      <c r="G115" s="82">
        <f>IF(I81=F80,G114*F29/(10^6),0)</f>
        <v>0</v>
      </c>
      <c r="H115" s="207"/>
      <c r="I115" s="207"/>
      <c r="J115" s="207"/>
      <c r="K115" s="207"/>
      <c r="L115" s="207"/>
      <c r="M115" s="287" t="s">
        <v>113</v>
      </c>
      <c r="N115" s="281"/>
      <c r="O115" s="81">
        <f>IF(R81=O80,O114*F28/(10^6),0)</f>
        <v>0</v>
      </c>
      <c r="P115" s="82">
        <f>IF(R81=O80,P114*F29/(10^6),0)</f>
        <v>0</v>
      </c>
      <c r="Q115" s="207"/>
      <c r="R115" s="207"/>
      <c r="S115" s="207"/>
      <c r="T115" s="207"/>
      <c r="U115" s="207"/>
      <c r="V115" s="207"/>
      <c r="W115" s="207"/>
      <c r="X115" s="207"/>
      <c r="Y115" s="207"/>
      <c r="Z115" s="207"/>
      <c r="AA115" s="207"/>
      <c r="AB115" s="207"/>
      <c r="AC115" s="207"/>
      <c r="AD115" s="207"/>
      <c r="AE115" s="207"/>
      <c r="AF115" s="207"/>
      <c r="AG115" s="207"/>
      <c r="AH115" s="207"/>
      <c r="AI115" s="207"/>
      <c r="AJ115" s="207"/>
      <c r="AK115" s="207"/>
    </row>
    <row r="116" spans="1:37">
      <c r="A116" s="207"/>
      <c r="B116" s="207"/>
      <c r="C116" s="207"/>
      <c r="D116" s="26"/>
      <c r="E116" s="207"/>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207"/>
      <c r="AD116" s="207"/>
      <c r="AE116" s="207"/>
      <c r="AF116" s="207"/>
      <c r="AG116" s="207"/>
      <c r="AH116" s="207"/>
      <c r="AI116" s="207"/>
      <c r="AJ116" s="207"/>
      <c r="AK116" s="207"/>
    </row>
    <row r="117" spans="1:37" ht="17" thickBot="1">
      <c r="A117" s="214"/>
      <c r="B117" s="214"/>
      <c r="C117" s="214"/>
      <c r="D117" s="580"/>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row>
    <row r="118" spans="1:37" ht="17" customHeight="1" thickBot="1">
      <c r="A118" s="214"/>
      <c r="B118" s="1890" t="s">
        <v>3270</v>
      </c>
      <c r="C118" s="214"/>
      <c r="D118" s="580"/>
      <c r="E118" s="214"/>
      <c r="F118" s="214"/>
      <c r="G118" s="214"/>
      <c r="H118" s="214"/>
      <c r="I118" s="214"/>
      <c r="J118" s="214"/>
      <c r="K118" s="214"/>
      <c r="L118" s="214"/>
      <c r="M118" s="214"/>
      <c r="N118" s="289"/>
      <c r="O118" s="289"/>
      <c r="P118" s="289"/>
      <c r="Q118" s="289"/>
      <c r="R118" s="289"/>
      <c r="S118" s="289"/>
      <c r="T118" s="289"/>
      <c r="U118" s="214"/>
      <c r="V118" s="214"/>
      <c r="W118" s="214"/>
      <c r="X118" s="214"/>
      <c r="Y118" s="214"/>
      <c r="Z118" s="214"/>
      <c r="AA118" s="214"/>
      <c r="AB118" s="214"/>
      <c r="AC118" s="214"/>
      <c r="AD118" s="214"/>
      <c r="AE118" s="214"/>
      <c r="AF118" s="214"/>
      <c r="AG118" s="214"/>
      <c r="AH118" s="214"/>
      <c r="AI118" s="214"/>
      <c r="AJ118" s="214"/>
      <c r="AK118" s="214"/>
    </row>
    <row r="119" spans="1:37" ht="16" customHeight="1">
      <c r="A119" s="214"/>
      <c r="B119" s="1891"/>
      <c r="C119" s="214"/>
      <c r="D119" s="214"/>
      <c r="E119" s="1883" t="s">
        <v>3271</v>
      </c>
      <c r="F119" s="1884"/>
      <c r="G119" s="1884"/>
      <c r="H119" s="1884"/>
      <c r="I119" s="1885"/>
      <c r="J119" s="214"/>
      <c r="K119" s="214"/>
      <c r="L119" s="214"/>
      <c r="M119" s="1900" t="s">
        <v>3272</v>
      </c>
      <c r="N119" s="1901"/>
      <c r="O119" s="1901"/>
      <c r="P119" s="1902"/>
      <c r="Q119" s="214"/>
      <c r="R119" s="214"/>
      <c r="S119" s="289"/>
      <c r="T119" s="1900" t="s">
        <v>3273</v>
      </c>
      <c r="U119" s="1901"/>
      <c r="V119" s="1902"/>
      <c r="W119" s="213"/>
      <c r="X119" s="214"/>
      <c r="Y119" s="214"/>
      <c r="Z119" s="1900" t="s">
        <v>3274</v>
      </c>
      <c r="AA119" s="1901"/>
      <c r="AB119" s="1901"/>
      <c r="AC119" s="1902"/>
      <c r="AD119" s="214"/>
      <c r="AE119" s="214"/>
      <c r="AF119" s="214"/>
      <c r="AG119" s="214"/>
      <c r="AH119" s="214"/>
      <c r="AI119" s="214"/>
      <c r="AJ119" s="214"/>
      <c r="AK119" s="214"/>
    </row>
    <row r="120" spans="1:37" ht="17" customHeight="1" thickBot="1">
      <c r="A120" s="214"/>
      <c r="B120" s="1891"/>
      <c r="C120" s="214"/>
      <c r="D120" s="214"/>
      <c r="E120" s="1886"/>
      <c r="F120" s="1887"/>
      <c r="G120" s="1887"/>
      <c r="H120" s="1887"/>
      <c r="I120" s="1888"/>
      <c r="J120" s="214"/>
      <c r="K120" s="214"/>
      <c r="L120" s="214"/>
      <c r="M120" s="1903"/>
      <c r="N120" s="1904"/>
      <c r="O120" s="1904"/>
      <c r="P120" s="1905"/>
      <c r="Q120" s="214"/>
      <c r="R120" s="214"/>
      <c r="S120" s="289"/>
      <c r="T120" s="1903"/>
      <c r="U120" s="1904"/>
      <c r="V120" s="1905"/>
      <c r="W120" s="791"/>
      <c r="X120" s="214"/>
      <c r="Y120" s="214"/>
      <c r="Z120" s="1903"/>
      <c r="AA120" s="1904"/>
      <c r="AB120" s="1904"/>
      <c r="AC120" s="1905"/>
      <c r="AD120" s="214"/>
      <c r="AE120" s="214"/>
      <c r="AF120" s="214"/>
      <c r="AG120" s="214"/>
      <c r="AH120" s="214"/>
      <c r="AI120" s="214"/>
      <c r="AJ120" s="214"/>
      <c r="AK120" s="214"/>
    </row>
    <row r="121" spans="1:37" ht="16" customHeight="1">
      <c r="A121" s="214"/>
      <c r="B121" s="1891"/>
      <c r="C121" s="290"/>
      <c r="D121" s="290"/>
      <c r="E121" s="290"/>
      <c r="F121" s="290"/>
      <c r="G121" s="290"/>
      <c r="H121" s="290"/>
      <c r="I121" s="290"/>
      <c r="J121" s="290"/>
      <c r="K121" s="290"/>
      <c r="L121" s="214"/>
      <c r="M121" s="214"/>
      <c r="N121" s="214"/>
      <c r="O121" s="214"/>
      <c r="P121" s="214"/>
      <c r="Q121" s="214"/>
      <c r="R121" s="214"/>
      <c r="S121" s="289"/>
      <c r="T121" s="289"/>
      <c r="U121" s="214"/>
      <c r="V121" s="214"/>
      <c r="W121" s="214"/>
      <c r="X121" s="214"/>
      <c r="Y121" s="214"/>
      <c r="Z121" s="214"/>
      <c r="AA121" s="214"/>
      <c r="AB121" s="214"/>
      <c r="AC121" s="214"/>
      <c r="AD121" s="214"/>
      <c r="AE121" s="214"/>
      <c r="AF121" s="214"/>
      <c r="AG121" s="214"/>
      <c r="AH121" s="214"/>
      <c r="AI121" s="214"/>
      <c r="AJ121" s="214"/>
      <c r="AK121" s="214"/>
    </row>
    <row r="122" spans="1:37" ht="17" customHeight="1">
      <c r="A122" s="214"/>
      <c r="B122" s="1891"/>
      <c r="C122" s="290"/>
      <c r="D122" s="546" t="s">
        <v>105</v>
      </c>
      <c r="E122" s="212" t="str">
        <f>'Iteration II Simulation'!E122</f>
        <v>What is the size of your residence?</v>
      </c>
      <c r="F122" s="212"/>
      <c r="G122" s="212"/>
      <c r="H122" s="291"/>
      <c r="I122" s="291"/>
      <c r="J122" s="291"/>
      <c r="K122" s="214"/>
      <c r="L122" s="546" t="s">
        <v>242</v>
      </c>
      <c r="M122" s="212" t="str">
        <f>'Iteration II Simulation'!M122</f>
        <v>Do you use a wood-burning stove at home?</v>
      </c>
      <c r="N122" s="212"/>
      <c r="O122" s="212"/>
      <c r="P122" s="212"/>
      <c r="Q122" s="212"/>
      <c r="R122" s="289"/>
      <c r="S122" s="579" t="s">
        <v>248</v>
      </c>
      <c r="T122" s="212" t="str">
        <f>'Iteration II Simulation'!T122</f>
        <v>Do you use a gas boiler at home?</v>
      </c>
      <c r="U122" s="212"/>
      <c r="V122" s="212"/>
      <c r="W122" s="212"/>
      <c r="X122" s="214"/>
      <c r="Y122" s="546" t="s">
        <v>3250</v>
      </c>
      <c r="Z122" s="212" t="str">
        <f>'Iteration II Simulation'!Z122</f>
        <v>Do you use an electric heat pump?</v>
      </c>
      <c r="AA122" s="212"/>
      <c r="AB122" s="212"/>
      <c r="AC122" s="212"/>
      <c r="AD122" s="212"/>
      <c r="AE122" s="214"/>
      <c r="AF122" s="214"/>
      <c r="AG122" s="214"/>
      <c r="AH122" s="214"/>
      <c r="AI122" s="214"/>
      <c r="AJ122" s="214"/>
      <c r="AK122" s="214"/>
    </row>
    <row r="123" spans="1:37" ht="18" thickBot="1">
      <c r="A123" s="214"/>
      <c r="B123" s="1891"/>
      <c r="C123" s="290"/>
      <c r="D123" s="581" t="s">
        <v>34</v>
      </c>
      <c r="E123" s="214" t="s">
        <v>3230</v>
      </c>
      <c r="F123" s="214"/>
      <c r="G123" s="214" t="s">
        <v>3231</v>
      </c>
      <c r="H123" s="290"/>
      <c r="I123" s="290"/>
      <c r="J123" s="290"/>
      <c r="K123" s="214"/>
      <c r="L123" s="581" t="s">
        <v>34</v>
      </c>
      <c r="M123" s="214" t="s">
        <v>88</v>
      </c>
      <c r="N123" s="214"/>
      <c r="O123" s="214"/>
      <c r="P123" s="214"/>
      <c r="Q123" s="214"/>
      <c r="R123" s="289"/>
      <c r="S123" s="581" t="s">
        <v>34</v>
      </c>
      <c r="T123" s="214" t="s">
        <v>88</v>
      </c>
      <c r="U123" s="214"/>
      <c r="V123" s="214"/>
      <c r="W123" s="214"/>
      <c r="X123" s="214"/>
      <c r="Y123" s="581" t="s">
        <v>34</v>
      </c>
      <c r="Z123" s="214" t="s">
        <v>88</v>
      </c>
      <c r="AA123" s="214"/>
      <c r="AB123" s="214"/>
      <c r="AC123" s="214"/>
      <c r="AD123" s="214"/>
      <c r="AE123" s="214"/>
      <c r="AF123" s="214"/>
      <c r="AG123" s="214"/>
      <c r="AH123" s="214"/>
      <c r="AI123" s="214"/>
      <c r="AJ123" s="214"/>
      <c r="AK123" s="214"/>
    </row>
    <row r="124" spans="1:37" ht="18" thickBot="1">
      <c r="A124" s="214"/>
      <c r="B124" s="1891"/>
      <c r="C124" s="290"/>
      <c r="D124" s="581" t="s">
        <v>35</v>
      </c>
      <c r="E124" s="214" t="s">
        <v>3232</v>
      </c>
      <c r="F124" s="214"/>
      <c r="G124" s="214" t="s">
        <v>3233</v>
      </c>
      <c r="H124" s="290"/>
      <c r="I124" s="290"/>
      <c r="J124" s="290"/>
      <c r="K124" s="214"/>
      <c r="L124" s="581" t="s">
        <v>35</v>
      </c>
      <c r="M124" s="214" t="s">
        <v>89</v>
      </c>
      <c r="N124" s="214"/>
      <c r="O124" s="214"/>
      <c r="P124" s="800">
        <f>'Iteration II Simulation'!O238</f>
        <v>0</v>
      </c>
      <c r="Q124" s="214"/>
      <c r="R124" s="289"/>
      <c r="S124" s="581" t="s">
        <v>35</v>
      </c>
      <c r="T124" s="214" t="s">
        <v>89</v>
      </c>
      <c r="U124" s="214"/>
      <c r="V124" s="800">
        <f>'Iteration II Simulation'!O242</f>
        <v>0</v>
      </c>
      <c r="W124" s="214"/>
      <c r="X124" s="214"/>
      <c r="Y124" s="581" t="s">
        <v>35</v>
      </c>
      <c r="Z124" s="214" t="s">
        <v>89</v>
      </c>
      <c r="AA124" s="214"/>
      <c r="AB124" s="214"/>
      <c r="AC124" s="800">
        <f>'Iteration II Simulation'!O244</f>
        <v>0</v>
      </c>
      <c r="AD124" s="214"/>
      <c r="AE124" s="214"/>
      <c r="AF124" s="214"/>
      <c r="AG124" s="214"/>
      <c r="AH124" s="214"/>
      <c r="AI124" s="214"/>
      <c r="AJ124" s="214"/>
      <c r="AK124" s="214"/>
    </row>
    <row r="125" spans="1:37" ht="18" thickBot="1">
      <c r="A125" s="214"/>
      <c r="B125" s="1891"/>
      <c r="C125" s="290"/>
      <c r="D125" s="581" t="s">
        <v>36</v>
      </c>
      <c r="E125" s="214" t="s">
        <v>3234</v>
      </c>
      <c r="F125" s="214"/>
      <c r="G125" s="214" t="s">
        <v>3235</v>
      </c>
      <c r="H125" s="290"/>
      <c r="I125" s="214"/>
      <c r="J125" s="214"/>
      <c r="K125" s="214"/>
      <c r="L125" s="580"/>
      <c r="M125" s="580"/>
      <c r="N125" s="214"/>
      <c r="O125" s="214"/>
      <c r="P125" s="214"/>
      <c r="Q125" s="214"/>
      <c r="R125" s="289"/>
      <c r="S125" s="581"/>
      <c r="T125" s="214"/>
      <c r="U125" s="214"/>
      <c r="V125" s="214"/>
      <c r="W125" s="214"/>
      <c r="X125" s="214"/>
      <c r="Y125" s="214"/>
      <c r="Z125" s="214"/>
      <c r="AA125" s="214"/>
      <c r="AB125" s="214"/>
      <c r="AC125" s="214"/>
      <c r="AD125" s="214"/>
      <c r="AE125" s="214"/>
      <c r="AF125" s="214"/>
      <c r="AG125" s="214"/>
      <c r="AH125" s="214"/>
      <c r="AI125" s="214"/>
      <c r="AJ125" s="214"/>
      <c r="AK125" s="214"/>
    </row>
    <row r="126" spans="1:37" ht="18" thickBot="1">
      <c r="A126" s="214"/>
      <c r="B126" s="1891"/>
      <c r="C126" s="290"/>
      <c r="D126" s="547"/>
      <c r="E126" s="292"/>
      <c r="F126" s="214"/>
      <c r="G126" s="214"/>
      <c r="H126" s="290"/>
      <c r="I126" s="799">
        <f>'Iteration II Simulation'!O236</f>
        <v>0</v>
      </c>
      <c r="J126" s="290"/>
      <c r="K126" s="214"/>
      <c r="L126" s="546" t="s">
        <v>244</v>
      </c>
      <c r="M126" s="212" t="str">
        <f>'Iteration II Simulation'!M127</f>
        <v>What type of wood-burning stove do you have?</v>
      </c>
      <c r="N126" s="212"/>
      <c r="O126" s="212"/>
      <c r="P126" s="212"/>
      <c r="Q126" s="212"/>
      <c r="R126" s="289"/>
      <c r="S126" s="579" t="s">
        <v>3253</v>
      </c>
      <c r="T126" s="212" t="str">
        <f>'Iteration II Simulation'!T127</f>
        <v>What is the type of your boiler fuel?</v>
      </c>
      <c r="U126" s="212"/>
      <c r="V126" s="212"/>
      <c r="W126" s="212"/>
      <c r="X126" s="214"/>
      <c r="Y126" s="214"/>
      <c r="Z126" s="214"/>
      <c r="AA126" s="214"/>
      <c r="AB126" s="214"/>
      <c r="AC126" s="214"/>
      <c r="AD126" s="214"/>
      <c r="AE126" s="214"/>
      <c r="AF126" s="214"/>
      <c r="AG126" s="214"/>
      <c r="AH126" s="214"/>
      <c r="AI126" s="214"/>
      <c r="AJ126" s="214"/>
      <c r="AK126" s="214"/>
    </row>
    <row r="127" spans="1:37" ht="18" thickBot="1">
      <c r="A127" s="214"/>
      <c r="B127" s="1891"/>
      <c r="C127" s="290"/>
      <c r="D127" s="580"/>
      <c r="E127" s="214"/>
      <c r="F127" s="214"/>
      <c r="G127" s="214"/>
      <c r="H127" s="214"/>
      <c r="I127" s="214"/>
      <c r="J127" s="290"/>
      <c r="K127" s="214"/>
      <c r="L127" s="581" t="s">
        <v>34</v>
      </c>
      <c r="M127" s="214" t="s">
        <v>143</v>
      </c>
      <c r="N127" s="214"/>
      <c r="O127" s="214"/>
      <c r="P127" s="214"/>
      <c r="Q127" s="214"/>
      <c r="R127" s="214"/>
      <c r="S127" s="581" t="s">
        <v>34</v>
      </c>
      <c r="T127" s="214" t="s">
        <v>147</v>
      </c>
      <c r="U127" s="214"/>
      <c r="V127" s="214"/>
      <c r="W127" s="214"/>
      <c r="X127" s="214"/>
      <c r="Y127" s="214"/>
      <c r="Z127" s="214"/>
      <c r="AA127" s="214"/>
      <c r="AB127" s="214"/>
      <c r="AC127" s="214"/>
      <c r="AD127" s="214"/>
      <c r="AE127" s="214"/>
      <c r="AF127" s="214"/>
      <c r="AG127" s="214"/>
      <c r="AH127" s="214"/>
      <c r="AI127" s="214"/>
      <c r="AJ127" s="214"/>
      <c r="AK127" s="214"/>
    </row>
    <row r="128" spans="1:37" ht="18" thickBot="1">
      <c r="A128" s="214"/>
      <c r="B128" s="1891"/>
      <c r="C128" s="290"/>
      <c r="D128" s="546" t="s">
        <v>109</v>
      </c>
      <c r="E128" s="293" t="str">
        <f>'Iteration II Simulation'!E128</f>
        <v>How many adults do you live with?</v>
      </c>
      <c r="F128" s="212"/>
      <c r="G128" s="212"/>
      <c r="H128" s="291"/>
      <c r="I128" s="294"/>
      <c r="J128" s="291"/>
      <c r="K128" s="214"/>
      <c r="L128" s="581" t="s">
        <v>35</v>
      </c>
      <c r="M128" s="214" t="s">
        <v>3237</v>
      </c>
      <c r="N128" s="214"/>
      <c r="O128" s="214"/>
      <c r="P128" s="214"/>
      <c r="Q128" s="214"/>
      <c r="R128" s="214"/>
      <c r="S128" s="581" t="s">
        <v>35</v>
      </c>
      <c r="T128" s="214" t="s">
        <v>146</v>
      </c>
      <c r="U128" s="214"/>
      <c r="V128" s="800">
        <f>'Iteration II Simulation'!O243</f>
        <v>0</v>
      </c>
      <c r="W128" s="214"/>
      <c r="X128" s="214"/>
      <c r="Y128" s="214"/>
      <c r="Z128" s="214"/>
      <c r="AA128" s="214"/>
      <c r="AB128" s="214"/>
      <c r="AC128" s="214"/>
      <c r="AD128" s="214"/>
      <c r="AE128" s="214"/>
      <c r="AF128" s="214"/>
      <c r="AG128" s="214"/>
      <c r="AH128" s="214"/>
      <c r="AI128" s="214"/>
      <c r="AJ128" s="214"/>
      <c r="AK128" s="214"/>
    </row>
    <row r="129" spans="1:37" ht="18" thickBot="1">
      <c r="A129" s="214"/>
      <c r="B129" s="1891"/>
      <c r="C129" s="290"/>
      <c r="D129" s="580"/>
      <c r="E129" s="215" t="s">
        <v>73</v>
      </c>
      <c r="F129" s="214"/>
      <c r="G129" s="800">
        <f>'Iteration II Simulation'!O237</f>
        <v>0</v>
      </c>
      <c r="H129" s="290"/>
      <c r="I129" s="290"/>
      <c r="J129" s="290"/>
      <c r="K129" s="214"/>
      <c r="L129" s="581" t="s">
        <v>36</v>
      </c>
      <c r="M129" s="215" t="s">
        <v>107</v>
      </c>
      <c r="N129" s="214"/>
      <c r="O129" s="214"/>
      <c r="P129" s="214"/>
      <c r="Q129" s="214"/>
      <c r="R129" s="214"/>
      <c r="S129" s="214"/>
      <c r="T129" s="214"/>
      <c r="U129" s="214"/>
      <c r="V129" s="214"/>
      <c r="W129" s="214"/>
      <c r="X129" s="214"/>
      <c r="Y129" s="214"/>
      <c r="Z129" s="214"/>
      <c r="AA129" s="214"/>
      <c r="AB129" s="214"/>
      <c r="AC129" s="214"/>
      <c r="AD129" s="214"/>
      <c r="AE129" s="214"/>
      <c r="AF129" s="214"/>
      <c r="AG129" s="214"/>
      <c r="AH129" s="214"/>
      <c r="AI129" s="214"/>
      <c r="AJ129" s="214"/>
      <c r="AK129" s="214"/>
    </row>
    <row r="130" spans="1:37" ht="18" thickBot="1">
      <c r="A130" s="214"/>
      <c r="B130" s="1891"/>
      <c r="C130" s="290"/>
      <c r="D130" s="290"/>
      <c r="E130" s="290"/>
      <c r="F130" s="290"/>
      <c r="G130" s="290"/>
      <c r="H130" s="290"/>
      <c r="I130" s="290"/>
      <c r="J130" s="290"/>
      <c r="K130" s="214"/>
      <c r="L130" s="581" t="s">
        <v>37</v>
      </c>
      <c r="M130" s="215" t="s">
        <v>108</v>
      </c>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row>
    <row r="131" spans="1:37" ht="17" thickBot="1">
      <c r="A131" s="214"/>
      <c r="B131" s="1891"/>
      <c r="C131" s="290"/>
      <c r="D131" s="290"/>
      <c r="E131" s="290"/>
      <c r="F131" s="290"/>
      <c r="G131" s="290"/>
      <c r="H131" s="290"/>
      <c r="I131" s="290"/>
      <c r="J131" s="290"/>
      <c r="K131" s="214"/>
      <c r="L131" s="581"/>
      <c r="M131" s="215"/>
      <c r="N131" s="214"/>
      <c r="O131" s="214"/>
      <c r="P131" s="799">
        <f>'Iteration II Simulation'!O239</f>
        <v>0</v>
      </c>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row>
    <row r="132" spans="1:37">
      <c r="A132" s="214"/>
      <c r="B132" s="1891"/>
      <c r="C132" s="290"/>
      <c r="D132" s="214"/>
      <c r="E132" s="214"/>
      <c r="F132" s="214"/>
      <c r="G132" s="214"/>
      <c r="H132" s="214"/>
      <c r="I132" s="295"/>
      <c r="J132" s="295"/>
      <c r="K132" s="214"/>
      <c r="L132" s="580"/>
      <c r="M132" s="580"/>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row>
    <row r="133" spans="1:37" ht="18" thickBot="1">
      <c r="A133" s="214"/>
      <c r="B133" s="1891"/>
      <c r="C133" s="290"/>
      <c r="D133" s="214"/>
      <c r="E133" s="214"/>
      <c r="F133" s="214"/>
      <c r="G133" s="214"/>
      <c r="H133" s="214"/>
      <c r="I133" s="290"/>
      <c r="J133" s="290"/>
      <c r="K133" s="214"/>
      <c r="L133" s="546" t="s">
        <v>246</v>
      </c>
      <c r="M133" s="212" t="str">
        <f>'Iteration II Simulation'!M134</f>
        <v>On average, what is the total number of hours you operate your wood burning stove each week?</v>
      </c>
      <c r="N133" s="212"/>
      <c r="O133" s="212"/>
      <c r="P133" s="212"/>
      <c r="Q133" s="212"/>
      <c r="R133" s="214"/>
      <c r="S133" s="214"/>
      <c r="T133" s="214"/>
      <c r="U133" s="214"/>
      <c r="V133" s="214"/>
      <c r="W133" s="214"/>
      <c r="X133" s="214"/>
      <c r="Y133" s="214"/>
      <c r="Z133" s="214"/>
      <c r="AA133" s="214"/>
      <c r="AB133" s="214"/>
      <c r="AC133" s="214"/>
      <c r="AD133" s="214"/>
      <c r="AE133" s="214"/>
      <c r="AF133" s="214"/>
      <c r="AG133" s="214"/>
      <c r="AH133" s="214"/>
      <c r="AI133" s="214"/>
      <c r="AJ133" s="214"/>
      <c r="AK133" s="214"/>
    </row>
    <row r="134" spans="1:37" ht="17" thickBot="1">
      <c r="A134" s="214"/>
      <c r="B134" s="1891"/>
      <c r="C134" s="290"/>
      <c r="D134" s="214"/>
      <c r="E134" s="214"/>
      <c r="F134" s="214"/>
      <c r="G134" s="214"/>
      <c r="H134" s="214"/>
      <c r="I134" s="290"/>
      <c r="J134" s="290"/>
      <c r="K134" s="214"/>
      <c r="L134" s="580"/>
      <c r="M134" s="215" t="s">
        <v>3241</v>
      </c>
      <c r="N134" s="800">
        <f>'Iteration II Simulation'!O240</f>
        <v>0</v>
      </c>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row>
    <row r="135" spans="1:37" ht="17" thickBot="1">
      <c r="A135" s="214"/>
      <c r="B135" s="1891"/>
      <c r="C135" s="290"/>
      <c r="D135" s="216"/>
      <c r="E135" s="290"/>
      <c r="F135" s="290"/>
      <c r="G135" s="290"/>
      <c r="H135" s="290"/>
      <c r="I135" s="290"/>
      <c r="J135" s="290"/>
      <c r="K135" s="214"/>
      <c r="L135" s="580"/>
      <c r="M135" s="215" t="s">
        <v>3243</v>
      </c>
      <c r="N135" s="800">
        <f>'Iteration II Simulation'!O241</f>
        <v>0</v>
      </c>
      <c r="O135" s="214"/>
      <c r="P135" s="214"/>
      <c r="Q135" s="214"/>
      <c r="R135" s="214"/>
      <c r="S135" s="214"/>
      <c r="T135" s="214"/>
      <c r="U135" s="214"/>
      <c r="V135" s="214"/>
      <c r="W135" s="214"/>
      <c r="X135" s="214"/>
      <c r="Y135" s="214"/>
      <c r="Z135" s="214"/>
      <c r="AA135" s="214"/>
      <c r="AB135" s="214"/>
      <c r="AC135" s="214"/>
      <c r="AD135" s="214"/>
      <c r="AE135" s="214"/>
      <c r="AF135" s="214"/>
      <c r="AG135" s="214"/>
      <c r="AH135" s="214"/>
      <c r="AI135" s="214"/>
      <c r="AJ135" s="214"/>
      <c r="AK135" s="214"/>
    </row>
    <row r="136" spans="1:37">
      <c r="A136" s="214"/>
      <c r="B136" s="1891"/>
      <c r="C136" s="290"/>
      <c r="D136" s="290"/>
      <c r="E136" s="295"/>
      <c r="F136" s="295"/>
      <c r="G136" s="290"/>
      <c r="H136" s="290"/>
      <c r="I136" s="295"/>
      <c r="J136" s="295"/>
      <c r="K136" s="289"/>
      <c r="L136" s="289"/>
      <c r="M136" s="214"/>
      <c r="N136" s="214"/>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row>
    <row r="137" spans="1:37" ht="17" thickBot="1">
      <c r="A137" s="214"/>
      <c r="B137" s="1891"/>
      <c r="C137" s="290"/>
      <c r="D137" s="295"/>
      <c r="E137" s="290"/>
      <c r="F137" s="296"/>
      <c r="G137" s="290"/>
      <c r="H137" s="290"/>
      <c r="I137" s="295"/>
      <c r="J137" s="290"/>
      <c r="K137" s="296"/>
      <c r="L137" s="289"/>
      <c r="M137" s="289"/>
      <c r="N137" s="289"/>
      <c r="O137" s="214"/>
      <c r="P137" s="214"/>
      <c r="Q137" s="214"/>
      <c r="R137" s="214"/>
      <c r="S137" s="214"/>
      <c r="T137" s="214"/>
      <c r="U137" s="214"/>
      <c r="V137" s="214"/>
      <c r="W137" s="214"/>
      <c r="X137" s="214"/>
      <c r="Y137" s="214"/>
      <c r="Z137" s="214"/>
      <c r="AA137" s="214"/>
      <c r="AB137" s="214"/>
      <c r="AC137" s="214"/>
      <c r="AD137" s="214"/>
      <c r="AE137" s="214"/>
      <c r="AF137" s="214"/>
      <c r="AG137" s="214"/>
      <c r="AH137" s="214"/>
      <c r="AI137" s="214"/>
      <c r="AJ137" s="214"/>
      <c r="AK137" s="214"/>
    </row>
    <row r="138" spans="1:37" ht="20" thickBot="1">
      <c r="A138" s="214"/>
      <c r="B138" s="1891"/>
      <c r="C138" s="290"/>
      <c r="D138" s="300" t="s">
        <v>236</v>
      </c>
      <c r="E138" s="517"/>
      <c r="F138" s="517"/>
      <c r="G138" s="518"/>
      <c r="H138" s="290"/>
      <c r="I138" s="295"/>
      <c r="J138" s="295"/>
      <c r="K138" s="290"/>
      <c r="L138" s="297" t="s">
        <v>235</v>
      </c>
      <c r="M138" s="298"/>
      <c r="N138" s="298"/>
      <c r="O138" s="299"/>
      <c r="P138" s="214"/>
      <c r="Q138" s="214"/>
      <c r="R138" s="214"/>
      <c r="S138" s="297" t="s">
        <v>3262</v>
      </c>
      <c r="T138" s="298"/>
      <c r="U138" s="298"/>
      <c r="V138" s="299"/>
      <c r="W138" s="214"/>
      <c r="X138" s="214"/>
      <c r="Y138" s="214"/>
      <c r="Z138" s="214"/>
      <c r="AA138" s="214"/>
      <c r="AB138" s="214"/>
      <c r="AC138" s="214"/>
      <c r="AD138" s="214"/>
      <c r="AE138" s="214"/>
      <c r="AF138" s="214"/>
      <c r="AG138" s="214"/>
      <c r="AH138" s="214"/>
      <c r="AI138" s="214"/>
      <c r="AJ138" s="214"/>
      <c r="AK138" s="214"/>
    </row>
    <row r="139" spans="1:37">
      <c r="A139" s="214"/>
      <c r="B139" s="1891"/>
      <c r="C139" s="290"/>
      <c r="D139" s="300" t="s">
        <v>3339</v>
      </c>
      <c r="E139" s="301"/>
      <c r="F139" s="301"/>
      <c r="G139" s="304"/>
      <c r="H139" s="290"/>
      <c r="I139" s="295"/>
      <c r="J139" s="295"/>
      <c r="K139" s="290"/>
      <c r="L139" s="300" t="s">
        <v>3254</v>
      </c>
      <c r="M139" s="301"/>
      <c r="N139" s="302">
        <f>P131</f>
        <v>0</v>
      </c>
      <c r="O139" s="303"/>
      <c r="P139" s="214"/>
      <c r="Q139" s="214"/>
      <c r="R139" s="214"/>
      <c r="S139" s="300" t="s">
        <v>3264</v>
      </c>
      <c r="T139" s="304"/>
      <c r="U139" s="302">
        <f>V128</f>
        <v>0</v>
      </c>
      <c r="V139" s="303"/>
      <c r="W139" s="214"/>
      <c r="X139" s="214"/>
      <c r="Y139" s="214"/>
      <c r="Z139" s="214"/>
      <c r="AA139" s="214"/>
      <c r="AB139" s="214"/>
      <c r="AC139" s="214"/>
      <c r="AD139" s="214"/>
      <c r="AE139" s="214"/>
      <c r="AF139" s="214"/>
      <c r="AG139" s="214"/>
      <c r="AH139" s="214"/>
      <c r="AI139" s="214"/>
      <c r="AJ139" s="214"/>
      <c r="AK139" s="214"/>
    </row>
    <row r="140" spans="1:37">
      <c r="A140" s="214"/>
      <c r="B140" s="1891"/>
      <c r="C140" s="290"/>
      <c r="D140" s="305" t="s">
        <v>237</v>
      </c>
      <c r="E140" s="289"/>
      <c r="F140" s="519">
        <f>'T5 - T7 | T9 - T16'!C22</f>
        <v>13950</v>
      </c>
      <c r="G140" s="520"/>
      <c r="H140" s="290"/>
      <c r="I140" s="290"/>
      <c r="J140" s="290"/>
      <c r="K140" s="290"/>
      <c r="L140" s="305" t="s">
        <v>132</v>
      </c>
      <c r="M140" s="295"/>
      <c r="N140" s="306" t="e">
        <f>VLOOKUP(N139,'T5 - T7 | T9 - T16'!B9:D13,3,FALSE)</f>
        <v>#N/A</v>
      </c>
      <c r="O140" s="307" t="s">
        <v>3260</v>
      </c>
      <c r="P140" s="214"/>
      <c r="Q140" s="214"/>
      <c r="R140" s="214"/>
      <c r="S140" s="305" t="s">
        <v>3248</v>
      </c>
      <c r="T140" s="307"/>
      <c r="U140" s="230" t="e">
        <f>VLOOKUP(U139,'T5 - T7 | T9 - T16'!B53:E54,4,FALSE)</f>
        <v>#N/A</v>
      </c>
      <c r="V140" s="307" t="s">
        <v>41</v>
      </c>
      <c r="W140" s="214"/>
      <c r="X140" s="214"/>
      <c r="Y140" s="214"/>
      <c r="Z140" s="214"/>
      <c r="AA140" s="214"/>
      <c r="AB140" s="214"/>
      <c r="AC140" s="214"/>
      <c r="AD140" s="214"/>
      <c r="AE140" s="214"/>
      <c r="AF140" s="214"/>
      <c r="AG140" s="214"/>
      <c r="AH140" s="214"/>
      <c r="AI140" s="214"/>
      <c r="AJ140" s="214"/>
      <c r="AK140" s="214"/>
    </row>
    <row r="141" spans="1:37" ht="17" thickBot="1">
      <c r="A141" s="214"/>
      <c r="B141" s="1891"/>
      <c r="C141" s="290"/>
      <c r="D141" s="308" t="s">
        <v>238</v>
      </c>
      <c r="E141" s="315"/>
      <c r="F141" s="219">
        <f>'T5 - T7 | T9 - T16'!C21</f>
        <v>85753</v>
      </c>
      <c r="G141" s="220"/>
      <c r="H141" s="290"/>
      <c r="I141" s="290"/>
      <c r="J141" s="290"/>
      <c r="K141" s="290"/>
      <c r="L141" s="308" t="s">
        <v>133</v>
      </c>
      <c r="M141" s="309"/>
      <c r="N141" s="310" t="e">
        <f>VLOOKUP(N139,'T5 - T7 | T9 - T16'!B9:D13,2,FALSE)</f>
        <v>#N/A</v>
      </c>
      <c r="O141" s="311" t="s">
        <v>3260</v>
      </c>
      <c r="P141" s="214"/>
      <c r="Q141" s="214"/>
      <c r="R141" s="214"/>
      <c r="S141" s="305" t="s">
        <v>132</v>
      </c>
      <c r="T141" s="312"/>
      <c r="U141" s="306" t="e">
        <f>VLOOKUP(U139,'T5 - T7 | T9 - T16'!B53:E54,3,FALSE)</f>
        <v>#N/A</v>
      </c>
      <c r="V141" s="307" t="s">
        <v>3260</v>
      </c>
      <c r="W141" s="214"/>
      <c r="X141" s="214"/>
      <c r="Y141" s="214"/>
      <c r="Z141" s="214"/>
      <c r="AA141" s="214"/>
      <c r="AB141" s="214"/>
      <c r="AC141" s="214"/>
      <c r="AD141" s="214"/>
      <c r="AE141" s="214"/>
      <c r="AF141" s="214"/>
      <c r="AG141" s="214"/>
      <c r="AH141" s="214"/>
      <c r="AI141" s="214"/>
      <c r="AJ141" s="214"/>
      <c r="AK141" s="214"/>
    </row>
    <row r="142" spans="1:37" ht="17" thickBot="1">
      <c r="A142" s="214"/>
      <c r="B142" s="1891"/>
      <c r="C142" s="290"/>
      <c r="D142" s="214"/>
      <c r="E142" s="214"/>
      <c r="F142" s="214"/>
      <c r="G142" s="214"/>
      <c r="H142" s="290"/>
      <c r="I142" s="295"/>
      <c r="J142" s="290"/>
      <c r="K142" s="313"/>
      <c r="L142" s="217"/>
      <c r="M142" s="289"/>
      <c r="N142" s="289"/>
      <c r="O142" s="214"/>
      <c r="P142" s="214"/>
      <c r="Q142" s="214"/>
      <c r="R142" s="214"/>
      <c r="S142" s="308" t="s">
        <v>133</v>
      </c>
      <c r="T142" s="314"/>
      <c r="U142" s="310" t="e">
        <f>VLOOKUP(U139,'T5 - T7 | T9 - T16'!B53:E54,2,FALSE)</f>
        <v>#N/A</v>
      </c>
      <c r="V142" s="311" t="s">
        <v>3260</v>
      </c>
      <c r="W142" s="214"/>
      <c r="X142" s="214"/>
      <c r="Y142" s="214"/>
      <c r="Z142" s="214"/>
      <c r="AA142" s="214"/>
      <c r="AB142" s="214"/>
      <c r="AC142" s="214"/>
      <c r="AD142" s="214"/>
      <c r="AE142" s="214"/>
      <c r="AF142" s="214"/>
      <c r="AG142" s="214"/>
      <c r="AH142" s="214"/>
      <c r="AI142" s="214"/>
      <c r="AJ142" s="214"/>
      <c r="AK142" s="214"/>
    </row>
    <row r="143" spans="1:37" ht="17" thickBot="1">
      <c r="A143" s="214"/>
      <c r="B143" s="1891"/>
      <c r="C143" s="290"/>
      <c r="D143" s="214"/>
      <c r="E143" s="214"/>
      <c r="F143" s="214"/>
      <c r="G143" s="214"/>
      <c r="H143" s="290"/>
      <c r="I143" s="295"/>
      <c r="J143" s="290"/>
      <c r="K143" s="313"/>
      <c r="L143" s="297" t="s">
        <v>3255</v>
      </c>
      <c r="M143" s="298"/>
      <c r="N143" s="298"/>
      <c r="O143" s="299"/>
      <c r="P143" s="214"/>
      <c r="Q143" s="214"/>
      <c r="R143" s="214"/>
      <c r="S143" s="217"/>
      <c r="T143" s="289"/>
      <c r="U143" s="289"/>
      <c r="V143" s="214"/>
      <c r="W143" s="214"/>
      <c r="X143" s="214"/>
      <c r="Y143" s="214"/>
      <c r="Z143" s="214"/>
      <c r="AA143" s="214"/>
      <c r="AB143" s="214"/>
      <c r="AC143" s="214"/>
      <c r="AD143" s="214"/>
      <c r="AE143" s="214"/>
      <c r="AF143" s="214"/>
      <c r="AG143" s="214"/>
      <c r="AH143" s="214"/>
      <c r="AI143" s="214"/>
      <c r="AJ143" s="214"/>
      <c r="AK143" s="214"/>
    </row>
    <row r="144" spans="1:37" ht="17" thickBot="1">
      <c r="A144" s="214"/>
      <c r="B144" s="1891"/>
      <c r="C144" s="290"/>
      <c r="D144" s="214"/>
      <c r="E144" s="214"/>
      <c r="F144" s="214"/>
      <c r="G144" s="214"/>
      <c r="H144" s="290"/>
      <c r="I144" s="290"/>
      <c r="J144" s="290"/>
      <c r="K144" s="290"/>
      <c r="L144" s="300" t="s">
        <v>3254</v>
      </c>
      <c r="M144" s="301"/>
      <c r="N144" s="302">
        <f>P131</f>
        <v>0</v>
      </c>
      <c r="O144" s="303"/>
      <c r="P144" s="214"/>
      <c r="Q144" s="214"/>
      <c r="R144" s="214"/>
      <c r="S144" s="297" t="s">
        <v>3263</v>
      </c>
      <c r="T144" s="298"/>
      <c r="U144" s="298"/>
      <c r="V144" s="299"/>
      <c r="W144" s="214"/>
      <c r="X144" s="214"/>
      <c r="Y144" s="214"/>
      <c r="Z144" s="214"/>
      <c r="AA144" s="214"/>
      <c r="AB144" s="214"/>
      <c r="AC144" s="214"/>
      <c r="AD144" s="214"/>
      <c r="AE144" s="214"/>
      <c r="AF144" s="214"/>
      <c r="AG144" s="214"/>
      <c r="AH144" s="214"/>
      <c r="AI144" s="214"/>
      <c r="AJ144" s="214"/>
      <c r="AK144" s="214"/>
    </row>
    <row r="145" spans="1:37" ht="17" thickBot="1">
      <c r="A145" s="214"/>
      <c r="B145" s="1891"/>
      <c r="C145" s="290"/>
      <c r="D145" s="290"/>
      <c r="E145" s="290"/>
      <c r="F145" s="216"/>
      <c r="G145" s="216"/>
      <c r="H145" s="290"/>
      <c r="I145" s="290"/>
      <c r="J145" s="290"/>
      <c r="K145" s="216"/>
      <c r="L145" s="308" t="s">
        <v>3240</v>
      </c>
      <c r="M145" s="309"/>
      <c r="N145" s="316" t="e">
        <f>VLOOKUP(N144,'T5 - T7 | T9 - T16'!B39:D43,2,FALSE)</f>
        <v>#N/A</v>
      </c>
      <c r="O145" s="311" t="str">
        <f>IF(N139=M131,"","GJ")</f>
        <v/>
      </c>
      <c r="P145" s="214"/>
      <c r="Q145" s="214"/>
      <c r="R145" s="214"/>
      <c r="S145" s="300" t="s">
        <v>3265</v>
      </c>
      <c r="T145" s="301"/>
      <c r="U145" s="302">
        <f>I126</f>
        <v>0</v>
      </c>
      <c r="V145" s="303"/>
      <c r="W145" s="214"/>
      <c r="X145" s="214"/>
      <c r="Y145" s="214"/>
      <c r="Z145" s="214"/>
      <c r="AA145" s="214"/>
      <c r="AB145" s="214"/>
      <c r="AC145" s="214"/>
      <c r="AD145" s="214"/>
      <c r="AE145" s="214"/>
      <c r="AF145" s="214"/>
      <c r="AG145" s="214"/>
      <c r="AH145" s="214"/>
      <c r="AI145" s="214"/>
      <c r="AJ145" s="214"/>
      <c r="AK145" s="214"/>
    </row>
    <row r="146" spans="1:37" ht="17" thickBot="1">
      <c r="A146" s="214"/>
      <c r="B146" s="1891"/>
      <c r="C146" s="290"/>
      <c r="D146" s="939" t="s">
        <v>3293</v>
      </c>
      <c r="E146" s="940"/>
      <c r="F146" s="940"/>
      <c r="G146" s="941"/>
      <c r="H146" s="290"/>
      <c r="I146" s="290"/>
      <c r="J146" s="290"/>
      <c r="K146" s="216"/>
      <c r="L146" s="217"/>
      <c r="M146" s="289"/>
      <c r="N146" s="289"/>
      <c r="O146" s="214"/>
      <c r="P146" s="214"/>
      <c r="Q146" s="214"/>
      <c r="R146" s="214"/>
      <c r="S146" s="308" t="s">
        <v>3240</v>
      </c>
      <c r="T146" s="309"/>
      <c r="U146" s="316" t="e">
        <f>VLOOKUP(U145,'T5 - T7 | T9 - T16'!H9:I11,2,FALSE)</f>
        <v>#N/A</v>
      </c>
      <c r="V146" s="311" t="s">
        <v>3242</v>
      </c>
      <c r="W146" s="214"/>
      <c r="X146" s="214"/>
      <c r="Y146" s="214"/>
      <c r="Z146" s="214"/>
      <c r="AA146" s="214"/>
      <c r="AB146" s="214"/>
      <c r="AC146" s="214"/>
      <c r="AD146" s="214"/>
      <c r="AE146" s="214"/>
      <c r="AF146" s="214"/>
      <c r="AG146" s="214"/>
      <c r="AH146" s="214"/>
      <c r="AI146" s="214"/>
      <c r="AJ146" s="214"/>
      <c r="AK146" s="214"/>
    </row>
    <row r="147" spans="1:37" ht="17" thickBot="1">
      <c r="A147" s="214"/>
      <c r="B147" s="1891"/>
      <c r="C147" s="290"/>
      <c r="D147" s="942" t="s">
        <v>3265</v>
      </c>
      <c r="E147" s="943"/>
      <c r="F147" s="961">
        <f>I126</f>
        <v>0</v>
      </c>
      <c r="G147" s="962"/>
      <c r="H147" s="290"/>
      <c r="I147" s="290"/>
      <c r="J147" s="290"/>
      <c r="K147" s="218"/>
      <c r="L147" s="297" t="s">
        <v>3341</v>
      </c>
      <c r="M147" s="317"/>
      <c r="N147" s="317"/>
      <c r="O147" s="318"/>
      <c r="P147" s="214"/>
      <c r="Q147" s="214"/>
      <c r="R147" s="214"/>
      <c r="S147" s="214"/>
      <c r="T147" s="214"/>
      <c r="U147" s="214"/>
      <c r="V147" s="214"/>
      <c r="W147" s="214"/>
      <c r="X147" s="214"/>
      <c r="Y147" s="214"/>
      <c r="Z147" s="214"/>
      <c r="AA147" s="214"/>
      <c r="AB147" s="214"/>
      <c r="AC147" s="214"/>
      <c r="AD147" s="214"/>
      <c r="AE147" s="214"/>
      <c r="AF147" s="214"/>
      <c r="AG147" s="214"/>
      <c r="AH147" s="214"/>
      <c r="AI147" s="214"/>
      <c r="AJ147" s="214"/>
      <c r="AK147" s="214"/>
    </row>
    <row r="148" spans="1:37">
      <c r="A148" s="214"/>
      <c r="B148" s="1891"/>
      <c r="C148" s="290"/>
      <c r="D148" s="944" t="s">
        <v>132</v>
      </c>
      <c r="E148" s="945"/>
      <c r="F148" s="963">
        <f>'T5 - T7 | T9 - T16'!J20</f>
        <v>75.875873960000007</v>
      </c>
      <c r="G148" s="948" t="s">
        <v>3260</v>
      </c>
      <c r="H148" s="290"/>
      <c r="I148" s="290"/>
      <c r="J148" s="290"/>
      <c r="K148" s="290"/>
      <c r="L148" s="300" t="s">
        <v>3256</v>
      </c>
      <c r="M148" s="301"/>
      <c r="N148" s="222">
        <f>N134</f>
        <v>0</v>
      </c>
      <c r="O148" s="304" t="s">
        <v>3322</v>
      </c>
      <c r="P148" s="214"/>
      <c r="Q148" s="214"/>
      <c r="R148" s="214"/>
      <c r="S148" s="214"/>
      <c r="T148" s="214"/>
      <c r="U148" s="214"/>
      <c r="V148" s="214"/>
      <c r="W148" s="214"/>
      <c r="X148" s="214"/>
      <c r="Y148" s="214"/>
      <c r="Z148" s="214"/>
      <c r="AA148" s="214"/>
      <c r="AB148" s="214"/>
      <c r="AC148" s="214"/>
      <c r="AD148" s="214"/>
      <c r="AE148" s="214"/>
      <c r="AF148" s="214"/>
      <c r="AG148" s="214"/>
      <c r="AH148" s="214"/>
      <c r="AI148" s="214"/>
      <c r="AJ148" s="214"/>
      <c r="AK148" s="214"/>
    </row>
    <row r="149" spans="1:37" ht="17" thickBot="1">
      <c r="A149" s="214"/>
      <c r="B149" s="1891"/>
      <c r="C149" s="290"/>
      <c r="D149" s="946" t="s">
        <v>133</v>
      </c>
      <c r="E149" s="947"/>
      <c r="F149" s="964">
        <f>'T5 - T7 | T9 - T16'!I20</f>
        <v>1.5408826449999999</v>
      </c>
      <c r="G149" s="949" t="s">
        <v>3260</v>
      </c>
      <c r="H149" s="290"/>
      <c r="I149" s="290"/>
      <c r="J149" s="290"/>
      <c r="K149" s="290"/>
      <c r="L149" s="305" t="s">
        <v>3257</v>
      </c>
      <c r="M149" s="295"/>
      <c r="N149" s="223">
        <f>N135</f>
        <v>0</v>
      </c>
      <c r="O149" s="307" t="s">
        <v>3322</v>
      </c>
      <c r="P149" s="289"/>
      <c r="Q149" s="214"/>
      <c r="R149" s="214"/>
      <c r="S149" s="214"/>
      <c r="T149" s="214"/>
      <c r="U149" s="214"/>
      <c r="V149" s="214"/>
      <c r="W149" s="214"/>
      <c r="X149" s="214"/>
      <c r="Y149" s="214"/>
      <c r="Z149" s="214"/>
      <c r="AA149" s="214"/>
      <c r="AB149" s="214"/>
      <c r="AC149" s="214"/>
      <c r="AD149" s="214"/>
      <c r="AE149" s="214"/>
      <c r="AF149" s="214"/>
      <c r="AG149" s="214"/>
      <c r="AH149" s="214"/>
      <c r="AI149" s="214"/>
      <c r="AJ149" s="214"/>
      <c r="AK149" s="214"/>
    </row>
    <row r="150" spans="1:37" ht="17" thickBot="1">
      <c r="A150" s="214"/>
      <c r="B150" s="1891"/>
      <c r="C150" s="290"/>
      <c r="D150" s="217"/>
      <c r="E150" s="289"/>
      <c r="F150" s="289"/>
      <c r="G150" s="214"/>
      <c r="H150" s="290"/>
      <c r="I150" s="290"/>
      <c r="J150" s="290"/>
      <c r="K150" s="290"/>
      <c r="L150" s="319" t="s">
        <v>3258</v>
      </c>
      <c r="M150" s="289"/>
      <c r="N150" s="224">
        <v>21</v>
      </c>
      <c r="O150" s="307" t="s">
        <v>3245</v>
      </c>
      <c r="P150" s="289"/>
      <c r="Q150" s="214"/>
      <c r="R150" s="214"/>
      <c r="S150" s="214"/>
      <c r="T150" s="214"/>
      <c r="U150" s="214"/>
      <c r="V150" s="214"/>
      <c r="W150" s="214"/>
      <c r="X150" s="214"/>
      <c r="Y150" s="214"/>
      <c r="Z150" s="214"/>
      <c r="AA150" s="214"/>
      <c r="AB150" s="214"/>
      <c r="AC150" s="214"/>
      <c r="AD150" s="214"/>
      <c r="AE150" s="214"/>
      <c r="AF150" s="214"/>
      <c r="AG150" s="214"/>
      <c r="AH150" s="214"/>
      <c r="AI150" s="214"/>
      <c r="AJ150" s="214"/>
      <c r="AK150" s="214"/>
    </row>
    <row r="151" spans="1:37" ht="17" thickBot="1">
      <c r="A151" s="214"/>
      <c r="B151" s="1891"/>
      <c r="C151" s="290"/>
      <c r="D151" s="939" t="s">
        <v>3279</v>
      </c>
      <c r="E151" s="940"/>
      <c r="F151" s="940"/>
      <c r="G151" s="941"/>
      <c r="H151" s="290"/>
      <c r="I151" s="290"/>
      <c r="J151" s="290"/>
      <c r="K151" s="290"/>
      <c r="L151" s="319" t="s">
        <v>3259</v>
      </c>
      <c r="M151" s="289"/>
      <c r="N151" s="224">
        <v>32</v>
      </c>
      <c r="O151" s="307" t="s">
        <v>3245</v>
      </c>
      <c r="P151" s="214"/>
      <c r="Q151" s="214"/>
      <c r="R151" s="214"/>
      <c r="S151" s="214"/>
      <c r="T151" s="214"/>
      <c r="U151" s="214"/>
      <c r="V151" s="214"/>
      <c r="W151" s="214"/>
      <c r="X151" s="214"/>
      <c r="Y151" s="214"/>
      <c r="Z151" s="214"/>
      <c r="AA151" s="214"/>
      <c r="AB151" s="214"/>
      <c r="AC151" s="214"/>
      <c r="AD151" s="214"/>
      <c r="AE151" s="214"/>
      <c r="AF151" s="214"/>
      <c r="AG151" s="214"/>
      <c r="AH151" s="214"/>
      <c r="AI151" s="214"/>
      <c r="AJ151" s="214"/>
      <c r="AK151" s="214"/>
    </row>
    <row r="152" spans="1:37" ht="17" thickBot="1">
      <c r="A152" s="214"/>
      <c r="B152" s="1891"/>
      <c r="C152" s="290"/>
      <c r="D152" s="942" t="s">
        <v>3265</v>
      </c>
      <c r="E152" s="943"/>
      <c r="F152" s="961">
        <f>I126</f>
        <v>0</v>
      </c>
      <c r="G152" s="962"/>
      <c r="H152" s="290"/>
      <c r="I152" s="290"/>
      <c r="J152" s="290"/>
      <c r="K152" s="290"/>
      <c r="L152" s="308" t="s">
        <v>3246</v>
      </c>
      <c r="M152" s="315"/>
      <c r="N152" s="310">
        <f>(N148*N150)+(N149*N151)</f>
        <v>0</v>
      </c>
      <c r="O152" s="481" t="s">
        <v>3247</v>
      </c>
      <c r="P152" s="214"/>
      <c r="Q152" s="214"/>
      <c r="R152" s="214"/>
      <c r="S152" s="214"/>
      <c r="T152" s="214"/>
      <c r="U152" s="214"/>
      <c r="V152" s="214"/>
      <c r="W152" s="214"/>
      <c r="X152" s="214"/>
      <c r="Y152" s="214"/>
      <c r="Z152" s="214"/>
      <c r="AA152" s="214"/>
      <c r="AB152" s="214"/>
      <c r="AC152" s="214"/>
      <c r="AD152" s="214"/>
      <c r="AE152" s="214"/>
      <c r="AF152" s="214"/>
      <c r="AG152" s="214"/>
      <c r="AH152" s="214"/>
      <c r="AI152" s="214"/>
      <c r="AJ152" s="214"/>
      <c r="AK152" s="214"/>
    </row>
    <row r="153" spans="1:37" ht="17" thickBot="1">
      <c r="A153" s="214"/>
      <c r="B153" s="1891"/>
      <c r="C153" s="290"/>
      <c r="D153" s="946" t="s">
        <v>3240</v>
      </c>
      <c r="E153" s="947"/>
      <c r="F153" s="965" t="e">
        <f>VLOOKUP(F152,'T5 - T7 | T9 - T16'!H28:I30,2,FALSE)</f>
        <v>#N/A</v>
      </c>
      <c r="G153" s="949" t="s">
        <v>3242</v>
      </c>
      <c r="H153" s="290"/>
      <c r="I153" s="290"/>
      <c r="J153" s="290"/>
      <c r="K153" s="290"/>
      <c r="L153" s="295"/>
      <c r="M153" s="289"/>
      <c r="N153" s="480"/>
      <c r="O153" s="289"/>
      <c r="P153" s="214"/>
      <c r="Q153" s="214"/>
      <c r="R153" s="214"/>
      <c r="S153" s="214"/>
      <c r="T153" s="214"/>
      <c r="U153" s="214"/>
      <c r="V153" s="214"/>
      <c r="W153" s="214"/>
      <c r="X153" s="214"/>
      <c r="Y153" s="214"/>
      <c r="Z153" s="214"/>
      <c r="AA153" s="214"/>
      <c r="AB153" s="214"/>
      <c r="AC153" s="214"/>
      <c r="AD153" s="214"/>
      <c r="AE153" s="214"/>
      <c r="AF153" s="214"/>
      <c r="AG153" s="214"/>
      <c r="AH153" s="214"/>
      <c r="AI153" s="214"/>
      <c r="AJ153" s="214"/>
      <c r="AK153" s="214"/>
    </row>
    <row r="154" spans="1:37" ht="17" thickBot="1">
      <c r="A154" s="214"/>
      <c r="B154" s="1891"/>
      <c r="C154" s="290"/>
      <c r="D154" s="290"/>
      <c r="E154" s="290"/>
      <c r="F154" s="218"/>
      <c r="G154" s="218"/>
      <c r="H154" s="290"/>
      <c r="I154" s="290"/>
      <c r="J154" s="290"/>
      <c r="K154" s="290"/>
      <c r="L154" s="295"/>
      <c r="M154" s="295"/>
      <c r="N154" s="320"/>
      <c r="O154" s="289"/>
      <c r="P154" s="214"/>
      <c r="Q154" s="214"/>
      <c r="R154" s="214"/>
      <c r="S154" s="214"/>
      <c r="T154" s="214"/>
      <c r="U154" s="214"/>
      <c r="V154" s="214"/>
      <c r="W154" s="214"/>
      <c r="X154" s="214"/>
      <c r="Y154" s="214"/>
      <c r="Z154" s="214"/>
      <c r="AA154" s="214"/>
      <c r="AB154" s="214"/>
      <c r="AC154" s="214"/>
      <c r="AD154" s="214"/>
      <c r="AE154" s="214"/>
      <c r="AF154" s="214"/>
      <c r="AG154" s="214"/>
      <c r="AH154" s="214"/>
      <c r="AI154" s="214"/>
      <c r="AJ154" s="214"/>
      <c r="AK154" s="214"/>
    </row>
    <row r="155" spans="1:37">
      <c r="A155" s="214"/>
      <c r="B155" s="1891"/>
      <c r="C155" s="290"/>
      <c r="D155" s="950"/>
      <c r="E155" s="943"/>
      <c r="F155" s="951" t="s">
        <v>26</v>
      </c>
      <c r="G155" s="952" t="s">
        <v>25</v>
      </c>
      <c r="H155" s="290"/>
      <c r="I155" s="290"/>
      <c r="J155" s="290"/>
      <c r="K155" s="290"/>
      <c r="L155" s="321"/>
      <c r="M155" s="301"/>
      <c r="N155" s="225" t="s">
        <v>26</v>
      </c>
      <c r="O155" s="226" t="s">
        <v>25</v>
      </c>
      <c r="P155" s="214"/>
      <c r="Q155" s="214"/>
      <c r="R155" s="214"/>
      <c r="S155" s="321"/>
      <c r="T155" s="301"/>
      <c r="U155" s="225" t="s">
        <v>26</v>
      </c>
      <c r="V155" s="226" t="s">
        <v>25</v>
      </c>
      <c r="W155" s="214"/>
      <c r="X155" s="214"/>
      <c r="Y155" s="321"/>
      <c r="Z155" s="301"/>
      <c r="AA155" s="225" t="s">
        <v>26</v>
      </c>
      <c r="AB155" s="226" t="s">
        <v>25</v>
      </c>
      <c r="AC155" s="214"/>
      <c r="AD155" s="214"/>
      <c r="AE155" s="214"/>
      <c r="AF155" s="214"/>
      <c r="AG155" s="214"/>
      <c r="AH155" s="214"/>
      <c r="AI155" s="214"/>
      <c r="AJ155" s="214"/>
      <c r="AK155" s="214"/>
    </row>
    <row r="156" spans="1:37">
      <c r="A156" s="214"/>
      <c r="B156" s="1891"/>
      <c r="C156" s="290"/>
      <c r="D156" s="953" t="s">
        <v>112</v>
      </c>
      <c r="E156" s="954"/>
      <c r="F156" s="955" t="e">
        <f>F148*F153/(G129+1)</f>
        <v>#N/A</v>
      </c>
      <c r="G156" s="956" t="e">
        <f>F149*F153/(G129+1)</f>
        <v>#N/A</v>
      </c>
      <c r="H156" s="290"/>
      <c r="I156" s="290"/>
      <c r="J156" s="290"/>
      <c r="K156" s="290"/>
      <c r="L156" s="319" t="s">
        <v>112</v>
      </c>
      <c r="M156" s="289"/>
      <c r="N156" s="217" t="e">
        <f>N140*N145*N152/(G129+1)</f>
        <v>#N/A</v>
      </c>
      <c r="O156" s="227" t="e">
        <f>N141*N145*N152/(G129+1)</f>
        <v>#N/A</v>
      </c>
      <c r="P156" s="214"/>
      <c r="Q156" s="214"/>
      <c r="R156" s="214"/>
      <c r="S156" s="319" t="s">
        <v>112</v>
      </c>
      <c r="T156" s="289"/>
      <c r="U156" s="217" t="e">
        <f>(U141*U140)*U146/(G129+1)</f>
        <v>#N/A</v>
      </c>
      <c r="V156" s="227" t="e">
        <f>(U142*U140)*U146/(G129+1)</f>
        <v>#N/A</v>
      </c>
      <c r="W156" s="214"/>
      <c r="X156" s="214"/>
      <c r="Y156" s="319" t="s">
        <v>112</v>
      </c>
      <c r="Z156" s="289"/>
      <c r="AA156" s="217">
        <v>0</v>
      </c>
      <c r="AB156" s="227">
        <v>0</v>
      </c>
      <c r="AC156" s="214"/>
      <c r="AD156" s="214"/>
      <c r="AE156" s="214"/>
      <c r="AF156" s="214"/>
      <c r="AG156" s="214"/>
      <c r="AH156" s="214"/>
      <c r="AI156" s="214"/>
      <c r="AJ156" s="214"/>
      <c r="AK156" s="214"/>
    </row>
    <row r="157" spans="1:37" ht="17" thickBot="1">
      <c r="A157" s="214"/>
      <c r="B157" s="1892"/>
      <c r="C157" s="290"/>
      <c r="D157" s="957" t="s">
        <v>113</v>
      </c>
      <c r="E157" s="958"/>
      <c r="F157" s="959" t="e">
        <f>F156*F140/(10^6)</f>
        <v>#N/A</v>
      </c>
      <c r="G157" s="960" t="e">
        <f>G156*F141/(10^6)</f>
        <v>#N/A</v>
      </c>
      <c r="H157" s="290"/>
      <c r="I157" s="290"/>
      <c r="J157" s="290"/>
      <c r="K157" s="290"/>
      <c r="L157" s="322" t="s">
        <v>113</v>
      </c>
      <c r="M157" s="315"/>
      <c r="N157" s="228" t="e">
        <f>N156*F140/(10^6)</f>
        <v>#N/A</v>
      </c>
      <c r="O157" s="229" t="e">
        <f>O156*F141/(10^6)</f>
        <v>#N/A</v>
      </c>
      <c r="P157" s="214"/>
      <c r="Q157" s="214"/>
      <c r="R157" s="214"/>
      <c r="S157" s="322" t="s">
        <v>113</v>
      </c>
      <c r="T157" s="315"/>
      <c r="U157" s="228" t="e">
        <f>U156*F140/(10^6)</f>
        <v>#N/A</v>
      </c>
      <c r="V157" s="229" t="e">
        <f>V156*F141/(10^6)</f>
        <v>#N/A</v>
      </c>
      <c r="W157" s="214"/>
      <c r="X157" s="214"/>
      <c r="Y157" s="322" t="s">
        <v>113</v>
      </c>
      <c r="Z157" s="315"/>
      <c r="AA157" s="228">
        <f>AA156*F140/(10^6)</f>
        <v>0</v>
      </c>
      <c r="AB157" s="229">
        <f>AB156*F141/(10^6)</f>
        <v>0</v>
      </c>
      <c r="AC157" s="214"/>
      <c r="AD157" s="214"/>
      <c r="AE157" s="214"/>
      <c r="AF157" s="214"/>
      <c r="AG157" s="214"/>
      <c r="AH157" s="214"/>
      <c r="AI157" s="214"/>
      <c r="AJ157" s="214"/>
      <c r="AK157" s="214"/>
    </row>
    <row r="158" spans="1:37">
      <c r="A158" s="214"/>
      <c r="B158" s="221"/>
      <c r="C158" s="290"/>
      <c r="D158" s="290"/>
      <c r="E158" s="290"/>
      <c r="F158" s="218"/>
      <c r="G158" s="218"/>
      <c r="H158" s="290"/>
      <c r="I158" s="290"/>
      <c r="J158" s="290"/>
      <c r="K158" s="290"/>
      <c r="L158" s="214"/>
      <c r="M158" s="214"/>
      <c r="N158" s="214"/>
      <c r="O158" s="214"/>
      <c r="P158" s="214"/>
      <c r="Q158" s="214"/>
      <c r="R158" s="214"/>
      <c r="S158" s="214"/>
      <c r="T158" s="214"/>
      <c r="U158" s="214"/>
      <c r="V158" s="214"/>
      <c r="W158" s="214"/>
      <c r="X158" s="214"/>
      <c r="Y158" s="214"/>
      <c r="Z158" s="214"/>
      <c r="AA158" s="214"/>
      <c r="AB158" s="214"/>
      <c r="AC158" s="214"/>
      <c r="AD158" s="214"/>
      <c r="AE158" s="214"/>
      <c r="AF158" s="214"/>
      <c r="AG158" s="214"/>
      <c r="AH158" s="214"/>
      <c r="AI158" s="214"/>
      <c r="AJ158" s="214"/>
      <c r="AK158" s="214"/>
    </row>
    <row r="159" spans="1:37" ht="17" thickBot="1">
      <c r="A159" s="325"/>
      <c r="B159" s="325"/>
      <c r="C159" s="325"/>
      <c r="D159" s="325"/>
      <c r="E159" s="325"/>
      <c r="F159" s="325"/>
      <c r="G159" s="325"/>
      <c r="H159" s="325"/>
      <c r="I159" s="325"/>
      <c r="J159" s="325"/>
      <c r="K159" s="325"/>
      <c r="L159" s="325"/>
      <c r="M159" s="325"/>
      <c r="N159" s="325"/>
      <c r="O159" s="325"/>
      <c r="P159" s="325"/>
      <c r="Q159" s="325"/>
      <c r="R159" s="325"/>
      <c r="S159" s="325"/>
      <c r="T159" s="325"/>
      <c r="U159" s="325"/>
      <c r="V159" s="325"/>
      <c r="W159" s="325"/>
      <c r="X159" s="325"/>
      <c r="Y159" s="325"/>
      <c r="Z159" s="325"/>
      <c r="AA159" s="325"/>
      <c r="AB159" s="325"/>
      <c r="AC159" s="325"/>
      <c r="AD159" s="325"/>
      <c r="AE159" s="325"/>
      <c r="AF159" s="325"/>
      <c r="AG159" s="325"/>
      <c r="AH159" s="325"/>
      <c r="AI159" s="325"/>
      <c r="AJ159" s="325"/>
      <c r="AK159" s="325"/>
    </row>
    <row r="160" spans="1:37" ht="17" customHeight="1" thickBot="1">
      <c r="A160" s="325"/>
      <c r="B160" s="1840" t="s">
        <v>3287</v>
      </c>
      <c r="C160" s="325"/>
      <c r="D160" s="325"/>
      <c r="E160" s="325"/>
      <c r="F160" s="325"/>
      <c r="G160" s="325"/>
      <c r="H160" s="325"/>
      <c r="I160" s="325"/>
      <c r="J160" s="325"/>
      <c r="K160" s="325"/>
      <c r="L160" s="325"/>
      <c r="M160" s="325"/>
      <c r="N160" s="325"/>
      <c r="O160" s="325"/>
      <c r="P160" s="325"/>
      <c r="Q160" s="325"/>
      <c r="R160" s="325"/>
      <c r="S160" s="325"/>
      <c r="T160" s="325"/>
      <c r="U160" s="325"/>
      <c r="V160" s="325"/>
      <c r="W160" s="325"/>
      <c r="X160" s="325"/>
      <c r="Y160" s="325"/>
      <c r="Z160" s="325"/>
      <c r="AA160" s="325"/>
      <c r="AB160" s="325"/>
      <c r="AC160" s="325"/>
      <c r="AD160" s="325"/>
      <c r="AE160" s="325"/>
      <c r="AF160" s="325"/>
      <c r="AG160" s="325"/>
      <c r="AH160" s="325"/>
      <c r="AI160" s="325"/>
      <c r="AJ160" s="325"/>
      <c r="AK160" s="325"/>
    </row>
    <row r="161" spans="1:37" ht="16" customHeight="1">
      <c r="A161" s="325"/>
      <c r="B161" s="1841"/>
      <c r="C161" s="325"/>
      <c r="D161" s="325"/>
      <c r="E161" s="1952" t="s">
        <v>3275</v>
      </c>
      <c r="F161" s="1953"/>
      <c r="G161" s="1953"/>
      <c r="H161" s="1953"/>
      <c r="I161" s="1954"/>
      <c r="J161" s="325"/>
      <c r="K161" s="325"/>
      <c r="L161" s="325"/>
      <c r="M161" s="1952" t="s">
        <v>3276</v>
      </c>
      <c r="N161" s="1953"/>
      <c r="O161" s="1953"/>
      <c r="P161" s="1953"/>
      <c r="Q161" s="1954"/>
      <c r="R161" s="325"/>
      <c r="S161" s="325"/>
      <c r="T161" s="325"/>
      <c r="U161" s="325"/>
      <c r="V161" s="325"/>
      <c r="W161" s="325"/>
      <c r="X161" s="325"/>
      <c r="Y161" s="325"/>
      <c r="Z161" s="325"/>
      <c r="AA161" s="325"/>
      <c r="AB161" s="325"/>
      <c r="AC161" s="325"/>
      <c r="AD161" s="325"/>
      <c r="AE161" s="325"/>
      <c r="AF161" s="325"/>
      <c r="AG161" s="325"/>
      <c r="AH161" s="325"/>
      <c r="AI161" s="325"/>
      <c r="AJ161" s="325"/>
      <c r="AK161" s="325"/>
    </row>
    <row r="162" spans="1:37" ht="17" customHeight="1" thickBot="1">
      <c r="A162" s="325"/>
      <c r="B162" s="1841"/>
      <c r="C162" s="325"/>
      <c r="D162" s="325"/>
      <c r="E162" s="1955"/>
      <c r="F162" s="1956"/>
      <c r="G162" s="1956"/>
      <c r="H162" s="1956"/>
      <c r="I162" s="1957"/>
      <c r="J162" s="325"/>
      <c r="K162" s="325"/>
      <c r="L162" s="325"/>
      <c r="M162" s="1955"/>
      <c r="N162" s="1956"/>
      <c r="O162" s="1956"/>
      <c r="P162" s="1956"/>
      <c r="Q162" s="1957"/>
      <c r="R162" s="325"/>
      <c r="S162" s="325"/>
      <c r="T162" s="325"/>
      <c r="U162" s="325"/>
      <c r="V162" s="325"/>
      <c r="W162" s="325"/>
      <c r="X162" s="325"/>
      <c r="Y162" s="325"/>
      <c r="Z162" s="325"/>
      <c r="AA162" s="325"/>
      <c r="AB162" s="325"/>
      <c r="AC162" s="325"/>
      <c r="AD162" s="325"/>
      <c r="AE162" s="325"/>
      <c r="AF162" s="325"/>
      <c r="AG162" s="325"/>
      <c r="AH162" s="325"/>
      <c r="AI162" s="325"/>
      <c r="AJ162" s="325"/>
      <c r="AK162" s="325"/>
    </row>
    <row r="163" spans="1:37">
      <c r="A163" s="325"/>
      <c r="B163" s="1841"/>
      <c r="C163" s="325"/>
      <c r="D163" s="326"/>
      <c r="E163" s="326"/>
      <c r="F163" s="326"/>
      <c r="G163" s="326"/>
      <c r="H163" s="326"/>
      <c r="I163" s="326"/>
      <c r="J163" s="326"/>
      <c r="K163" s="325"/>
      <c r="L163" s="326"/>
      <c r="M163" s="326"/>
      <c r="N163" s="326"/>
      <c r="O163" s="326"/>
      <c r="P163" s="326"/>
      <c r="Q163" s="326"/>
      <c r="R163" s="326"/>
      <c r="S163" s="325"/>
      <c r="T163" s="325"/>
      <c r="U163" s="325"/>
      <c r="V163" s="325"/>
      <c r="W163" s="325"/>
      <c r="X163" s="325"/>
      <c r="Y163" s="325"/>
      <c r="Z163" s="325"/>
      <c r="AA163" s="325"/>
      <c r="AB163" s="325"/>
      <c r="AC163" s="325"/>
      <c r="AD163" s="325"/>
      <c r="AE163" s="325"/>
      <c r="AF163" s="325"/>
      <c r="AG163" s="325"/>
      <c r="AH163" s="325"/>
      <c r="AI163" s="325"/>
      <c r="AJ163" s="325"/>
      <c r="AK163" s="325"/>
    </row>
    <row r="164" spans="1:37" ht="17">
      <c r="A164" s="325"/>
      <c r="B164" s="1841"/>
      <c r="C164" s="325"/>
      <c r="D164" s="211" t="s">
        <v>3269</v>
      </c>
      <c r="E164" s="212" t="str">
        <f>'Iteration II Simulation'!E164</f>
        <v>Excluding food and takeaway deliveries, do you make online purchases (E.g. Clothing, Beauty, Technology, etc.)?</v>
      </c>
      <c r="F164" s="212"/>
      <c r="G164" s="212"/>
      <c r="H164" s="291"/>
      <c r="I164" s="291"/>
      <c r="J164" s="291"/>
      <c r="K164" s="325"/>
      <c r="L164" s="546" t="s">
        <v>3338</v>
      </c>
      <c r="M164" s="212" t="str">
        <f>'Iteration II Simulation'!M164</f>
        <v>Do you shop for grocery online (E.g. Sainsbury, Ocado, Asda, etc.)?</v>
      </c>
      <c r="N164" s="212"/>
      <c r="O164" s="212"/>
      <c r="P164" s="291"/>
      <c r="Q164" s="291"/>
      <c r="R164" s="291"/>
      <c r="S164" s="325"/>
      <c r="T164" s="325"/>
      <c r="U164" s="325"/>
      <c r="V164" s="325"/>
      <c r="W164" s="325"/>
      <c r="X164" s="325"/>
      <c r="Y164" s="325"/>
      <c r="Z164" s="325"/>
      <c r="AA164" s="325"/>
      <c r="AB164" s="325"/>
      <c r="AC164" s="325"/>
      <c r="AD164" s="325"/>
      <c r="AE164" s="325"/>
      <c r="AF164" s="325"/>
      <c r="AG164" s="325"/>
      <c r="AH164" s="325"/>
      <c r="AI164" s="325"/>
      <c r="AJ164" s="325"/>
      <c r="AK164" s="325"/>
    </row>
    <row r="165" spans="1:37" ht="17" thickBot="1">
      <c r="A165" s="325"/>
      <c r="B165" s="1841"/>
      <c r="C165" s="325"/>
      <c r="D165" s="371" t="s">
        <v>34</v>
      </c>
      <c r="E165" s="325" t="s">
        <v>88</v>
      </c>
      <c r="F165" s="325"/>
      <c r="G165" s="325"/>
      <c r="H165" s="325"/>
      <c r="I165" s="325"/>
      <c r="J165" s="325"/>
      <c r="K165" s="325"/>
      <c r="L165" s="548" t="s">
        <v>34</v>
      </c>
      <c r="M165" s="325" t="s">
        <v>88</v>
      </c>
      <c r="N165" s="325"/>
      <c r="O165" s="325"/>
      <c r="P165" s="325"/>
      <c r="Q165" s="325"/>
      <c r="R165" s="325"/>
      <c r="S165" s="325"/>
      <c r="T165" s="325"/>
      <c r="U165" s="325"/>
      <c r="V165" s="325"/>
      <c r="W165" s="325"/>
      <c r="X165" s="325"/>
      <c r="Y165" s="325"/>
      <c r="Z165" s="325"/>
      <c r="AA165" s="325"/>
      <c r="AB165" s="325"/>
      <c r="AC165" s="325"/>
      <c r="AD165" s="325"/>
      <c r="AE165" s="325"/>
      <c r="AF165" s="325"/>
      <c r="AG165" s="325"/>
      <c r="AH165" s="325"/>
      <c r="AI165" s="325"/>
      <c r="AJ165" s="325"/>
      <c r="AK165" s="325"/>
    </row>
    <row r="166" spans="1:37" ht="17" thickBot="1">
      <c r="A166" s="325"/>
      <c r="B166" s="1841"/>
      <c r="C166" s="325"/>
      <c r="D166" s="371" t="s">
        <v>35</v>
      </c>
      <c r="E166" s="325" t="s">
        <v>89</v>
      </c>
      <c r="F166" s="325"/>
      <c r="G166" s="325"/>
      <c r="H166" s="788">
        <f>'Iteration II Simulation'!O245</f>
        <v>0</v>
      </c>
      <c r="I166" s="325"/>
      <c r="J166" s="325"/>
      <c r="K166" s="325"/>
      <c r="L166" s="548" t="s">
        <v>35</v>
      </c>
      <c r="M166" s="325" t="s">
        <v>89</v>
      </c>
      <c r="N166" s="325"/>
      <c r="O166" s="325"/>
      <c r="P166" s="788">
        <f>'Iteration II Simulation'!O247</f>
        <v>0</v>
      </c>
      <c r="Q166" s="325"/>
      <c r="R166" s="325"/>
      <c r="S166" s="325"/>
      <c r="T166" s="325"/>
      <c r="U166" s="325"/>
      <c r="V166" s="325"/>
      <c r="W166" s="325"/>
      <c r="X166" s="325"/>
      <c r="Y166" s="325"/>
      <c r="Z166" s="325"/>
      <c r="AA166" s="325"/>
      <c r="AB166" s="325"/>
      <c r="AC166" s="325"/>
      <c r="AD166" s="325"/>
      <c r="AE166" s="325"/>
      <c r="AF166" s="325"/>
      <c r="AG166" s="325"/>
      <c r="AH166" s="325"/>
      <c r="AI166" s="325"/>
      <c r="AJ166" s="325"/>
      <c r="AK166" s="325"/>
    </row>
    <row r="167" spans="1:37">
      <c r="A167" s="325"/>
      <c r="B167" s="1841"/>
      <c r="C167" s="325"/>
      <c r="D167" s="325"/>
      <c r="E167" s="325"/>
      <c r="F167" s="325"/>
      <c r="G167" s="325"/>
      <c r="H167" s="325"/>
      <c r="I167" s="325"/>
      <c r="J167" s="325"/>
      <c r="K167" s="325"/>
      <c r="L167" s="548"/>
      <c r="M167" s="325"/>
      <c r="N167" s="325"/>
      <c r="O167" s="325"/>
      <c r="P167" s="325"/>
      <c r="Q167" s="325"/>
      <c r="R167" s="325"/>
      <c r="S167" s="325"/>
      <c r="T167" s="325"/>
      <c r="U167" s="325"/>
      <c r="V167" s="325"/>
      <c r="W167" s="325"/>
      <c r="X167" s="325"/>
      <c r="Y167" s="325"/>
      <c r="Z167" s="325"/>
      <c r="AA167" s="325"/>
      <c r="AB167" s="325"/>
      <c r="AC167" s="325"/>
      <c r="AD167" s="325"/>
      <c r="AE167" s="325"/>
      <c r="AF167" s="325"/>
      <c r="AG167" s="325"/>
      <c r="AH167" s="325"/>
      <c r="AI167" s="325"/>
      <c r="AJ167" s="325"/>
      <c r="AK167" s="325"/>
    </row>
    <row r="168" spans="1:37" ht="18" thickBot="1">
      <c r="A168" s="325"/>
      <c r="B168" s="1841"/>
      <c r="C168" s="325"/>
      <c r="D168" s="211" t="s">
        <v>3331</v>
      </c>
      <c r="E168" s="212" t="str">
        <f>'Iteration II Simulation'!E169</f>
        <v>On average, how many online purchases do you make each week?</v>
      </c>
      <c r="F168" s="212"/>
      <c r="G168" s="212"/>
      <c r="H168" s="291"/>
      <c r="I168" s="291"/>
      <c r="J168" s="291"/>
      <c r="K168" s="325"/>
      <c r="L168" s="546" t="s">
        <v>3353</v>
      </c>
      <c r="M168" s="212" t="str">
        <f>'Iteration II Simulation'!M169</f>
        <v>On average, how many grocery shops delivery do you make each week?</v>
      </c>
      <c r="N168" s="212"/>
      <c r="O168" s="212"/>
      <c r="P168" s="291"/>
      <c r="Q168" s="291"/>
      <c r="R168" s="291"/>
      <c r="S168" s="325"/>
      <c r="T168" s="325"/>
      <c r="U168" s="325"/>
      <c r="V168" s="325"/>
      <c r="W168" s="325"/>
      <c r="X168" s="325"/>
      <c r="Y168" s="325"/>
      <c r="Z168" s="325"/>
      <c r="AA168" s="325"/>
      <c r="AB168" s="325"/>
      <c r="AC168" s="325"/>
      <c r="AD168" s="325"/>
      <c r="AE168" s="325"/>
      <c r="AF168" s="325"/>
      <c r="AG168" s="325"/>
      <c r="AH168" s="325"/>
      <c r="AI168" s="325"/>
      <c r="AJ168" s="325"/>
      <c r="AK168" s="325"/>
    </row>
    <row r="169" spans="1:37" ht="17" thickBot="1">
      <c r="A169" s="325"/>
      <c r="B169" s="1841"/>
      <c r="C169" s="325"/>
      <c r="D169" s="325"/>
      <c r="E169" s="1879" t="s">
        <v>73</v>
      </c>
      <c r="F169" s="2052"/>
      <c r="G169" s="788">
        <f>'Iteration II Simulation'!O246</f>
        <v>0</v>
      </c>
      <c r="H169" s="512"/>
      <c r="I169" s="325"/>
      <c r="J169" s="325"/>
      <c r="K169" s="325"/>
      <c r="L169" s="548"/>
      <c r="M169" s="1879" t="s">
        <v>73</v>
      </c>
      <c r="N169" s="2052"/>
      <c r="O169" s="788">
        <f>'Iteration II Simulation'!O248</f>
        <v>0</v>
      </c>
      <c r="P169" s="512"/>
      <c r="Q169" s="325"/>
      <c r="R169" s="325"/>
      <c r="S169" s="325"/>
      <c r="T169" s="325"/>
      <c r="U169" s="325"/>
      <c r="V169" s="325"/>
      <c r="W169" s="325"/>
      <c r="X169" s="325"/>
      <c r="Y169" s="325"/>
      <c r="Z169" s="325"/>
      <c r="AA169" s="325"/>
      <c r="AB169" s="325"/>
      <c r="AC169" s="325"/>
      <c r="AD169" s="325"/>
      <c r="AE169" s="325"/>
      <c r="AF169" s="325"/>
      <c r="AG169" s="325"/>
      <c r="AH169" s="325"/>
      <c r="AI169" s="325"/>
      <c r="AJ169" s="325"/>
      <c r="AK169" s="325"/>
    </row>
    <row r="170" spans="1:37">
      <c r="A170" s="325"/>
      <c r="B170" s="1841"/>
      <c r="C170" s="325"/>
      <c r="D170" s="325"/>
      <c r="E170" s="325"/>
      <c r="F170" s="325"/>
      <c r="G170" s="325"/>
      <c r="H170" s="325"/>
      <c r="I170" s="325"/>
      <c r="J170" s="325"/>
      <c r="K170" s="325"/>
      <c r="L170" s="325"/>
      <c r="M170" s="325"/>
      <c r="N170" s="325"/>
      <c r="O170" s="325"/>
      <c r="P170" s="325"/>
      <c r="Q170" s="325"/>
      <c r="R170" s="325"/>
      <c r="S170" s="325"/>
      <c r="T170" s="325"/>
      <c r="U170" s="325"/>
      <c r="V170" s="325"/>
      <c r="W170" s="325"/>
      <c r="X170" s="325"/>
      <c r="Y170" s="325"/>
      <c r="Z170" s="325"/>
      <c r="AA170" s="325"/>
      <c r="AB170" s="325"/>
      <c r="AC170" s="325"/>
      <c r="AD170" s="325"/>
      <c r="AE170" s="325"/>
      <c r="AF170" s="325"/>
      <c r="AG170" s="325"/>
      <c r="AH170" s="325"/>
      <c r="AI170" s="325"/>
      <c r="AJ170" s="325"/>
      <c r="AK170" s="325"/>
    </row>
    <row r="171" spans="1:37" ht="17" thickBot="1">
      <c r="A171" s="325"/>
      <c r="B171" s="1841"/>
      <c r="C171" s="325"/>
      <c r="D171" s="325"/>
      <c r="E171" s="325"/>
      <c r="F171" s="325"/>
      <c r="G171" s="327"/>
      <c r="H171" s="325"/>
      <c r="I171" s="325"/>
      <c r="J171" s="325"/>
      <c r="K171" s="325"/>
      <c r="L171" s="325"/>
      <c r="M171" s="325"/>
      <c r="N171" s="325"/>
      <c r="O171" s="325"/>
      <c r="P171" s="325"/>
      <c r="Q171" s="325"/>
      <c r="R171" s="325"/>
      <c r="S171" s="325"/>
      <c r="T171" s="325"/>
      <c r="U171" s="325"/>
      <c r="V171" s="325"/>
      <c r="W171" s="325"/>
      <c r="X171" s="325"/>
      <c r="Y171" s="325"/>
      <c r="Z171" s="325"/>
      <c r="AA171" s="325"/>
      <c r="AB171" s="325"/>
      <c r="AC171" s="325"/>
      <c r="AD171" s="325"/>
      <c r="AE171" s="325"/>
      <c r="AF171" s="325"/>
      <c r="AG171" s="325"/>
      <c r="AH171" s="325"/>
      <c r="AI171" s="325"/>
      <c r="AJ171" s="325"/>
      <c r="AK171" s="325"/>
    </row>
    <row r="172" spans="1:37" ht="20" thickBot="1">
      <c r="A172" s="325"/>
      <c r="B172" s="1841"/>
      <c r="C172" s="325"/>
      <c r="D172" s="335" t="s">
        <v>3286</v>
      </c>
      <c r="E172" s="328"/>
      <c r="F172" s="336"/>
      <c r="G172" s="332"/>
      <c r="H172" s="325"/>
      <c r="I172" s="325"/>
      <c r="J172" s="325"/>
      <c r="K172" s="325"/>
      <c r="L172" s="335" t="s">
        <v>114</v>
      </c>
      <c r="M172" s="328"/>
      <c r="N172" s="336"/>
      <c r="O172" s="325"/>
      <c r="P172" s="325"/>
      <c r="Q172" s="325"/>
      <c r="R172" s="325"/>
      <c r="S172" s="325"/>
      <c r="T172" s="325"/>
      <c r="U172" s="325"/>
      <c r="V172" s="325"/>
      <c r="W172" s="325"/>
      <c r="X172" s="325"/>
      <c r="Y172" s="325"/>
      <c r="Z172" s="325"/>
      <c r="AA172" s="325"/>
      <c r="AB172" s="325"/>
      <c r="AC172" s="325"/>
      <c r="AD172" s="325"/>
      <c r="AE172" s="325"/>
      <c r="AF172" s="325"/>
      <c r="AG172" s="325"/>
      <c r="AH172" s="325"/>
      <c r="AI172" s="325"/>
      <c r="AJ172" s="325"/>
      <c r="AK172" s="325"/>
    </row>
    <row r="173" spans="1:37">
      <c r="A173" s="325"/>
      <c r="B173" s="1841"/>
      <c r="C173" s="325"/>
      <c r="D173" s="329" t="s">
        <v>3337</v>
      </c>
      <c r="E173" s="337"/>
      <c r="F173" s="513"/>
      <c r="G173" s="327"/>
      <c r="H173" s="325"/>
      <c r="I173" s="325"/>
      <c r="J173" s="325"/>
      <c r="K173" s="325"/>
      <c r="L173" s="329" t="s">
        <v>33</v>
      </c>
      <c r="M173" s="337"/>
      <c r="N173" s="783">
        <f>G12</f>
        <v>0</v>
      </c>
      <c r="O173" s="325"/>
      <c r="P173" s="325"/>
      <c r="Q173" s="325"/>
      <c r="R173" s="325"/>
      <c r="S173" s="325"/>
      <c r="T173" s="325"/>
      <c r="U173" s="325"/>
      <c r="V173" s="325"/>
      <c r="W173" s="325"/>
      <c r="X173" s="325"/>
      <c r="Y173" s="325"/>
      <c r="Z173" s="325"/>
      <c r="AA173" s="325"/>
      <c r="AB173" s="325"/>
      <c r="AC173" s="325"/>
      <c r="AD173" s="325"/>
      <c r="AE173" s="325"/>
      <c r="AF173" s="325"/>
      <c r="AG173" s="325"/>
      <c r="AH173" s="325"/>
      <c r="AI173" s="325"/>
      <c r="AJ173" s="325"/>
      <c r="AK173" s="325"/>
    </row>
    <row r="174" spans="1:37">
      <c r="A174" s="325"/>
      <c r="B174" s="1841"/>
      <c r="C174" s="325"/>
      <c r="D174" s="331" t="s">
        <v>237</v>
      </c>
      <c r="E174" s="326"/>
      <c r="F174" s="356">
        <f>'T5 - T7 | T9 - T16'!I55</f>
        <v>10699</v>
      </c>
      <c r="G174" s="333"/>
      <c r="H174" s="325"/>
      <c r="I174" s="325"/>
      <c r="J174" s="325"/>
      <c r="K174" s="325"/>
      <c r="L174" s="331" t="s">
        <v>237</v>
      </c>
      <c r="M174" s="326"/>
      <c r="N174" s="356" t="e">
        <f>VLOOKUP(F27,'T2'!B9:D2990,2,FALSE)</f>
        <v>#N/A</v>
      </c>
      <c r="O174" s="325"/>
      <c r="P174" s="325"/>
      <c r="Q174" s="325"/>
      <c r="R174" s="325"/>
      <c r="S174" s="325"/>
      <c r="T174" s="325"/>
      <c r="U174" s="325"/>
      <c r="V174" s="325"/>
      <c r="W174" s="325"/>
      <c r="X174" s="325"/>
      <c r="Y174" s="325"/>
      <c r="Z174" s="325"/>
      <c r="AA174" s="325"/>
      <c r="AB174" s="325"/>
      <c r="AC174" s="325"/>
      <c r="AD174" s="325"/>
      <c r="AE174" s="325"/>
      <c r="AF174" s="325"/>
      <c r="AG174" s="325"/>
      <c r="AH174" s="325"/>
      <c r="AI174" s="325"/>
      <c r="AJ174" s="325"/>
      <c r="AK174" s="325"/>
    </row>
    <row r="175" spans="1:37" ht="17" thickBot="1">
      <c r="A175" s="325"/>
      <c r="B175" s="1841"/>
      <c r="C175" s="325"/>
      <c r="D175" s="330" t="s">
        <v>238</v>
      </c>
      <c r="E175" s="338"/>
      <c r="F175" s="339">
        <f>'T5 - T7 | T9 - T16'!I54</f>
        <v>203331</v>
      </c>
      <c r="G175" s="334"/>
      <c r="H175" s="325"/>
      <c r="I175" s="325"/>
      <c r="J175" s="325"/>
      <c r="K175" s="325"/>
      <c r="L175" s="330" t="s">
        <v>238</v>
      </c>
      <c r="M175" s="338"/>
      <c r="N175" s="339" t="e">
        <f>VLOOKUP(F27,'T2'!B9:D2990,3,FALSE)</f>
        <v>#N/A</v>
      </c>
      <c r="O175" s="325"/>
      <c r="P175" s="325"/>
      <c r="Q175" s="325"/>
      <c r="R175" s="325"/>
      <c r="S175" s="325"/>
      <c r="T175" s="325"/>
      <c r="U175" s="325"/>
      <c r="V175" s="325"/>
      <c r="W175" s="325"/>
      <c r="X175" s="325"/>
      <c r="Y175" s="325"/>
      <c r="Z175" s="325"/>
      <c r="AA175" s="325"/>
      <c r="AB175" s="325"/>
      <c r="AC175" s="325"/>
      <c r="AD175" s="325"/>
      <c r="AE175" s="325"/>
      <c r="AF175" s="325"/>
      <c r="AG175" s="325"/>
      <c r="AH175" s="325"/>
      <c r="AI175" s="325"/>
      <c r="AJ175" s="325"/>
      <c r="AK175" s="325"/>
    </row>
    <row r="176" spans="1:37" ht="17" thickBot="1">
      <c r="A176" s="325"/>
      <c r="B176" s="1841"/>
      <c r="C176" s="325"/>
      <c r="D176" s="325"/>
      <c r="E176" s="325"/>
      <c r="F176" s="325"/>
      <c r="G176" s="325"/>
      <c r="H176" s="325"/>
      <c r="I176" s="325"/>
      <c r="J176" s="325"/>
      <c r="K176" s="325"/>
      <c r="L176" s="325"/>
      <c r="M176" s="325"/>
      <c r="N176" s="325"/>
      <c r="O176" s="325"/>
      <c r="P176" s="325"/>
      <c r="Q176" s="325"/>
      <c r="R176" s="325"/>
      <c r="S176" s="325"/>
      <c r="T176" s="325"/>
      <c r="U176" s="325"/>
      <c r="V176" s="325"/>
      <c r="W176" s="325"/>
      <c r="X176" s="325"/>
      <c r="Y176" s="325"/>
      <c r="Z176" s="325"/>
      <c r="AA176" s="325"/>
      <c r="AB176" s="325"/>
      <c r="AC176" s="325"/>
      <c r="AD176" s="325"/>
      <c r="AE176" s="325"/>
      <c r="AF176" s="325"/>
      <c r="AG176" s="325"/>
      <c r="AH176" s="325"/>
      <c r="AI176" s="325"/>
      <c r="AJ176" s="325"/>
      <c r="AK176" s="325"/>
    </row>
    <row r="177" spans="1:37" ht="17" thickBot="1">
      <c r="A177" s="325"/>
      <c r="B177" s="1841"/>
      <c r="C177" s="325"/>
      <c r="D177" s="342" t="s">
        <v>3280</v>
      </c>
      <c r="E177" s="343"/>
      <c r="F177" s="343"/>
      <c r="G177" s="344"/>
      <c r="H177" s="325"/>
      <c r="I177" s="325"/>
      <c r="J177" s="325"/>
      <c r="K177" s="325"/>
      <c r="L177" s="342" t="s">
        <v>3281</v>
      </c>
      <c r="M177" s="343"/>
      <c r="N177" s="343"/>
      <c r="O177" s="344"/>
      <c r="P177" s="325"/>
      <c r="Q177" s="325"/>
      <c r="R177" s="325"/>
      <c r="S177" s="325"/>
      <c r="T177" s="325"/>
      <c r="U177" s="325"/>
      <c r="V177" s="325"/>
      <c r="W177" s="325"/>
      <c r="X177" s="325"/>
      <c r="Y177" s="325"/>
      <c r="Z177" s="325"/>
      <c r="AA177" s="325"/>
      <c r="AB177" s="325"/>
      <c r="AC177" s="325"/>
      <c r="AD177" s="325"/>
      <c r="AE177" s="325"/>
      <c r="AF177" s="325"/>
      <c r="AG177" s="325"/>
      <c r="AH177" s="325"/>
      <c r="AI177" s="325"/>
      <c r="AJ177" s="325"/>
      <c r="AK177" s="325"/>
    </row>
    <row r="178" spans="1:37">
      <c r="A178" s="325"/>
      <c r="B178" s="1841"/>
      <c r="C178" s="325"/>
      <c r="D178" s="345" t="s">
        <v>3284</v>
      </c>
      <c r="E178" s="346"/>
      <c r="F178" s="353">
        <f>G169*52</f>
        <v>0</v>
      </c>
      <c r="G178" s="348" t="s">
        <v>3285</v>
      </c>
      <c r="H178" s="325"/>
      <c r="I178" s="325"/>
      <c r="J178" s="325"/>
      <c r="K178" s="325"/>
      <c r="L178" s="345" t="s">
        <v>3284</v>
      </c>
      <c r="M178" s="346"/>
      <c r="N178" s="353">
        <f>O169*52</f>
        <v>0</v>
      </c>
      <c r="O178" s="348" t="s">
        <v>3285</v>
      </c>
      <c r="P178" s="325"/>
      <c r="Q178" s="325"/>
      <c r="R178" s="325"/>
      <c r="S178" s="325"/>
      <c r="T178" s="325"/>
      <c r="U178" s="325"/>
      <c r="V178" s="325"/>
      <c r="W178" s="325"/>
      <c r="X178" s="325"/>
      <c r="Y178" s="325"/>
      <c r="Z178" s="325"/>
      <c r="AA178" s="325"/>
      <c r="AB178" s="325"/>
      <c r="AC178" s="325"/>
      <c r="AD178" s="325"/>
      <c r="AE178" s="325"/>
      <c r="AF178" s="325"/>
      <c r="AG178" s="325"/>
      <c r="AH178" s="325"/>
      <c r="AI178" s="325"/>
      <c r="AJ178" s="325"/>
      <c r="AK178" s="325"/>
    </row>
    <row r="179" spans="1:37">
      <c r="A179" s="325"/>
      <c r="B179" s="1841"/>
      <c r="C179" s="325"/>
      <c r="D179" s="340" t="s">
        <v>3283</v>
      </c>
      <c r="E179" s="349"/>
      <c r="F179" s="354">
        <f>'T5 - T7 | T9 - T16'!J38</f>
        <v>12.653846153846153</v>
      </c>
      <c r="G179" s="350" t="s">
        <v>144</v>
      </c>
      <c r="H179" s="325"/>
      <c r="I179" s="325"/>
      <c r="J179" s="325"/>
      <c r="K179" s="325"/>
      <c r="L179" s="340" t="s">
        <v>3283</v>
      </c>
      <c r="M179" s="349"/>
      <c r="N179" s="354">
        <f>'T5 - T7 | T9 - T16'!J46</f>
        <v>0.49709631578947361</v>
      </c>
      <c r="O179" s="350" t="s">
        <v>144</v>
      </c>
      <c r="P179" s="325"/>
      <c r="Q179" s="325"/>
      <c r="R179" s="325"/>
      <c r="S179" s="325"/>
      <c r="T179" s="325"/>
      <c r="U179" s="325"/>
      <c r="V179" s="325"/>
      <c r="W179" s="325"/>
      <c r="X179" s="325"/>
      <c r="Y179" s="325"/>
      <c r="Z179" s="325"/>
      <c r="AA179" s="325"/>
      <c r="AB179" s="325"/>
      <c r="AC179" s="325"/>
      <c r="AD179" s="325"/>
      <c r="AE179" s="325"/>
      <c r="AF179" s="325"/>
      <c r="AG179" s="325"/>
      <c r="AH179" s="325"/>
      <c r="AI179" s="325"/>
      <c r="AJ179" s="325"/>
      <c r="AK179" s="325"/>
    </row>
    <row r="180" spans="1:37" ht="17" thickBot="1">
      <c r="A180" s="325"/>
      <c r="B180" s="1841"/>
      <c r="C180" s="325"/>
      <c r="D180" s="341" t="s">
        <v>3282</v>
      </c>
      <c r="E180" s="351"/>
      <c r="F180" s="355">
        <f>'T5 - T7 | T9 - T16'!I38</f>
        <v>0.74076923076923074</v>
      </c>
      <c r="G180" s="352" t="s">
        <v>144</v>
      </c>
      <c r="H180" s="325"/>
      <c r="I180" s="325"/>
      <c r="J180" s="325"/>
      <c r="K180" s="325"/>
      <c r="L180" s="341" t="s">
        <v>3282</v>
      </c>
      <c r="M180" s="351"/>
      <c r="N180" s="355">
        <f>'T5 - T7 | T9 - T16'!I46</f>
        <v>0</v>
      </c>
      <c r="O180" s="352" t="s">
        <v>144</v>
      </c>
      <c r="P180" s="325"/>
      <c r="Q180" s="325"/>
      <c r="R180" s="325"/>
      <c r="S180" s="325"/>
      <c r="T180" s="325"/>
      <c r="U180" s="325"/>
      <c r="V180" s="325"/>
      <c r="W180" s="325"/>
      <c r="X180" s="325"/>
      <c r="Y180" s="325"/>
      <c r="Z180" s="325"/>
      <c r="AA180" s="325"/>
      <c r="AB180" s="325"/>
      <c r="AC180" s="325"/>
      <c r="AD180" s="325"/>
      <c r="AE180" s="325"/>
      <c r="AF180" s="325"/>
      <c r="AG180" s="325"/>
      <c r="AH180" s="325"/>
      <c r="AI180" s="325"/>
      <c r="AJ180" s="325"/>
      <c r="AK180" s="325"/>
    </row>
    <row r="181" spans="1:37" ht="17" thickBot="1">
      <c r="A181" s="325"/>
      <c r="B181" s="1841"/>
      <c r="C181" s="370"/>
      <c r="D181" s="325"/>
      <c r="E181" s="325"/>
      <c r="F181" s="325"/>
      <c r="G181" s="325"/>
      <c r="H181" s="325"/>
      <c r="I181" s="325"/>
      <c r="J181" s="325"/>
      <c r="K181" s="325"/>
      <c r="L181" s="325"/>
      <c r="M181" s="325"/>
      <c r="N181" s="325"/>
      <c r="O181" s="325"/>
      <c r="P181" s="325"/>
      <c r="Q181" s="325"/>
      <c r="R181" s="325"/>
      <c r="S181" s="325"/>
      <c r="T181" s="325"/>
      <c r="U181" s="325"/>
      <c r="V181" s="325"/>
      <c r="W181" s="325"/>
      <c r="X181" s="325"/>
      <c r="Y181" s="325"/>
      <c r="Z181" s="325"/>
      <c r="AA181" s="325"/>
      <c r="AB181" s="325"/>
      <c r="AC181" s="325"/>
      <c r="AD181" s="325"/>
      <c r="AE181" s="325"/>
      <c r="AF181" s="325"/>
      <c r="AG181" s="325"/>
      <c r="AH181" s="325"/>
      <c r="AI181" s="325"/>
      <c r="AJ181" s="325"/>
      <c r="AK181" s="325"/>
    </row>
    <row r="182" spans="1:37">
      <c r="A182" s="325"/>
      <c r="B182" s="1841"/>
      <c r="C182" s="370"/>
      <c r="D182" s="347"/>
      <c r="E182" s="346"/>
      <c r="F182" s="357" t="s">
        <v>26</v>
      </c>
      <c r="G182" s="358" t="s">
        <v>25</v>
      </c>
      <c r="H182" s="325"/>
      <c r="I182" s="325"/>
      <c r="J182" s="325"/>
      <c r="K182" s="325"/>
      <c r="L182" s="347"/>
      <c r="M182" s="346"/>
      <c r="N182" s="357" t="s">
        <v>26</v>
      </c>
      <c r="O182" s="358" t="s">
        <v>25</v>
      </c>
      <c r="P182" s="325"/>
      <c r="Q182" s="325"/>
      <c r="R182" s="325"/>
      <c r="S182" s="325"/>
      <c r="T182" s="325"/>
      <c r="U182" s="325"/>
      <c r="V182" s="325"/>
      <c r="W182" s="325"/>
      <c r="X182" s="325"/>
      <c r="Y182" s="325"/>
      <c r="Z182" s="325"/>
      <c r="AA182" s="325"/>
      <c r="AB182" s="325"/>
      <c r="AC182" s="325"/>
      <c r="AD182" s="325"/>
      <c r="AE182" s="325"/>
      <c r="AF182" s="325"/>
      <c r="AG182" s="325"/>
      <c r="AH182" s="325"/>
      <c r="AI182" s="325"/>
      <c r="AJ182" s="325"/>
      <c r="AK182" s="325"/>
    </row>
    <row r="183" spans="1:37">
      <c r="A183" s="325"/>
      <c r="B183" s="1841"/>
      <c r="C183" s="370"/>
      <c r="D183" s="359" t="s">
        <v>112</v>
      </c>
      <c r="E183" s="360"/>
      <c r="F183" s="361">
        <f>F179*F178</f>
        <v>0</v>
      </c>
      <c r="G183" s="362">
        <f>F180*F178</f>
        <v>0</v>
      </c>
      <c r="H183" s="325"/>
      <c r="I183" s="325"/>
      <c r="J183" s="325"/>
      <c r="K183" s="325"/>
      <c r="L183" s="359" t="s">
        <v>112</v>
      </c>
      <c r="M183" s="360"/>
      <c r="N183" s="361">
        <f>N179*N178/(G129+1)</f>
        <v>0</v>
      </c>
      <c r="O183" s="362">
        <f>N180*N178</f>
        <v>0</v>
      </c>
      <c r="P183" s="325"/>
      <c r="Q183" s="325"/>
      <c r="R183" s="325"/>
      <c r="S183" s="325"/>
      <c r="T183" s="325"/>
      <c r="U183" s="325"/>
      <c r="V183" s="325"/>
      <c r="W183" s="325"/>
      <c r="X183" s="325"/>
      <c r="Y183" s="325"/>
      <c r="Z183" s="325"/>
      <c r="AA183" s="325"/>
      <c r="AB183" s="325"/>
      <c r="AC183" s="325"/>
      <c r="AD183" s="325"/>
      <c r="AE183" s="325"/>
      <c r="AF183" s="325"/>
      <c r="AG183" s="325"/>
      <c r="AH183" s="325"/>
      <c r="AI183" s="325"/>
      <c r="AJ183" s="325"/>
      <c r="AK183" s="325"/>
    </row>
    <row r="184" spans="1:37" ht="17" thickBot="1">
      <c r="A184" s="325"/>
      <c r="B184" s="1842"/>
      <c r="C184" s="370"/>
      <c r="D184" s="363" t="s">
        <v>113</v>
      </c>
      <c r="E184" s="364"/>
      <c r="F184" s="365">
        <f>F183*F174/(10^6)</f>
        <v>0</v>
      </c>
      <c r="G184" s="366">
        <f>G183*F175/(10^6)</f>
        <v>0</v>
      </c>
      <c r="H184" s="325"/>
      <c r="I184" s="325"/>
      <c r="J184" s="325"/>
      <c r="K184" s="325"/>
      <c r="L184" s="363" t="s">
        <v>113</v>
      </c>
      <c r="M184" s="364"/>
      <c r="N184" s="365" t="e">
        <f>N183*N174/(10^6)</f>
        <v>#N/A</v>
      </c>
      <c r="O184" s="366" t="e">
        <f>O183*N175/(10^6)</f>
        <v>#N/A</v>
      </c>
      <c r="P184" s="325"/>
      <c r="Q184" s="325"/>
      <c r="R184" s="325"/>
      <c r="S184" s="325"/>
      <c r="T184" s="325"/>
      <c r="U184" s="325"/>
      <c r="V184" s="325"/>
      <c r="W184" s="325"/>
      <c r="X184" s="325"/>
      <c r="Y184" s="325"/>
      <c r="Z184" s="325"/>
      <c r="AA184" s="325"/>
      <c r="AB184" s="325"/>
      <c r="AC184" s="325"/>
      <c r="AD184" s="325"/>
      <c r="AE184" s="325"/>
      <c r="AF184" s="325"/>
      <c r="AG184" s="325"/>
      <c r="AH184" s="325"/>
      <c r="AI184" s="325"/>
      <c r="AJ184" s="325"/>
      <c r="AK184" s="325"/>
    </row>
    <row r="185" spans="1:37">
      <c r="A185" s="325"/>
      <c r="B185" s="325"/>
      <c r="C185" s="370"/>
      <c r="D185" s="370"/>
      <c r="E185" s="370"/>
      <c r="F185" s="370"/>
      <c r="G185" s="370"/>
      <c r="H185" s="370"/>
      <c r="I185" s="325"/>
      <c r="J185" s="325"/>
      <c r="K185" s="325"/>
      <c r="L185" s="325"/>
      <c r="M185" s="325"/>
      <c r="N185" s="325"/>
      <c r="O185" s="325"/>
      <c r="P185" s="325"/>
      <c r="Q185" s="325"/>
      <c r="R185" s="325"/>
      <c r="S185" s="325"/>
      <c r="T185" s="325"/>
      <c r="U185" s="325"/>
      <c r="V185" s="325"/>
      <c r="W185" s="325"/>
      <c r="X185" s="325"/>
      <c r="Y185" s="325"/>
      <c r="Z185" s="325"/>
      <c r="AA185" s="325"/>
      <c r="AB185" s="325"/>
      <c r="AC185" s="325"/>
      <c r="AD185" s="325"/>
      <c r="AE185" s="325"/>
      <c r="AF185" s="325"/>
      <c r="AG185" s="325"/>
      <c r="AH185" s="325"/>
      <c r="AI185" s="325"/>
      <c r="AJ185" s="325"/>
      <c r="AK185" s="325"/>
    </row>
    <row r="186" spans="1:37">
      <c r="A186" s="433"/>
      <c r="B186" s="433"/>
      <c r="C186" s="433"/>
      <c r="D186" s="433"/>
      <c r="E186" s="433"/>
      <c r="F186" s="433"/>
      <c r="G186" s="433"/>
      <c r="H186" s="433"/>
      <c r="I186" s="433"/>
      <c r="J186" s="433"/>
      <c r="K186" s="433"/>
      <c r="L186" s="433"/>
      <c r="M186" s="433"/>
      <c r="N186" s="433"/>
      <c r="O186" s="433"/>
      <c r="P186" s="433"/>
      <c r="Q186" s="433"/>
      <c r="R186" s="433"/>
      <c r="S186" s="433"/>
      <c r="T186" s="433"/>
      <c r="U186" s="433"/>
      <c r="V186" s="433"/>
      <c r="W186" s="433"/>
      <c r="X186" s="433"/>
      <c r="Y186" s="433"/>
    </row>
    <row r="187" spans="1:37" ht="17" thickBot="1">
      <c r="A187" s="433"/>
      <c r="B187" s="433"/>
      <c r="C187" s="433"/>
      <c r="D187" s="156"/>
      <c r="E187" s="433"/>
      <c r="F187" s="433"/>
      <c r="G187" s="433"/>
      <c r="H187" s="433"/>
      <c r="I187" s="433"/>
      <c r="J187" s="433"/>
      <c r="K187" s="433"/>
      <c r="L187" s="433"/>
      <c r="M187" s="433"/>
      <c r="N187" s="433"/>
      <c r="O187" s="433"/>
      <c r="P187" s="433"/>
      <c r="Q187" s="433"/>
      <c r="R187" s="433"/>
      <c r="S187" s="433"/>
      <c r="T187" s="433"/>
      <c r="U187" s="433"/>
      <c r="V187" s="433"/>
      <c r="W187" s="433"/>
      <c r="X187" s="433"/>
      <c r="Y187" s="433"/>
    </row>
    <row r="188" spans="1:37" ht="17" thickBot="1">
      <c r="A188" s="433"/>
      <c r="B188" s="2046" t="s">
        <v>3300</v>
      </c>
      <c r="C188" s="2047"/>
      <c r="D188" s="2048"/>
      <c r="E188" s="433"/>
      <c r="F188" s="433"/>
      <c r="G188" s="433"/>
      <c r="H188" s="498" t="s">
        <v>3288</v>
      </c>
      <c r="I188" s="499"/>
      <c r="J188" s="500" t="s">
        <v>253</v>
      </c>
      <c r="K188" s="499"/>
      <c r="L188" s="433"/>
      <c r="M188" s="323" t="s">
        <v>3473</v>
      </c>
      <c r="N188" s="323" t="s">
        <v>252</v>
      </c>
      <c r="O188" s="324"/>
      <c r="P188" s="324"/>
      <c r="Q188" s="324"/>
      <c r="R188" s="324"/>
      <c r="S188" s="856" t="s">
        <v>3476</v>
      </c>
      <c r="T188" s="857" t="s">
        <v>3475</v>
      </c>
      <c r="U188" s="858" t="s">
        <v>3477</v>
      </c>
      <c r="V188" s="859" t="s">
        <v>3478</v>
      </c>
      <c r="W188" s="433"/>
      <c r="X188" s="433"/>
      <c r="Y188" s="433"/>
      <c r="Z188" s="433"/>
      <c r="AA188" s="433"/>
      <c r="AB188" s="433"/>
    </row>
    <row r="189" spans="1:37" ht="17" thickBot="1">
      <c r="A189" s="433"/>
      <c r="B189" s="2049"/>
      <c r="C189" s="2050"/>
      <c r="D189" s="2051"/>
      <c r="E189" s="433"/>
      <c r="F189" s="433"/>
      <c r="G189" s="433"/>
      <c r="H189" s="498" t="s">
        <v>26</v>
      </c>
      <c r="I189" s="499" t="s">
        <v>25</v>
      </c>
      <c r="J189" s="500" t="s">
        <v>26</v>
      </c>
      <c r="K189" s="499" t="s">
        <v>25</v>
      </c>
      <c r="L189" s="433"/>
      <c r="M189" s="871" t="s">
        <v>3290</v>
      </c>
      <c r="N189" s="860" t="s">
        <v>239</v>
      </c>
      <c r="O189" s="861"/>
      <c r="P189" s="861"/>
      <c r="Q189" s="861"/>
      <c r="R189" s="885"/>
      <c r="S189" s="873">
        <v>134</v>
      </c>
      <c r="T189" s="862">
        <f t="shared" ref="T189:T194" si="0">(S189*10^9)/$AA$190</f>
        <v>2006.0839135619162</v>
      </c>
      <c r="U189" s="873">
        <v>2.2999999999999998</v>
      </c>
      <c r="V189" s="862">
        <f t="shared" ref="V189:V194" si="1">(U189*10^9)/$AA$190</f>
        <v>34.432783590988116</v>
      </c>
      <c r="W189" s="433"/>
      <c r="Y189" s="433"/>
      <c r="Z189" s="433"/>
      <c r="AA189" s="433"/>
      <c r="AB189" s="433"/>
    </row>
    <row r="190" spans="1:37">
      <c r="A190" s="433"/>
      <c r="B190" s="433"/>
      <c r="C190" s="433"/>
      <c r="D190" s="433"/>
      <c r="E190" s="433"/>
      <c r="F190" s="494" t="s">
        <v>138</v>
      </c>
      <c r="G190" s="495" t="s">
        <v>48</v>
      </c>
      <c r="H190" s="372" t="str">
        <f>IF($H$20=$G$190,F71,"  ")</f>
        <v xml:space="preserve">  </v>
      </c>
      <c r="I190" s="584" t="str">
        <f>IF($H$20=$G$190,G71,"  ")</f>
        <v xml:space="preserve">  </v>
      </c>
      <c r="J190" s="374" t="str">
        <f>IF($H$20=$G$190,F70,"  ")</f>
        <v xml:space="preserve">  </v>
      </c>
      <c r="K190" s="375" t="str">
        <f>IF($H$20=$G$190,G70,"  ")</f>
        <v xml:space="preserve">  </v>
      </c>
      <c r="L190" s="433"/>
      <c r="M190" s="872" t="s">
        <v>3290</v>
      </c>
      <c r="N190" s="863" t="s">
        <v>3333</v>
      </c>
      <c r="O190" s="864"/>
      <c r="P190" s="864"/>
      <c r="Q190" s="864"/>
      <c r="R190" s="886"/>
      <c r="S190" s="874">
        <v>10</v>
      </c>
      <c r="T190" s="865">
        <f t="shared" si="0"/>
        <v>149.70775474342659</v>
      </c>
      <c r="U190" s="874">
        <v>0.11</v>
      </c>
      <c r="V190" s="865">
        <f t="shared" si="1"/>
        <v>1.6467853021776924</v>
      </c>
      <c r="W190" s="433"/>
      <c r="X190" s="433" t="s">
        <v>241</v>
      </c>
      <c r="Y190" s="433"/>
      <c r="Z190" s="433"/>
      <c r="AA190" s="501">
        <v>66796807</v>
      </c>
      <c r="AB190" s="433"/>
    </row>
    <row r="191" spans="1:37">
      <c r="A191" s="433"/>
      <c r="B191" s="433"/>
      <c r="C191" s="433"/>
      <c r="D191" s="433"/>
      <c r="E191" s="433"/>
      <c r="F191" s="487" t="s">
        <v>138</v>
      </c>
      <c r="G191" s="464" t="s">
        <v>49</v>
      </c>
      <c r="H191" s="373" t="str">
        <f>IF($H$20=$G$191,N71," ")</f>
        <v xml:space="preserve"> </v>
      </c>
      <c r="I191" s="585" t="str">
        <f>IF($H$20=$G$191,O71," ")</f>
        <v xml:space="preserve"> </v>
      </c>
      <c r="J191" s="376" t="str">
        <f>IF($H$20=$G$191,N70," ")</f>
        <v xml:space="preserve"> </v>
      </c>
      <c r="K191" s="377" t="str">
        <f>IF($H$20=$G$191,O70," ")</f>
        <v xml:space="preserve"> </v>
      </c>
      <c r="L191" s="433"/>
      <c r="M191" s="877" t="s">
        <v>3290</v>
      </c>
      <c r="N191" s="887" t="s">
        <v>240</v>
      </c>
      <c r="O191" s="878"/>
      <c r="P191" s="878"/>
      <c r="Q191" s="878"/>
      <c r="R191" s="888"/>
      <c r="S191" s="879">
        <v>0.5</v>
      </c>
      <c r="T191" s="880">
        <f t="shared" si="0"/>
        <v>7.4853877371713295</v>
      </c>
      <c r="U191" s="879">
        <v>3.3000000000000002E-2</v>
      </c>
      <c r="V191" s="880">
        <f t="shared" si="1"/>
        <v>0.49403559065330771</v>
      </c>
      <c r="W191" s="433"/>
      <c r="X191" s="433"/>
      <c r="Y191" s="433"/>
      <c r="Z191" s="433"/>
      <c r="AA191" s="433"/>
      <c r="AB191" s="433"/>
    </row>
    <row r="192" spans="1:37">
      <c r="A192" s="433"/>
      <c r="B192" s="433"/>
      <c r="C192" s="433"/>
      <c r="D192" s="433"/>
      <c r="E192" s="433"/>
      <c r="F192" s="487" t="s">
        <v>138</v>
      </c>
      <c r="G192" s="464" t="s">
        <v>50</v>
      </c>
      <c r="H192" s="373" t="str">
        <f>IF($H$20=$G$192,V71," ")</f>
        <v xml:space="preserve"> </v>
      </c>
      <c r="I192" s="585" t="str">
        <f>IF($H$20=$G$192,W71," ")</f>
        <v xml:space="preserve"> </v>
      </c>
      <c r="J192" s="376" t="str">
        <f>IF($H$20=$G$192,V70," ")</f>
        <v xml:space="preserve"> </v>
      </c>
      <c r="K192" s="377" t="str">
        <f>IF($H$20=$G$192,W70," ")</f>
        <v xml:space="preserve"> </v>
      </c>
      <c r="L192" s="433"/>
      <c r="M192" s="871" t="s">
        <v>3289</v>
      </c>
      <c r="N192" s="860" t="s">
        <v>3334</v>
      </c>
      <c r="O192" s="861"/>
      <c r="P192" s="861"/>
      <c r="Q192" s="861"/>
      <c r="R192" s="885"/>
      <c r="S192" s="873">
        <v>34</v>
      </c>
      <c r="T192" s="862">
        <f t="shared" si="0"/>
        <v>509.00636612765038</v>
      </c>
      <c r="U192" s="873">
        <v>47</v>
      </c>
      <c r="V192" s="862">
        <f t="shared" si="1"/>
        <v>703.62644729410499</v>
      </c>
      <c r="W192" s="433"/>
      <c r="X192" s="433"/>
      <c r="Y192" s="433"/>
      <c r="Z192" s="433"/>
      <c r="AA192" s="156" t="s">
        <v>3469</v>
      </c>
      <c r="AB192" s="156" t="s">
        <v>3470</v>
      </c>
    </row>
    <row r="193" spans="1:28">
      <c r="A193" s="433"/>
      <c r="B193" s="433"/>
      <c r="C193" s="433"/>
      <c r="D193" s="433"/>
      <c r="E193" s="433"/>
      <c r="F193" s="487" t="s">
        <v>138</v>
      </c>
      <c r="G193" s="464" t="s">
        <v>51</v>
      </c>
      <c r="H193" s="373" t="str">
        <f>IF($H$20=$G$193,0," ")</f>
        <v xml:space="preserve"> </v>
      </c>
      <c r="I193" s="585" t="str">
        <f>IF($H$20=$G$193,0," ")</f>
        <v xml:space="preserve"> </v>
      </c>
      <c r="J193" s="376" t="str">
        <f>IF($H$20=$G$193,0," ")</f>
        <v xml:space="preserve"> </v>
      </c>
      <c r="K193" s="377" t="str">
        <f>IF($H$20=$G$193,0," ")</f>
        <v xml:space="preserve"> </v>
      </c>
      <c r="L193" s="433"/>
      <c r="M193" s="877" t="s">
        <v>3289</v>
      </c>
      <c r="N193" s="868" t="s">
        <v>3335</v>
      </c>
      <c r="O193" s="869"/>
      <c r="P193" s="878"/>
      <c r="Q193" s="878"/>
      <c r="R193" s="888"/>
      <c r="S193" s="876">
        <v>84</v>
      </c>
      <c r="T193" s="870">
        <f t="shared" si="0"/>
        <v>1257.5451398447833</v>
      </c>
      <c r="U193" s="876">
        <v>1.7</v>
      </c>
      <c r="V193" s="870">
        <f t="shared" si="1"/>
        <v>25.45031830638252</v>
      </c>
      <c r="W193" s="433"/>
      <c r="X193" s="433" t="s">
        <v>254</v>
      </c>
      <c r="Y193" s="433"/>
      <c r="Z193" s="433"/>
      <c r="AA193" s="156">
        <v>285</v>
      </c>
      <c r="AB193" s="156">
        <v>68</v>
      </c>
    </row>
    <row r="194" spans="1:28" ht="17" thickBot="1">
      <c r="A194" s="433"/>
      <c r="B194" s="433"/>
      <c r="C194" s="433"/>
      <c r="D194" s="433"/>
      <c r="E194" s="433"/>
      <c r="F194" s="487" t="s">
        <v>138</v>
      </c>
      <c r="G194" s="464" t="s">
        <v>52</v>
      </c>
      <c r="H194" s="373" t="str">
        <f>IF($H$20=$G$194,0," ")</f>
        <v xml:space="preserve"> </v>
      </c>
      <c r="I194" s="585" t="str">
        <f>IF($H$20=$G$194,0," ")</f>
        <v xml:space="preserve"> </v>
      </c>
      <c r="J194" s="376" t="str">
        <f>IF($H$20=$G$194,0," ")</f>
        <v xml:space="preserve"> </v>
      </c>
      <c r="K194" s="377" t="str">
        <f>IF($H$20=$G$194,0," ")</f>
        <v xml:space="preserve"> </v>
      </c>
      <c r="L194" s="433"/>
      <c r="M194" s="889" t="s">
        <v>3266</v>
      </c>
      <c r="N194" s="866" t="s">
        <v>3336</v>
      </c>
      <c r="O194" s="866"/>
      <c r="P194" s="324"/>
      <c r="Q194" s="324"/>
      <c r="R194" s="324"/>
      <c r="S194" s="875">
        <v>92</v>
      </c>
      <c r="T194" s="867">
        <f t="shared" si="0"/>
        <v>1377.3113436395245</v>
      </c>
      <c r="U194" s="875">
        <v>1.1000000000000001</v>
      </c>
      <c r="V194" s="867">
        <f t="shared" si="1"/>
        <v>16.467853021776925</v>
      </c>
      <c r="W194" s="433"/>
      <c r="X194" s="433" t="s">
        <v>255</v>
      </c>
      <c r="Y194" s="433"/>
      <c r="Z194" s="433"/>
      <c r="AA194" s="156">
        <v>32</v>
      </c>
      <c r="AB194" s="156"/>
    </row>
    <row r="195" spans="1:28" ht="17" thickBot="1">
      <c r="A195" s="433"/>
      <c r="B195" s="433"/>
      <c r="C195" s="433"/>
      <c r="D195" s="433"/>
      <c r="E195" s="433"/>
      <c r="F195" s="496" t="s">
        <v>138</v>
      </c>
      <c r="G195" s="497" t="s">
        <v>53</v>
      </c>
      <c r="H195" s="404" t="str">
        <f>IF($H$20=$G$195,0," ")</f>
        <v xml:space="preserve"> </v>
      </c>
      <c r="I195" s="586" t="str">
        <f>IF($H$20=$G$195,0," ")</f>
        <v xml:space="preserve"> </v>
      </c>
      <c r="J195" s="376" t="str">
        <f>IF($H$20=$G$195,0," ")</f>
        <v xml:space="preserve"> </v>
      </c>
      <c r="K195" s="377" t="str">
        <f>IF($H$20=$G$195,0," ")</f>
        <v xml:space="preserve"> </v>
      </c>
      <c r="L195" s="433"/>
      <c r="M195" s="897" t="s">
        <v>251</v>
      </c>
      <c r="N195" s="898" t="s">
        <v>3471</v>
      </c>
      <c r="O195" s="898"/>
      <c r="P195" s="898"/>
      <c r="Q195" s="898"/>
      <c r="R195" s="898"/>
      <c r="S195" s="899">
        <f>SUM($S$189:$S$194)</f>
        <v>354.5</v>
      </c>
      <c r="T195" s="900">
        <f>SUM(T189:T194)</f>
        <v>5307.1399056544724</v>
      </c>
      <c r="U195" s="896">
        <f>SUM($U$189:$U$194)</f>
        <v>52.243000000000002</v>
      </c>
      <c r="V195" s="900">
        <f>SUM(V189:V194)</f>
        <v>782.11822310608352</v>
      </c>
      <c r="W195" s="433"/>
      <c r="X195" s="433" t="s">
        <v>256</v>
      </c>
      <c r="Y195" s="433"/>
      <c r="Z195" s="433"/>
      <c r="AA195" s="156">
        <v>242</v>
      </c>
      <c r="AB195" s="156">
        <v>4.9000000000000004</v>
      </c>
    </row>
    <row r="196" spans="1:28">
      <c r="A196" s="433"/>
      <c r="B196" s="433"/>
      <c r="C196" s="433"/>
      <c r="D196" s="433"/>
      <c r="E196" s="433"/>
      <c r="F196" s="494" t="s">
        <v>139</v>
      </c>
      <c r="G196" s="495" t="s">
        <v>48</v>
      </c>
      <c r="H196" s="396" t="str">
        <f>IF(I81="Yes",F115," ")</f>
        <v xml:space="preserve"> </v>
      </c>
      <c r="I196" s="397" t="str">
        <f>IF(I81="Yes",G115," ")</f>
        <v xml:space="preserve"> </v>
      </c>
      <c r="J196" s="392" t="str">
        <f>IF(I81="Yes",F114," ")</f>
        <v xml:space="preserve"> </v>
      </c>
      <c r="K196" s="393" t="str">
        <f>IF(I81="Yes",G114," ")</f>
        <v xml:space="preserve"> </v>
      </c>
      <c r="L196" s="433"/>
      <c r="M196" s="902" t="s">
        <v>250</v>
      </c>
      <c r="N196" s="903" t="s">
        <v>3471</v>
      </c>
      <c r="O196" s="903"/>
      <c r="P196" s="903"/>
      <c r="Q196" s="903"/>
      <c r="R196" s="903"/>
      <c r="S196" s="904">
        <v>874</v>
      </c>
      <c r="T196" s="905">
        <f>(S196*10^9)/$AA$190</f>
        <v>13084.457764575483</v>
      </c>
      <c r="U196" s="904">
        <v>106</v>
      </c>
      <c r="V196" s="906">
        <f>(U196*10^9)/$AA$190</f>
        <v>1586.9022002803217</v>
      </c>
      <c r="W196" s="433"/>
      <c r="X196" s="433" t="s">
        <v>257</v>
      </c>
      <c r="Y196" s="433"/>
      <c r="Z196" s="433"/>
      <c r="AA196" s="156">
        <v>134</v>
      </c>
      <c r="AB196" s="156"/>
    </row>
    <row r="197" spans="1:28" ht="17" thickBot="1">
      <c r="A197" s="433"/>
      <c r="B197" s="433"/>
      <c r="C197" s="433"/>
      <c r="D197" s="433"/>
      <c r="E197" s="433"/>
      <c r="F197" s="496" t="s">
        <v>139</v>
      </c>
      <c r="G197" s="497" t="s">
        <v>49</v>
      </c>
      <c r="H197" s="398" t="str">
        <f>IF($R$81="Yes",O115," ")</f>
        <v xml:space="preserve"> </v>
      </c>
      <c r="I197" s="82" t="str">
        <f>IF($R$81="Yes",P115," ")</f>
        <v xml:space="preserve"> </v>
      </c>
      <c r="J197" s="394" t="str">
        <f>IF($R$81="Yes",O114," ")</f>
        <v xml:space="preserve"> </v>
      </c>
      <c r="K197" s="395" t="str">
        <f>IF($R$81="Yes",P114," ")</f>
        <v xml:space="preserve"> </v>
      </c>
      <c r="L197" s="433"/>
      <c r="M197" s="433"/>
      <c r="N197" s="433"/>
      <c r="O197" s="433"/>
      <c r="P197" s="433"/>
      <c r="Q197" s="433"/>
      <c r="R197" s="433"/>
      <c r="S197" s="433"/>
      <c r="T197" s="433"/>
      <c r="U197" s="433"/>
      <c r="V197" s="433"/>
      <c r="W197" s="433"/>
      <c r="X197" s="433" t="s">
        <v>258</v>
      </c>
      <c r="Y197" s="433"/>
      <c r="Z197" s="433"/>
      <c r="AA197" s="156">
        <v>32</v>
      </c>
      <c r="AB197" s="156">
        <v>13</v>
      </c>
    </row>
    <row r="198" spans="1:28">
      <c r="A198" s="433"/>
      <c r="B198" s="433"/>
      <c r="C198" s="433"/>
      <c r="D198" s="433"/>
      <c r="E198" s="433"/>
      <c r="F198" s="494" t="s">
        <v>3309</v>
      </c>
      <c r="G198" s="495"/>
      <c r="H198" s="399" t="e">
        <f>F157</f>
        <v>#N/A</v>
      </c>
      <c r="I198" s="400" t="e">
        <f>G157</f>
        <v>#N/A</v>
      </c>
      <c r="J198" s="388" t="e">
        <f>F156</f>
        <v>#N/A</v>
      </c>
      <c r="K198" s="389" t="e">
        <f>G156</f>
        <v>#N/A</v>
      </c>
      <c r="L198" s="433"/>
      <c r="M198" s="855" t="s">
        <v>3474</v>
      </c>
      <c r="N198" s="855" t="s">
        <v>3472</v>
      </c>
      <c r="O198" s="369"/>
      <c r="P198" s="369"/>
      <c r="Q198" s="881" t="s">
        <v>26</v>
      </c>
      <c r="R198" s="881" t="s">
        <v>25</v>
      </c>
      <c r="S198" s="433"/>
      <c r="T198" s="433"/>
      <c r="U198" s="433"/>
      <c r="V198" s="433"/>
      <c r="W198" s="433"/>
      <c r="X198" s="433" t="s">
        <v>259</v>
      </c>
      <c r="Y198" s="433"/>
      <c r="Z198" s="433"/>
      <c r="AA198" s="156">
        <v>99</v>
      </c>
      <c r="AB198" s="156">
        <v>2.2999999999999998</v>
      </c>
    </row>
    <row r="199" spans="1:28">
      <c r="A199" s="433"/>
      <c r="B199" s="433"/>
      <c r="C199" s="433"/>
      <c r="D199" s="433"/>
      <c r="E199" s="433"/>
      <c r="F199" s="487" t="s">
        <v>3310</v>
      </c>
      <c r="G199" s="464"/>
      <c r="H199" s="380" t="str">
        <f>IF($P$124="Yes",N157," ")</f>
        <v xml:space="preserve"> </v>
      </c>
      <c r="I199" s="381" t="str">
        <f>IF($P$124="Yes",O157," ")</f>
        <v xml:space="preserve"> </v>
      </c>
      <c r="J199" s="378" t="str">
        <f>IF($P$124="Yes",N156," ")</f>
        <v xml:space="preserve"> </v>
      </c>
      <c r="K199" s="379" t="str">
        <f>IF($P$124="Yes",O156," ")</f>
        <v xml:space="preserve"> </v>
      </c>
      <c r="L199" s="433"/>
      <c r="M199" s="895" t="s">
        <v>3290</v>
      </c>
      <c r="N199" s="892" t="s">
        <v>260</v>
      </c>
      <c r="O199" s="893"/>
      <c r="P199" s="894"/>
      <c r="Q199" s="901">
        <v>10699</v>
      </c>
      <c r="R199" s="901">
        <v>203331</v>
      </c>
      <c r="S199" s="433"/>
      <c r="T199" s="433"/>
      <c r="U199" s="433"/>
      <c r="V199" s="433"/>
      <c r="W199" s="433"/>
      <c r="X199" s="433" t="s">
        <v>260</v>
      </c>
      <c r="Y199" s="433"/>
      <c r="Z199" s="433"/>
      <c r="AA199" s="156"/>
      <c r="AB199" s="156">
        <v>12</v>
      </c>
    </row>
    <row r="200" spans="1:28">
      <c r="A200" s="433"/>
      <c r="B200" s="433"/>
      <c r="C200" s="433"/>
      <c r="D200" s="433"/>
      <c r="E200" s="433"/>
      <c r="F200" s="487" t="s">
        <v>3311</v>
      </c>
      <c r="G200" s="464"/>
      <c r="H200" s="380" t="str">
        <f>IF($V$124="Yes",U157," ")</f>
        <v xml:space="preserve"> </v>
      </c>
      <c r="I200" s="381" t="str">
        <f>IF($V$124="Yes",V157," ")</f>
        <v xml:space="preserve"> </v>
      </c>
      <c r="J200" s="378" t="str">
        <f>IF($V$124="Yes",U156," ")</f>
        <v xml:space="preserve"> </v>
      </c>
      <c r="K200" s="379" t="str">
        <f>IF($V$124="Yes",V156," ")</f>
        <v xml:space="preserve"> </v>
      </c>
      <c r="L200" s="433"/>
      <c r="M200" s="887" t="s">
        <v>3289</v>
      </c>
      <c r="N200" s="868" t="s">
        <v>3480</v>
      </c>
      <c r="O200" s="869"/>
      <c r="P200" s="891"/>
      <c r="Q200" s="901">
        <v>13950</v>
      </c>
      <c r="R200" s="901">
        <v>85753</v>
      </c>
      <c r="S200" s="433"/>
      <c r="T200" s="433"/>
      <c r="U200" s="433"/>
      <c r="V200" s="433"/>
      <c r="W200" s="433"/>
      <c r="X200" s="433" t="s">
        <v>261</v>
      </c>
      <c r="Y200" s="433"/>
      <c r="Z200" s="433"/>
      <c r="AA200" s="156"/>
      <c r="AB200" s="156">
        <v>6.4</v>
      </c>
    </row>
    <row r="201" spans="1:28" ht="17" thickBot="1">
      <c r="A201" s="433"/>
      <c r="B201" s="433"/>
      <c r="C201" s="433"/>
      <c r="D201" s="433"/>
      <c r="E201" s="433"/>
      <c r="F201" s="496" t="s">
        <v>3312</v>
      </c>
      <c r="G201" s="497"/>
      <c r="H201" s="401" t="str">
        <f>IF($AC$124="Yes",AA157," ")</f>
        <v xml:space="preserve"> </v>
      </c>
      <c r="I201" s="229" t="str">
        <f>IF($AC$124="Yes",AB157," ")</f>
        <v xml:space="preserve"> </v>
      </c>
      <c r="J201" s="390" t="str">
        <f>IF($AC$124="Yes",AA156," ")</f>
        <v xml:space="preserve"> </v>
      </c>
      <c r="K201" s="391" t="str">
        <f>IF($AC$124="Yes",AB156," ")</f>
        <v xml:space="preserve"> </v>
      </c>
      <c r="L201" s="433"/>
      <c r="M201" s="868" t="s">
        <v>3266</v>
      </c>
      <c r="N201" s="892" t="s">
        <v>260</v>
      </c>
      <c r="O201" s="869"/>
      <c r="P201" s="891"/>
      <c r="Q201" s="901">
        <v>10699</v>
      </c>
      <c r="R201" s="901">
        <v>203331</v>
      </c>
      <c r="S201" s="433"/>
      <c r="T201" s="433"/>
      <c r="U201" s="433"/>
      <c r="V201" s="433"/>
      <c r="W201" s="433"/>
      <c r="X201" s="433"/>
      <c r="Y201" s="433"/>
      <c r="Z201" s="433"/>
      <c r="AA201" s="502">
        <f>SUM(AA193:AA200)</f>
        <v>824</v>
      </c>
      <c r="AB201" s="502">
        <f>SUM(AB193:AB200)</f>
        <v>106.60000000000001</v>
      </c>
    </row>
    <row r="202" spans="1:28">
      <c r="A202" s="433"/>
      <c r="B202" s="433"/>
      <c r="C202" s="433"/>
      <c r="D202" s="433"/>
      <c r="E202" s="433"/>
      <c r="F202" s="494" t="s">
        <v>3313</v>
      </c>
      <c r="G202" s="495"/>
      <c r="H202" s="402" t="str">
        <f>IF($H$166="Yes",F184," ")</f>
        <v xml:space="preserve"> </v>
      </c>
      <c r="I202" s="403" t="str">
        <f>IF($H$166="Yes",G184," ")</f>
        <v xml:space="preserve"> </v>
      </c>
      <c r="J202" s="384" t="str">
        <f>IF($H$166="Yes",F183," ")</f>
        <v xml:space="preserve"> </v>
      </c>
      <c r="K202" s="385" t="str">
        <f>IF($H$166="Yes",G183," ")</f>
        <v xml:space="preserve"> </v>
      </c>
      <c r="L202" s="433"/>
      <c r="M202" s="884" t="s">
        <v>251</v>
      </c>
      <c r="N202" s="883" t="s">
        <v>3479</v>
      </c>
      <c r="O202" s="883"/>
      <c r="P202" s="883"/>
      <c r="Q202" s="882">
        <f>((SUM(T189:T191)*Q199)+(SUM(T192:T193)*Q200)+(T194*Q201))/10^6</f>
        <v>62.524148796513579</v>
      </c>
      <c r="R202" s="882">
        <f>((SUM(V189:V191)*R199)+(SUM(V192:V193)*R200)+(V194*R201))/10^6</f>
        <v>73.305492476608961</v>
      </c>
      <c r="S202" s="433"/>
      <c r="T202" s="433"/>
      <c r="U202" s="433"/>
      <c r="V202" s="433"/>
      <c r="W202" s="433"/>
      <c r="X202" s="212" t="s">
        <v>251</v>
      </c>
      <c r="Y202" s="212"/>
      <c r="Z202" s="212"/>
      <c r="AA202" s="797">
        <f>SUM($S$189:$S$194)</f>
        <v>354.5</v>
      </c>
      <c r="AB202" s="797">
        <f>SUM($U$189:$U$194)</f>
        <v>52.243000000000002</v>
      </c>
    </row>
    <row r="203" spans="1:28" ht="17" thickBot="1">
      <c r="A203" s="433"/>
      <c r="B203" s="433"/>
      <c r="C203" s="433"/>
      <c r="D203" s="433"/>
      <c r="E203" s="433"/>
      <c r="F203" s="496" t="s">
        <v>3314</v>
      </c>
      <c r="G203" s="497"/>
      <c r="H203" s="382" t="str">
        <f>IF($P$166="Yes",N184," ")</f>
        <v xml:space="preserve"> </v>
      </c>
      <c r="I203" s="383" t="str">
        <f>IF($P$166="Yes",O184," ")</f>
        <v xml:space="preserve"> </v>
      </c>
      <c r="J203" s="386" t="str">
        <f>IF($P$166="Yes",N183," ")</f>
        <v xml:space="preserve"> </v>
      </c>
      <c r="K203" s="387" t="str">
        <f>IF($P$166="Yes",O183," ")</f>
        <v xml:space="preserve"> </v>
      </c>
      <c r="L203" s="433"/>
      <c r="M203" s="433"/>
      <c r="N203" s="433"/>
      <c r="O203" s="433"/>
      <c r="P203" s="433"/>
      <c r="Q203" s="433"/>
      <c r="R203" s="433"/>
      <c r="S203" s="433"/>
      <c r="T203" s="433"/>
      <c r="U203" s="433"/>
      <c r="V203" s="433"/>
      <c r="W203" s="433"/>
      <c r="X203" s="464"/>
      <c r="Y203" s="464"/>
      <c r="Z203" s="464"/>
      <c r="AA203" s="854">
        <f>$AA$202/$AA$201</f>
        <v>0.43021844660194175</v>
      </c>
      <c r="AB203" s="854">
        <f>$AB$202/$AB$201</f>
        <v>0.49008442776735456</v>
      </c>
    </row>
    <row r="204" spans="1:28" ht="17" customHeight="1" thickBot="1">
      <c r="A204" s="433"/>
      <c r="B204" s="433"/>
      <c r="C204" s="433"/>
      <c r="D204" s="433"/>
      <c r="E204" s="433"/>
      <c r="F204" s="433"/>
      <c r="G204" s="433"/>
      <c r="H204" s="505" t="e">
        <f>SUM(H190:H203)</f>
        <v>#N/A</v>
      </c>
      <c r="I204" s="505" t="e">
        <f>SUM(I190:I203)</f>
        <v>#N/A</v>
      </c>
      <c r="J204" s="507" t="e">
        <f>SUM(J190:J203)</f>
        <v>#N/A</v>
      </c>
      <c r="K204" s="507" t="e">
        <f>SUM(K190:K203)</f>
        <v>#N/A</v>
      </c>
      <c r="L204" s="433"/>
      <c r="M204" s="433"/>
      <c r="N204" s="433"/>
      <c r="O204" s="433"/>
      <c r="P204" s="433"/>
      <c r="Q204" s="433"/>
      <c r="R204" s="433"/>
      <c r="S204" s="1440" t="e">
        <f>ROUND(100*($H$204+$I$204)/($Q$202+$R$202),0)&amp;"%"</f>
        <v>#N/A</v>
      </c>
      <c r="T204" s="1440"/>
      <c r="U204" s="464"/>
      <c r="V204" s="464"/>
      <c r="W204" s="464"/>
      <c r="X204" s="464"/>
      <c r="Y204" s="464"/>
    </row>
    <row r="205" spans="1:28" ht="18" customHeight="1" thickTop="1" thickBot="1">
      <c r="A205" s="433"/>
      <c r="B205" s="433"/>
      <c r="C205" s="433"/>
      <c r="D205" s="433"/>
      <c r="E205" s="433"/>
      <c r="F205" s="433"/>
      <c r="G205" s="433"/>
      <c r="H205" s="834" t="e">
        <f>IF($H$204&gt;$Q$202, "&gt; Avg", "&lt; Avg")</f>
        <v>#N/A</v>
      </c>
      <c r="I205" s="834" t="e">
        <f>IF($I$204&gt;$R$202, "&gt; Avg", "&lt; Avg")</f>
        <v>#N/A</v>
      </c>
      <c r="J205" s="834" t="e">
        <f>IF($J$204&gt;$T$195, "&gt; Avg", "&lt; Avg")</f>
        <v>#N/A</v>
      </c>
      <c r="K205" s="834" t="e">
        <f>IF($K$204&gt;$V$195, "&gt; Avg", "&lt; Avg")</f>
        <v>#N/A</v>
      </c>
      <c r="L205" s="433"/>
      <c r="M205" s="433"/>
      <c r="N205" s="433"/>
      <c r="O205" s="433"/>
      <c r="P205" s="433"/>
      <c r="Q205" s="433"/>
      <c r="R205" s="433"/>
      <c r="S205" s="1440"/>
      <c r="T205" s="1440"/>
      <c r="U205" s="464"/>
      <c r="V205" s="464"/>
      <c r="W205" s="464"/>
      <c r="X205" s="464"/>
      <c r="Y205" s="464"/>
    </row>
    <row r="206" spans="1:28" ht="17" customHeight="1">
      <c r="A206" s="433"/>
      <c r="B206" s="433"/>
      <c r="C206" s="433"/>
      <c r="D206" s="156"/>
      <c r="E206" s="156"/>
      <c r="F206" s="433"/>
      <c r="G206" s="433"/>
      <c r="H206" s="433"/>
      <c r="I206" s="433"/>
      <c r="J206" s="433"/>
      <c r="K206" s="433"/>
      <c r="L206" s="433"/>
      <c r="M206" s="433"/>
      <c r="N206" s="433"/>
      <c r="O206" s="433"/>
      <c r="P206" s="433"/>
      <c r="Q206" s="464"/>
      <c r="R206" s="464"/>
      <c r="S206" s="1440"/>
      <c r="T206" s="1440"/>
      <c r="U206" s="464"/>
      <c r="V206" s="464"/>
      <c r="W206" s="464"/>
      <c r="X206" s="464"/>
      <c r="Y206" s="464"/>
    </row>
  </sheetData>
  <sheetProtection algorithmName="SHA-512" hashValue="sF+JTyt04cKf7HJe0wllse3W1jnmYuoJrubz4aOv4ce1DzzVTKA5I+R4rOZ0lXoKjjaFIsDjxC21GH87GhSTvA==" saltValue="JInS8IYnd9sKCDNakbBttA==" spinCount="100000" sheet="1" objects="1" scenarios="1" selectLockedCells="1" selectUnlockedCells="1"/>
  <mergeCells count="32">
    <mergeCell ref="B1:G3"/>
    <mergeCell ref="B7:B30"/>
    <mergeCell ref="F8:J9"/>
    <mergeCell ref="E12:F12"/>
    <mergeCell ref="G12:H12"/>
    <mergeCell ref="E23:F23"/>
    <mergeCell ref="G23:H23"/>
    <mergeCell ref="B33:B72"/>
    <mergeCell ref="E34:I35"/>
    <mergeCell ref="M34:Q35"/>
    <mergeCell ref="U34:Y35"/>
    <mergeCell ref="AC34:AG35"/>
    <mergeCell ref="AB37:AH37"/>
    <mergeCell ref="M38:N38"/>
    <mergeCell ref="X44:Y44"/>
    <mergeCell ref="B75:B115"/>
    <mergeCell ref="E76:I77"/>
    <mergeCell ref="N76:R77"/>
    <mergeCell ref="N84:O84"/>
    <mergeCell ref="E97:F97"/>
    <mergeCell ref="E101:F101"/>
    <mergeCell ref="Z119:AC120"/>
    <mergeCell ref="B160:B184"/>
    <mergeCell ref="E161:I162"/>
    <mergeCell ref="M161:Q162"/>
    <mergeCell ref="E169:F169"/>
    <mergeCell ref="M169:N169"/>
    <mergeCell ref="B188:D189"/>
    <mergeCell ref="B118:B157"/>
    <mergeCell ref="E119:I120"/>
    <mergeCell ref="M119:P120"/>
    <mergeCell ref="T119:V120"/>
  </mergeCells>
  <conditionalFormatting sqref="D34:J71">
    <cfRule type="expression" dxfId="151" priority="36">
      <formula>$H$20&lt;&gt;"Car"</formula>
    </cfRule>
  </conditionalFormatting>
  <conditionalFormatting sqref="L34:R71">
    <cfRule type="expression" dxfId="150" priority="35">
      <formula>$H$20&lt;&gt;"Bus"</formula>
    </cfRule>
  </conditionalFormatting>
  <conditionalFormatting sqref="T34:Z71">
    <cfRule type="expression" dxfId="149" priority="34">
      <formula>$H$20&lt;&gt;"Motorbike"</formula>
    </cfRule>
  </conditionalFormatting>
  <conditionalFormatting sqref="D83:J96 D98:J100 D97:E97 G97:J97 D102:J115 D101:E101 G101:J101">
    <cfRule type="expression" dxfId="148" priority="33">
      <formula>$I$81="No"</formula>
    </cfRule>
  </conditionalFormatting>
  <conditionalFormatting sqref="M83:S83 M85:S115 M84:N84 P84:S84">
    <cfRule type="expression" dxfId="147" priority="32">
      <formula>$R$81="No"</formula>
    </cfRule>
  </conditionalFormatting>
  <conditionalFormatting sqref="L126:Q157">
    <cfRule type="expression" dxfId="146" priority="31">
      <formula>$P$124="No"</formula>
    </cfRule>
  </conditionalFormatting>
  <conditionalFormatting sqref="S126:W157">
    <cfRule type="expression" dxfId="145" priority="30">
      <formula>$V$124="No"</formula>
    </cfRule>
  </conditionalFormatting>
  <conditionalFormatting sqref="Y126:AD157">
    <cfRule type="expression" dxfId="144" priority="29">
      <formula>$AC$124="No"</formula>
    </cfRule>
  </conditionalFormatting>
  <conditionalFormatting sqref="D168:J184">
    <cfRule type="expression" dxfId="143" priority="28">
      <formula>$H$166="No"</formula>
    </cfRule>
  </conditionalFormatting>
  <conditionalFormatting sqref="L168:R184">
    <cfRule type="expression" dxfId="142" priority="27">
      <formula>$P$166="No"</formula>
    </cfRule>
  </conditionalFormatting>
  <conditionalFormatting sqref="AB34:AH71">
    <cfRule type="expression" dxfId="141" priority="26">
      <formula>OR($H$20="Car",$H$20="Bus",$H$20="Motorbike")</formula>
    </cfRule>
  </conditionalFormatting>
  <conditionalFormatting sqref="H205">
    <cfRule type="containsText" dxfId="140" priority="9" operator="containsText" text="&lt; Avg">
      <formula>NOT(ISERROR(SEARCH("&lt; Avg",H205)))</formula>
    </cfRule>
    <cfRule type="containsText" dxfId="139" priority="10" operator="containsText" text="&gt; Avg">
      <formula>NOT(ISERROR(SEARCH("&gt; Avg",H205)))</formula>
    </cfRule>
  </conditionalFormatting>
  <conditionalFormatting sqref="I205">
    <cfRule type="containsText" dxfId="138" priority="7" operator="containsText" text="&lt; Avg">
      <formula>NOT(ISERROR(SEARCH("&lt; Avg",I205)))</formula>
    </cfRule>
    <cfRule type="containsText" dxfId="137" priority="8" operator="containsText" text="&gt; Avg">
      <formula>NOT(ISERROR(SEARCH("&gt; Avg",I205)))</formula>
    </cfRule>
  </conditionalFormatting>
  <conditionalFormatting sqref="J205">
    <cfRule type="containsText" dxfId="136" priority="5" operator="containsText" text="&lt; Avg">
      <formula>NOT(ISERROR(SEARCH("&lt; Avg",J205)))</formula>
    </cfRule>
    <cfRule type="containsText" dxfId="135" priority="6" operator="containsText" text="&gt; Avg">
      <formula>NOT(ISERROR(SEARCH("&gt; Avg",J205)))</formula>
    </cfRule>
  </conditionalFormatting>
  <conditionalFormatting sqref="K205">
    <cfRule type="containsText" dxfId="134" priority="3" operator="containsText" text="&lt; Avg">
      <formula>NOT(ISERROR(SEARCH("&lt; Avg",K205)))</formula>
    </cfRule>
    <cfRule type="containsText" dxfId="133" priority="4" operator="containsText" text="&gt; Avg">
      <formula>NOT(ISERROR(SEARCH("&gt; Avg",K205)))</formula>
    </cfRule>
  </conditionalFormatting>
  <conditionalFormatting sqref="E80:E81">
    <cfRule type="expression" dxfId="132" priority="2">
      <formula>$I$81="No"</formula>
    </cfRule>
  </conditionalFormatting>
  <conditionalFormatting sqref="N80:N81">
    <cfRule type="expression" dxfId="131" priority="1">
      <formula>$I$81="No"</formula>
    </cfRule>
  </conditionalFormatting>
  <dataValidations count="15">
    <dataValidation type="list" allowBlank="1" showInputMessage="1" showErrorMessage="1" sqref="I94" xr:uid="{F87B0402-7374-BE44-8D4C-41B29091DF6A}">
      <formula1>$G$90:$G$94</formula1>
    </dataValidation>
    <dataValidation type="list" allowBlank="1" showInputMessage="1" showErrorMessage="1" sqref="H166 P166" xr:uid="{6781954A-EE42-D742-9D53-4D8AA37148C2}">
      <formula1>$E$165:$E$166</formula1>
    </dataValidation>
    <dataValidation type="list" allowBlank="1" showInputMessage="1" showErrorMessage="1" sqref="AC124" xr:uid="{1A1E34DE-FBF3-5B48-BBC1-829FA2576F21}">
      <formula1>$Z$123:$Z$124</formula1>
    </dataValidation>
    <dataValidation type="list" allowBlank="1" showInputMessage="1" showErrorMessage="1" sqref="V128" xr:uid="{E9ECBE96-A58B-FE43-8E71-3C52940C3BCB}">
      <formula1>$T$127:$T$128</formula1>
    </dataValidation>
    <dataValidation type="list" allowBlank="1" showInputMessage="1" showErrorMessage="1" sqref="V124" xr:uid="{1880B580-02D2-8B48-8484-342385BDC2A4}">
      <formula1>$T$123:$T$124</formula1>
    </dataValidation>
    <dataValidation type="list" allowBlank="1" showInputMessage="1" showErrorMessage="1" sqref="I128" xr:uid="{87DCC4B5-E1FC-B047-AE18-72A36D880CD9}">
      <formula1>$F$123:$F$128</formula1>
    </dataValidation>
    <dataValidation type="list" allowBlank="1" showInputMessage="1" showErrorMessage="1" sqref="P124" xr:uid="{DC30DF44-3086-7342-9011-60B45D8301EE}">
      <formula1>$M$123:$M$124</formula1>
    </dataValidation>
    <dataValidation type="list" allowBlank="1" showInputMessage="1" showErrorMessage="1" sqref="P131" xr:uid="{6C373452-F54C-ED42-91EB-EF974771EC3F}">
      <formula1>$M$127:$M$130</formula1>
    </dataValidation>
    <dataValidation type="list" allowBlank="1" showInputMessage="1" showErrorMessage="1" sqref="I126" xr:uid="{A4EC5AC6-514B-3B4D-804D-2C26A4176FAE}">
      <formula1>$E$123:$E$125</formula1>
    </dataValidation>
    <dataValidation type="list" allowBlank="1" showInputMessage="1" showErrorMessage="1" sqref="H48" xr:uid="{13968040-E8FD-2E44-88E6-3B32FA07A040}">
      <formula1>$G$44:$G$48</formula1>
    </dataValidation>
    <dataValidation type="list" allowBlank="1" showInputMessage="1" showErrorMessage="1" sqref="X49" xr:uid="{3F18C6F3-BB21-3B44-AC90-E4E99D8A4CF0}">
      <formula1>$W$47:$W$49</formula1>
    </dataValidation>
    <dataValidation type="list" allowBlank="1" showInputMessage="1" showErrorMessage="1" sqref="I81 Q42 AF41 R81" xr:uid="{6A79E747-68F9-2E41-8B9B-ED6FE665F419}">
      <formula1>$F$80:$F$81</formula1>
    </dataValidation>
    <dataValidation type="list" allowBlank="1" showInputMessage="1" showErrorMessage="1" sqref="H20" xr:uid="{1076C591-BE77-9246-BA87-E3F3B4230B8C}">
      <formula1>$F$15:$F$20</formula1>
    </dataValidation>
    <dataValidation type="list" allowBlank="1" showInputMessage="1" showErrorMessage="1" sqref="X44:Y44" xr:uid="{61E63946-7870-D840-94D3-7AFDD2CC24CC}">
      <formula1>$V$38:$V$44</formula1>
    </dataValidation>
    <dataValidation type="list" allowBlank="1" showInputMessage="1" showErrorMessage="1" sqref="H41 I87" xr:uid="{5A196316-C34F-C245-A10F-26FA13294444}">
      <formula1>$F$38:$F$41</formula1>
    </dataValidation>
  </dataValidations>
  <pageMargins left="0.7" right="0.7" top="0.75" bottom="0.75" header="0.3" footer="0.3"/>
  <pageSetup paperSize="9" scale="84" orientation="portrait" horizontalDpi="0" verticalDpi="0"/>
  <extLst>
    <ext xmlns:x14="http://schemas.microsoft.com/office/spreadsheetml/2009/9/main" uri="{CCE6A557-97BC-4b89-ADB6-D9C93CAAB3DF}">
      <x14:dataValidations xmlns:xm="http://schemas.microsoft.com/office/excel/2006/main" count="6">
        <x14:dataValidation type="list" allowBlank="1" showInputMessage="1" showErrorMessage="1" xr:uid="{6A77B471-9B81-F649-8A02-3E06F7C495A4}">
          <x14:formula1>
            <xm:f>Outward!$D$1:$D$169</xm:f>
          </x14:formula1>
          <xm:sqref>N134:N135</xm:sqref>
        </x14:dataValidation>
        <x14:dataValidation type="list" allowBlank="1" showInputMessage="1" showErrorMessage="1" xr:uid="{441E12AB-BA04-8B4B-B9CD-0AE299632C55}">
          <x14:formula1>
            <xm:f>Outward!$D$2:$D$201</xm:f>
          </x14:formula1>
          <xm:sqref>G169 O169</xm:sqref>
        </x14:dataValidation>
        <x14:dataValidation type="list" allowBlank="1" showInputMessage="1" showErrorMessage="1" xr:uid="{2B5C4EAC-3349-E247-806F-32CB12D54799}">
          <x14:formula1>
            <xm:f>Outward!$D$2:$D$21</xm:f>
          </x14:formula1>
          <xm:sqref>G129</xm:sqref>
        </x14:dataValidation>
        <x14:dataValidation type="list" allowBlank="1" showInputMessage="1" showErrorMessage="1" xr:uid="{4677CF95-8EDD-3741-AD7C-784D2BC8E90A}">
          <x14:formula1>
            <xm:f>Outward!$D$2:$D$11</xm:f>
          </x14:formula1>
          <xm:sqref>G54 G101</xm:sqref>
        </x14:dataValidation>
        <x14:dataValidation type="list" allowBlank="1" showInputMessage="1" showErrorMessage="1" xr:uid="{7EB0B9A3-92E1-FC45-86C3-9741DF751150}">
          <x14:formula1>
            <xm:f>Outward!$D$2:$D$169</xm:f>
          </x14:formula1>
          <xm:sqref>P84 G97 W53 O38 G51</xm:sqref>
        </x14:dataValidation>
        <x14:dataValidation type="list" allowBlank="1" showInputMessage="1" showErrorMessage="1" xr:uid="{07C57C87-C5C2-2E4F-B406-EB8F0F40943D}">
          <x14:formula1>
            <xm:f>Outward!$B$2:$B$2983</xm:f>
          </x14:formula1>
          <xm:sqref>G12:H12 G23:H23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C122-CE02-4D4B-B450-2695DD01CA74}">
  <sheetPr codeName="Sheet8">
    <tabColor theme="1"/>
  </sheetPr>
  <dimension ref="C1:DG92"/>
  <sheetViews>
    <sheetView topLeftCell="BW1" zoomScale="43" zoomScaleNormal="100" workbookViewId="0">
      <selection activeCell="CM3" sqref="CM3"/>
    </sheetView>
  </sheetViews>
  <sheetFormatPr baseColWidth="10" defaultRowHeight="16"/>
  <cols>
    <col min="1" max="1" width="10.83203125" style="105"/>
    <col min="2" max="2" width="7.6640625" style="105" customWidth="1"/>
    <col min="3" max="3" width="13.33203125" style="105" customWidth="1"/>
    <col min="4" max="4" width="9.5" style="105" customWidth="1"/>
    <col min="5" max="5" width="15.33203125" style="105" customWidth="1"/>
    <col min="6" max="6" width="13.6640625" style="105" customWidth="1"/>
    <col min="7" max="7" width="7.6640625" style="105" customWidth="1"/>
    <col min="8" max="8" width="10.83203125" style="105"/>
    <col min="9" max="9" width="10.6640625" style="105" customWidth="1"/>
    <col min="10" max="10" width="2.83203125" style="105" customWidth="1"/>
    <col min="11" max="11" width="8.6640625" style="105" customWidth="1"/>
    <col min="12" max="12" width="10" style="105" customWidth="1"/>
    <col min="13" max="13" width="10.6640625" style="105" customWidth="1"/>
    <col min="14" max="14" width="5.6640625" style="105" customWidth="1"/>
    <col min="15" max="15" width="9" style="105" customWidth="1"/>
    <col min="16" max="16" width="12.6640625" style="105" customWidth="1"/>
    <col min="17" max="17" width="11.33203125" style="105" customWidth="1"/>
    <col min="18" max="18" width="4" style="105" customWidth="1"/>
    <col min="19" max="19" width="12.1640625" style="105" customWidth="1"/>
    <col min="20" max="20" width="10.1640625" style="105" customWidth="1"/>
    <col min="21" max="21" width="14.6640625" style="105" customWidth="1"/>
    <col min="22" max="22" width="10.6640625" style="105" customWidth="1"/>
    <col min="23" max="23" width="8.33203125" style="105" customWidth="1"/>
    <col min="24" max="24" width="4.6640625" style="105" customWidth="1"/>
    <col min="25" max="25" width="15.83203125" style="105" customWidth="1"/>
    <col min="26" max="26" width="20" style="105" customWidth="1"/>
    <col min="27" max="27" width="13.6640625" style="105" customWidth="1"/>
    <col min="28" max="28" width="12.5" style="105" customWidth="1"/>
    <col min="29" max="29" width="10.1640625" style="105" customWidth="1"/>
    <col min="30" max="30" width="15.5" style="105" customWidth="1"/>
    <col min="31" max="31" width="6.1640625" style="105" customWidth="1"/>
    <col min="32" max="32" width="5" style="105" customWidth="1"/>
    <col min="33" max="33" width="10.83203125" style="105"/>
    <col min="34" max="34" width="10.83203125" style="176"/>
    <col min="35" max="36" width="10.83203125" style="105"/>
    <col min="37" max="37" width="12.1640625" style="105" customWidth="1"/>
    <col min="38" max="38" width="7.1640625" style="105" customWidth="1"/>
    <col min="39" max="39" width="6.1640625" style="105" customWidth="1"/>
    <col min="40" max="40" width="7.5" style="105" customWidth="1"/>
    <col min="41" max="41" width="2.5" style="105" customWidth="1"/>
    <col min="42" max="42" width="10.83203125" style="105"/>
    <col min="43" max="43" width="11.6640625" style="105" customWidth="1"/>
    <col min="44" max="44" width="12" style="105" customWidth="1"/>
    <col min="45" max="45" width="1.6640625" style="105" customWidth="1"/>
    <col min="46" max="46" width="7.6640625" style="105" customWidth="1"/>
    <col min="47" max="47" width="14.1640625" style="105" customWidth="1"/>
    <col min="48" max="48" width="12.6640625" style="105" customWidth="1"/>
    <col min="49" max="49" width="3.33203125" style="105" customWidth="1"/>
    <col min="50" max="50" width="8" style="105" customWidth="1"/>
    <col min="51" max="51" width="7.33203125" style="105" customWidth="1"/>
    <col min="52" max="52" width="15" style="105" bestFit="1" customWidth="1"/>
    <col min="53" max="53" width="9.33203125" style="105" customWidth="1"/>
    <col min="54" max="54" width="10.83203125" style="105" customWidth="1"/>
    <col min="55" max="55" width="3.5" style="105" customWidth="1"/>
    <col min="56" max="56" width="12" style="105" customWidth="1"/>
    <col min="57" max="57" width="19.1640625" style="105" customWidth="1"/>
    <col min="58" max="58" width="12.33203125" style="105" bestFit="1" customWidth="1"/>
    <col min="59" max="60" width="11.1640625" style="105" customWidth="1"/>
    <col min="61" max="61" width="11.83203125" style="105" customWidth="1"/>
    <col min="62" max="62" width="6" style="105" customWidth="1"/>
    <col min="63" max="63" width="5.33203125" style="105" customWidth="1"/>
    <col min="64" max="64" width="5.1640625" style="105" customWidth="1"/>
    <col min="65" max="72" width="10.83203125" style="105"/>
    <col min="73" max="73" width="14.33203125" style="105" customWidth="1"/>
    <col min="74" max="74" width="10.83203125" style="105"/>
    <col min="75" max="75" width="13.1640625" style="105" customWidth="1"/>
    <col min="76" max="76" width="13.33203125" style="105" customWidth="1"/>
    <col min="77" max="77" width="8.83203125" style="105" customWidth="1"/>
    <col min="78" max="78" width="10.83203125" style="105"/>
    <col min="79" max="79" width="12.83203125" style="105" customWidth="1"/>
    <col min="80" max="80" width="9.5" style="105" customWidth="1"/>
    <col min="81" max="81" width="7.6640625" style="105" customWidth="1"/>
    <col min="82" max="82" width="13" style="105" customWidth="1"/>
    <col min="83" max="83" width="16.6640625" style="105" customWidth="1"/>
    <col min="84" max="84" width="17.1640625" style="105" customWidth="1"/>
    <col min="85" max="85" width="14.1640625" style="105" customWidth="1"/>
    <col min="86" max="86" width="7.83203125" style="105" customWidth="1"/>
    <col min="87" max="91" width="10.83203125" style="105"/>
    <col min="92" max="92" width="21.6640625" style="105" customWidth="1"/>
    <col min="93" max="95" width="10.83203125" style="105"/>
    <col min="96" max="96" width="4.5" style="105" customWidth="1"/>
    <col min="97" max="97" width="10.83203125" style="105"/>
    <col min="98" max="98" width="15.1640625" style="105" customWidth="1"/>
    <col min="99" max="99" width="10.83203125" style="105"/>
    <col min="100" max="100" width="5.1640625" style="105" customWidth="1"/>
    <col min="101" max="101" width="10.83203125" style="105"/>
    <col min="102" max="102" width="14.33203125" style="105" customWidth="1"/>
    <col min="103" max="103" width="14.1640625" style="105" customWidth="1"/>
    <col min="104" max="104" width="4.83203125" style="105" customWidth="1"/>
    <col min="105" max="105" width="10.83203125" style="105"/>
    <col min="106" max="106" width="16.83203125" style="105" customWidth="1"/>
    <col min="107" max="107" width="13.6640625" style="105" customWidth="1"/>
    <col min="108" max="108" width="11.6640625" style="105" bestFit="1" customWidth="1"/>
    <col min="109" max="109" width="8.83203125" style="105" customWidth="1"/>
    <col min="110" max="110" width="9.1640625" style="105" customWidth="1"/>
    <col min="111" max="16384" width="10.83203125" style="105"/>
  </cols>
  <sheetData>
    <row r="1" spans="3:111" s="176" customFormat="1"/>
    <row r="2" spans="3:111" ht="47">
      <c r="C2" s="472"/>
      <c r="D2" s="472" t="s">
        <v>3769</v>
      </c>
      <c r="AJ2" s="472" t="s">
        <v>3770</v>
      </c>
      <c r="AL2" s="472"/>
      <c r="BP2" s="472" t="s">
        <v>3771</v>
      </c>
      <c r="CM2" s="472" t="s">
        <v>3772</v>
      </c>
    </row>
    <row r="4" spans="3:111" ht="17" thickBot="1">
      <c r="D4" s="2129" t="str">
        <f>'Iteration II Simulation'!D11</f>
        <v>Q1</v>
      </c>
      <c r="E4" s="2129"/>
      <c r="F4" s="2129"/>
      <c r="G4" s="106"/>
      <c r="H4" s="2129" t="str">
        <f>'Iteration II Simulation'!D14</f>
        <v>Q2</v>
      </c>
      <c r="I4" s="2129"/>
      <c r="J4" s="2129"/>
      <c r="K4" s="114"/>
      <c r="L4" s="114"/>
    </row>
    <row r="5" spans="3:111" ht="17" customHeight="1" thickTop="1">
      <c r="D5" s="2053" t="str">
        <f>'Iteration II Simulation'!E11</f>
        <v>Please enter the outward postcode (First 3-4 characters of your postcode) of the area in which your residence is located.</v>
      </c>
      <c r="E5" s="2053"/>
      <c r="F5" s="2053"/>
      <c r="G5" s="109"/>
      <c r="H5" s="2053" t="str">
        <f>'Iteration II Simulation'!E14</f>
        <v>How do you usually commute to work, college or school?</v>
      </c>
      <c r="I5" s="2053"/>
      <c r="J5" s="2053"/>
      <c r="K5" s="115"/>
      <c r="L5" s="115"/>
    </row>
    <row r="6" spans="3:111" ht="17" customHeight="1">
      <c r="D6" s="2053"/>
      <c r="E6" s="2053"/>
      <c r="F6" s="2053"/>
      <c r="G6" s="106"/>
      <c r="H6" s="2053"/>
      <c r="I6" s="2053"/>
      <c r="J6" s="2053"/>
    </row>
    <row r="7" spans="3:111" ht="17" thickBot="1">
      <c r="D7" s="2053"/>
      <c r="E7" s="2053"/>
      <c r="F7" s="2053"/>
      <c r="I7" s="131"/>
    </row>
    <row r="8" spans="3:111" ht="18" thickTop="1" thickBot="1">
      <c r="D8" s="108"/>
      <c r="E8" s="106"/>
      <c r="F8" s="176"/>
      <c r="G8" s="108"/>
      <c r="H8" s="2143" t="s">
        <v>157</v>
      </c>
      <c r="I8" s="2144"/>
      <c r="J8" s="112"/>
      <c r="K8" s="2134"/>
      <c r="L8" s="2134"/>
      <c r="M8" s="126"/>
      <c r="N8" s="112"/>
      <c r="O8" s="112"/>
      <c r="P8" s="112"/>
      <c r="Q8" s="112"/>
      <c r="R8" s="112"/>
      <c r="S8" s="2065" t="str">
        <f>'Iteration II Simulation'!D37</f>
        <v>Q3</v>
      </c>
      <c r="T8" s="2065"/>
      <c r="U8" s="112"/>
      <c r="V8" s="2065" t="str">
        <f>'Iteration II Simulation'!D43</f>
        <v>Q4</v>
      </c>
      <c r="W8" s="2065"/>
      <c r="X8" s="112"/>
      <c r="Y8" s="2065" t="str">
        <f>'Iteration II Simulation'!D50</f>
        <v>Q5</v>
      </c>
      <c r="Z8" s="2065"/>
      <c r="AA8" s="112"/>
      <c r="AB8" s="2065" t="str">
        <f>'Iteration II Simulation'!D54</f>
        <v>Q6</v>
      </c>
      <c r="AC8" s="2065"/>
      <c r="AD8" s="2065"/>
      <c r="AG8" s="2072" t="s">
        <v>84</v>
      </c>
      <c r="AH8" s="471"/>
      <c r="AI8" s="116"/>
      <c r="AM8" s="112"/>
      <c r="AN8" s="2035" t="s">
        <v>88</v>
      </c>
      <c r="AO8" s="112"/>
      <c r="AP8" s="143"/>
      <c r="AQ8" s="143"/>
      <c r="AR8" s="126"/>
      <c r="AS8" s="112"/>
      <c r="AT8" s="112"/>
      <c r="AU8" s="112"/>
      <c r="AV8" s="112"/>
      <c r="AW8" s="112"/>
      <c r="AX8" s="2065" t="str">
        <f>'Iteration II Simulation'!D84</f>
        <v>Q12</v>
      </c>
      <c r="AY8" s="2065"/>
      <c r="AZ8" s="112"/>
      <c r="BA8" s="2065" t="str">
        <f>'Iteration II Simulation'!D90</f>
        <v>Q13</v>
      </c>
      <c r="BB8" s="2065"/>
      <c r="BC8" s="112"/>
      <c r="BD8" s="2065" t="str">
        <f>'Iteration II Simulation'!D97</f>
        <v>Q14</v>
      </c>
      <c r="BE8" s="2065"/>
      <c r="BF8" s="2065"/>
      <c r="BG8" s="112"/>
      <c r="BH8" s="2065" t="str">
        <f>'Iteration II Simulation'!D101</f>
        <v>Q15</v>
      </c>
      <c r="BI8" s="2065"/>
      <c r="BJ8" s="2065"/>
      <c r="BK8" s="176"/>
      <c r="BL8" s="176"/>
      <c r="BM8" s="2072" t="str">
        <f>'Iteration II Simulation'!M79</f>
        <v>Q16</v>
      </c>
      <c r="BP8" s="2065" t="str">
        <f>'Iteration II Simulation'!D122</f>
        <v>Q18</v>
      </c>
      <c r="BQ8" s="2065"/>
      <c r="BR8" s="2065"/>
      <c r="BS8" s="112"/>
      <c r="BT8" s="112"/>
      <c r="BU8" s="176"/>
      <c r="BV8" s="176"/>
      <c r="BW8" s="112"/>
      <c r="BX8" s="2065" t="str">
        <f>'Iteration II Simulation'!D128</f>
        <v>Q19</v>
      </c>
      <c r="BY8" s="2065"/>
      <c r="BZ8" s="2065"/>
      <c r="CA8" s="112"/>
      <c r="CB8" s="112"/>
      <c r="CC8" s="112"/>
      <c r="CD8" s="112"/>
      <c r="CE8" s="112"/>
      <c r="CF8" s="112"/>
      <c r="CG8" s="112"/>
      <c r="CH8" s="112"/>
      <c r="CI8" s="126"/>
      <c r="CJ8" s="2072" t="str">
        <f>'Iteration II Simulation'!L122</f>
        <v>Q20</v>
      </c>
      <c r="CM8" s="176"/>
      <c r="CN8" s="176"/>
      <c r="CO8" s="176"/>
      <c r="CP8" s="112"/>
      <c r="CQ8" s="2035" t="s">
        <v>88</v>
      </c>
      <c r="CR8" s="126"/>
      <c r="CS8" s="112"/>
      <c r="CT8" s="112"/>
      <c r="CU8" s="112"/>
      <c r="CV8" s="112"/>
      <c r="CW8" s="112"/>
      <c r="CX8" s="112"/>
      <c r="CY8" s="112"/>
      <c r="CZ8" s="112"/>
      <c r="DA8" s="2065" t="str">
        <f>'Iteration II Simulation'!D169</f>
        <v>Q27</v>
      </c>
      <c r="DB8" s="2065"/>
      <c r="DC8" s="2065"/>
      <c r="DD8" s="112"/>
      <c r="DE8" s="126"/>
      <c r="DF8" s="106"/>
      <c r="DG8" s="2072" t="str">
        <f>'Iteration II Simulation'!L164</f>
        <v>Q28</v>
      </c>
    </row>
    <row r="9" spans="3:111" ht="18" customHeight="1" thickTop="1" thickBot="1">
      <c r="D9" s="2081" t="s">
        <v>158</v>
      </c>
      <c r="E9" s="2082"/>
      <c r="F9" s="2083"/>
      <c r="G9" s="108"/>
      <c r="H9" s="2147"/>
      <c r="I9" s="2148"/>
      <c r="J9" s="106"/>
      <c r="L9" s="111"/>
      <c r="P9" s="111"/>
      <c r="S9" s="2053" t="str">
        <f>'Iteration II Simulation'!E37</f>
        <v>What type of car do you have?</v>
      </c>
      <c r="T9" s="2053"/>
      <c r="V9" s="2053" t="str">
        <f>'Iteration II Simulation'!E43</f>
        <v>How old is your car?</v>
      </c>
      <c r="W9" s="2053"/>
      <c r="Y9" s="2053" t="str">
        <f>'Iteration II Simulation'!E50</f>
        <v>On average, how many hours do you usually spend in your car for commuting each week?</v>
      </c>
      <c r="Z9" s="2053"/>
      <c r="AB9" s="2053" t="str">
        <f>'Iteration II Simulation'!E54</f>
        <v>How many people usually travel with you to the same place of work, college or school?</v>
      </c>
      <c r="AC9" s="2053"/>
      <c r="AD9" s="2053"/>
      <c r="AE9" s="109"/>
      <c r="AF9" s="129"/>
      <c r="AG9" s="2072"/>
      <c r="AH9" s="471"/>
      <c r="AI9" s="115"/>
      <c r="AM9" s="111"/>
      <c r="AN9" s="2035"/>
      <c r="AQ9" s="111"/>
      <c r="AU9" s="111"/>
      <c r="AX9" s="2053" t="str">
        <f>'Iteration II Simulation'!E84</f>
        <v>What type of car do you have?</v>
      </c>
      <c r="AY9" s="2053"/>
      <c r="BA9" s="2053" t="str">
        <f>'Iteration II Simulation'!E90</f>
        <v>How old is your car?</v>
      </c>
      <c r="BB9" s="2053"/>
      <c r="BD9" s="2053" t="str">
        <f>'Iteration II Simulation'!E97</f>
        <v>On average, how many hours do you usually spend in your car outside of commuting each week?</v>
      </c>
      <c r="BE9" s="2053"/>
      <c r="BF9" s="2053"/>
      <c r="BH9" s="2053" t="str">
        <f>'Iteration II Simulation'!E101</f>
        <v>How many people are usually with you in the car at the same time?</v>
      </c>
      <c r="BI9" s="2053"/>
      <c r="BJ9" s="2053"/>
      <c r="BK9" s="109"/>
      <c r="BL9" s="129"/>
      <c r="BM9" s="2072"/>
      <c r="BP9" s="2053" t="str">
        <f>'Iteration II Simulation'!E122</f>
        <v>What is the size of your residence?</v>
      </c>
      <c r="BQ9" s="2053"/>
      <c r="BR9" s="2053"/>
      <c r="BS9" s="176"/>
      <c r="BT9" s="176"/>
      <c r="BU9" s="121"/>
      <c r="BV9" s="152"/>
      <c r="BW9" s="176"/>
      <c r="BX9" s="2053" t="str">
        <f>'Iteration II Simulation'!E128</f>
        <v>How many adults do you live with?</v>
      </c>
      <c r="BY9" s="2053"/>
      <c r="BZ9" s="2053"/>
      <c r="CA9" s="106"/>
      <c r="CD9" s="176"/>
      <c r="CE9" s="111"/>
      <c r="CF9" s="176"/>
      <c r="CG9" s="176"/>
      <c r="CI9" s="176"/>
      <c r="CJ9" s="2072"/>
      <c r="CM9" s="176"/>
      <c r="CN9" s="176"/>
      <c r="CO9" s="176"/>
      <c r="CP9" s="111"/>
      <c r="CQ9" s="2035"/>
      <c r="CR9" s="106"/>
      <c r="CS9" s="176"/>
      <c r="CT9" s="111"/>
      <c r="CU9" s="176"/>
      <c r="CV9" s="176"/>
      <c r="CW9" s="176"/>
      <c r="CX9" s="111"/>
      <c r="CY9" s="176"/>
      <c r="CZ9" s="176"/>
      <c r="DA9" s="2053" t="str">
        <f>'Iteration II Simulation'!E169</f>
        <v>On average, how many online purchases do you make each week?</v>
      </c>
      <c r="DB9" s="2053"/>
      <c r="DC9" s="2053"/>
      <c r="DD9" s="176"/>
      <c r="DE9" s="145"/>
      <c r="DF9" s="129"/>
      <c r="DG9" s="2072"/>
    </row>
    <row r="10" spans="3:111" ht="17" customHeight="1" thickBot="1">
      <c r="D10" s="167" t="s">
        <v>69</v>
      </c>
      <c r="E10" s="161" t="str">
        <f>D4&amp;" / Postcode"</f>
        <v>Q1 / Postcode</v>
      </c>
      <c r="F10" s="1494">
        <f>'Iteration II Simulation'!G12</f>
        <v>0</v>
      </c>
      <c r="H10" s="108"/>
      <c r="K10" s="2086" t="s">
        <v>155</v>
      </c>
      <c r="L10" s="2087"/>
      <c r="M10" s="2088"/>
      <c r="O10" s="2081" t="s">
        <v>154</v>
      </c>
      <c r="P10" s="2082"/>
      <c r="Q10" s="2083"/>
      <c r="S10" s="2053"/>
      <c r="T10" s="2053"/>
      <c r="V10" s="2053"/>
      <c r="W10" s="2053"/>
      <c r="Y10" s="2053"/>
      <c r="Z10" s="2053"/>
      <c r="AB10" s="2053"/>
      <c r="AC10" s="2053"/>
      <c r="AD10" s="2053"/>
      <c r="AF10" s="111"/>
      <c r="AG10" s="115"/>
      <c r="AH10" s="115"/>
      <c r="AI10" s="115"/>
      <c r="AL10" s="106"/>
      <c r="AM10" s="111"/>
      <c r="AP10" s="2086" t="s">
        <v>155</v>
      </c>
      <c r="AQ10" s="2087"/>
      <c r="AR10" s="2088"/>
      <c r="AT10" s="2081" t="s">
        <v>154</v>
      </c>
      <c r="AU10" s="2082"/>
      <c r="AV10" s="2083"/>
      <c r="AX10" s="2053"/>
      <c r="AY10" s="2053"/>
      <c r="BA10" s="2053"/>
      <c r="BB10" s="2053"/>
      <c r="BD10" s="2053"/>
      <c r="BE10" s="2053"/>
      <c r="BF10" s="2053"/>
      <c r="BH10" s="2053"/>
      <c r="BI10" s="2053"/>
      <c r="BJ10" s="2053"/>
      <c r="BK10" s="176"/>
      <c r="BL10" s="111"/>
      <c r="BM10" s="176"/>
      <c r="BP10" s="2053"/>
      <c r="BQ10" s="2053"/>
      <c r="BR10" s="2053"/>
      <c r="BS10" s="176"/>
      <c r="BT10" s="2081" t="s">
        <v>184</v>
      </c>
      <c r="BU10" s="2082"/>
      <c r="BV10" s="2083"/>
      <c r="BW10" s="176"/>
      <c r="BX10" s="2053"/>
      <c r="BY10" s="2053"/>
      <c r="BZ10" s="2053"/>
      <c r="CA10" s="106"/>
      <c r="CB10" s="176"/>
      <c r="CC10" s="176"/>
      <c r="CD10" s="2086" t="s">
        <v>177</v>
      </c>
      <c r="CE10" s="2087"/>
      <c r="CF10" s="2087"/>
      <c r="CG10" s="2088"/>
      <c r="CM10" s="176"/>
      <c r="CN10" s="176"/>
      <c r="CO10" s="106"/>
      <c r="CP10" s="111"/>
      <c r="CQ10" s="176"/>
      <c r="CR10" s="106"/>
      <c r="CS10" s="2081" t="s">
        <v>3328</v>
      </c>
      <c r="CT10" s="2082"/>
      <c r="CU10" s="2083"/>
      <c r="CV10" s="176"/>
      <c r="CW10" s="2081" t="s">
        <v>184</v>
      </c>
      <c r="CX10" s="2082"/>
      <c r="CY10" s="2083"/>
      <c r="CZ10" s="176"/>
      <c r="DA10" s="2053"/>
      <c r="DB10" s="2053"/>
      <c r="DC10" s="2053"/>
      <c r="DD10" s="176"/>
      <c r="DE10" s="176"/>
      <c r="DF10" s="111"/>
      <c r="DG10" s="176"/>
    </row>
    <row r="11" spans="3:111" ht="17" customHeight="1" thickBot="1">
      <c r="D11" s="2054" t="s">
        <v>70</v>
      </c>
      <c r="E11" s="2091" t="s">
        <v>162</v>
      </c>
      <c r="F11" s="2155" t="e">
        <f>'Iteration II Simulation'!F28</f>
        <v>#N/A</v>
      </c>
      <c r="H11" s="108"/>
      <c r="K11" s="154" t="s">
        <v>69</v>
      </c>
      <c r="L11" s="86" t="str">
        <f>H4&amp;" / Mode"</f>
        <v>Q2 / Mode</v>
      </c>
      <c r="M11" s="153" t="s">
        <v>48</v>
      </c>
      <c r="O11" s="167" t="s">
        <v>69</v>
      </c>
      <c r="P11" s="161" t="str">
        <f>D4&amp;" / Postcode"</f>
        <v>Q1 / Postcode</v>
      </c>
      <c r="Q11" s="1495">
        <f>F10</f>
        <v>0</v>
      </c>
      <c r="S11" s="108"/>
      <c r="T11" s="106"/>
      <c r="U11" s="112"/>
      <c r="V11" s="112"/>
      <c r="W11" s="111"/>
      <c r="Y11" s="108"/>
      <c r="AA11" s="112"/>
      <c r="AB11" s="128"/>
      <c r="AF11" s="111"/>
      <c r="AL11" s="108"/>
      <c r="AM11" s="106"/>
      <c r="AP11" s="155" t="s">
        <v>69</v>
      </c>
      <c r="AQ11" s="86" t="str">
        <f>AJ17&amp;" / Mode"</f>
        <v>Q11 / Mode</v>
      </c>
      <c r="AR11" s="153" t="s">
        <v>48</v>
      </c>
      <c r="AT11" s="95" t="s">
        <v>69</v>
      </c>
      <c r="AU11" s="161" t="str">
        <f>D4&amp;" / Postcode"</f>
        <v>Q1 / Postcode</v>
      </c>
      <c r="AV11" s="174">
        <f>Q11</f>
        <v>0</v>
      </c>
      <c r="AX11" s="108"/>
      <c r="AY11" s="106"/>
      <c r="AZ11" s="112"/>
      <c r="BA11" s="112"/>
      <c r="BB11" s="111"/>
      <c r="BD11" s="108"/>
      <c r="BF11" s="112"/>
      <c r="BG11" s="112"/>
      <c r="BH11" s="128"/>
      <c r="BI11" s="176"/>
      <c r="BJ11" s="176"/>
      <c r="BK11" s="176"/>
      <c r="BL11" s="111"/>
      <c r="BM11" s="176"/>
      <c r="BP11" s="176"/>
      <c r="BQ11" s="111"/>
      <c r="BR11" s="176"/>
      <c r="BS11" s="176"/>
      <c r="BT11" s="2054" t="s">
        <v>70</v>
      </c>
      <c r="BU11" s="2091" t="s">
        <v>162</v>
      </c>
      <c r="BV11" s="2096">
        <f>'T5 - T7 | T9 - T16'!C22</f>
        <v>13950</v>
      </c>
      <c r="BW11" s="176"/>
      <c r="BX11" s="176"/>
      <c r="BY11" s="111"/>
      <c r="BZ11" s="176"/>
      <c r="CA11" s="106"/>
      <c r="CB11" s="176"/>
      <c r="CC11" s="176"/>
      <c r="CD11" s="90"/>
      <c r="CE11" s="91"/>
      <c r="CF11" s="95" t="s">
        <v>26</v>
      </c>
      <c r="CG11" s="95" t="s">
        <v>25</v>
      </c>
      <c r="CM11" s="176"/>
      <c r="CN11" s="176"/>
      <c r="CO11" s="108"/>
      <c r="CP11" s="106"/>
      <c r="CQ11" s="176"/>
      <c r="CR11" s="106"/>
      <c r="CS11" s="2054" t="s">
        <v>70</v>
      </c>
      <c r="CT11" s="2091" t="s">
        <v>3329</v>
      </c>
      <c r="CU11" s="2108">
        <f>'Iteration II Simulation'!F179</f>
        <v>12.653846153846153</v>
      </c>
      <c r="CV11" s="176"/>
      <c r="CW11" s="2054" t="s">
        <v>70</v>
      </c>
      <c r="CX11" s="2091" t="s">
        <v>162</v>
      </c>
      <c r="CY11" s="2126">
        <f>'Iteration II Simulation'!F174</f>
        <v>10699</v>
      </c>
      <c r="CZ11" s="176"/>
      <c r="DA11" s="176"/>
      <c r="DB11" s="111"/>
      <c r="DC11" s="176"/>
      <c r="DD11" s="176"/>
      <c r="DE11" s="176"/>
      <c r="DF11" s="111"/>
      <c r="DG11" s="176"/>
    </row>
    <row r="12" spans="3:111" ht="18" customHeight="1" thickTop="1" thickBot="1">
      <c r="D12" s="2055"/>
      <c r="E12" s="2092"/>
      <c r="F12" s="2153"/>
      <c r="H12" s="108"/>
      <c r="K12" s="2055" t="s">
        <v>152</v>
      </c>
      <c r="L12" s="2136" t="s">
        <v>168</v>
      </c>
      <c r="M12" s="124" t="s">
        <v>151</v>
      </c>
      <c r="O12" s="2055" t="s">
        <v>70</v>
      </c>
      <c r="P12" s="2092" t="s">
        <v>179</v>
      </c>
      <c r="Q12" s="2149" t="e">
        <f>'Iteration II Simulation'!F59</f>
        <v>#N/A</v>
      </c>
      <c r="T12" s="109"/>
      <c r="U12" s="111"/>
      <c r="Z12" s="109"/>
      <c r="AA12" s="111"/>
      <c r="AF12" s="111"/>
      <c r="AL12" s="108"/>
      <c r="AM12" s="106"/>
      <c r="AP12" s="2055" t="s">
        <v>152</v>
      </c>
      <c r="AQ12" s="2136" t="s">
        <v>168</v>
      </c>
      <c r="AR12" s="124" t="s">
        <v>151</v>
      </c>
      <c r="AT12" s="2055" t="s">
        <v>70</v>
      </c>
      <c r="AU12" s="2092" t="s">
        <v>179</v>
      </c>
      <c r="AV12" s="2109" t="e">
        <f>Q12</f>
        <v>#N/A</v>
      </c>
      <c r="AY12" s="109"/>
      <c r="AZ12" s="111"/>
      <c r="BE12" s="109"/>
      <c r="BF12" s="111"/>
      <c r="BH12" s="176"/>
      <c r="BI12" s="176"/>
      <c r="BJ12" s="176"/>
      <c r="BK12" s="176"/>
      <c r="BL12" s="111"/>
      <c r="BM12" s="176"/>
      <c r="BP12" s="2081" t="s">
        <v>3316</v>
      </c>
      <c r="BQ12" s="2082"/>
      <c r="BR12" s="2083"/>
      <c r="BS12" s="176"/>
      <c r="BT12" s="2055"/>
      <c r="BU12" s="2092"/>
      <c r="BV12" s="2094"/>
      <c r="BW12" s="176"/>
      <c r="BX12" s="2086" t="s">
        <v>165</v>
      </c>
      <c r="BY12" s="2087"/>
      <c r="BZ12" s="2087"/>
      <c r="CA12" s="2088"/>
      <c r="CB12" s="176"/>
      <c r="CC12" s="176"/>
      <c r="CD12" s="193" t="s">
        <v>69</v>
      </c>
      <c r="CE12" s="169" t="s">
        <v>145</v>
      </c>
      <c r="CF12" s="170">
        <f>BV11</f>
        <v>13950</v>
      </c>
      <c r="CG12" s="171">
        <f>BV13</f>
        <v>85753</v>
      </c>
      <c r="CM12" s="176"/>
      <c r="CN12" s="176"/>
      <c r="CO12" s="108"/>
      <c r="CP12" s="106"/>
      <c r="CQ12" s="176"/>
      <c r="CR12" s="106"/>
      <c r="CS12" s="2055"/>
      <c r="CT12" s="2092"/>
      <c r="CU12" s="2109"/>
      <c r="CV12" s="176"/>
      <c r="CW12" s="2055"/>
      <c r="CX12" s="2092"/>
      <c r="CY12" s="2127"/>
      <c r="CZ12" s="176"/>
      <c r="DA12" s="2086" t="s">
        <v>165</v>
      </c>
      <c r="DB12" s="2087"/>
      <c r="DC12" s="2087"/>
      <c r="DD12" s="2088"/>
      <c r="DE12" s="176"/>
      <c r="DF12" s="111"/>
      <c r="DG12" s="176"/>
    </row>
    <row r="13" spans="3:111" ht="17" customHeight="1" thickBot="1">
      <c r="D13" s="2055"/>
      <c r="E13" s="2092" t="s">
        <v>163</v>
      </c>
      <c r="F13" s="2153" t="e">
        <f>'Iteration II Simulation'!F29</f>
        <v>#N/A</v>
      </c>
      <c r="H13" s="108"/>
      <c r="K13" s="2056"/>
      <c r="L13" s="2137"/>
      <c r="M13" s="125" t="s">
        <v>64</v>
      </c>
      <c r="O13" s="2056"/>
      <c r="P13" s="2093"/>
      <c r="Q13" s="2150"/>
      <c r="T13" s="2081" t="s">
        <v>156</v>
      </c>
      <c r="U13" s="2082"/>
      <c r="V13" s="2083"/>
      <c r="W13" s="116"/>
      <c r="Y13" s="2086" t="s">
        <v>165</v>
      </c>
      <c r="Z13" s="2087"/>
      <c r="AA13" s="2088"/>
      <c r="AE13" s="108"/>
      <c r="AL13" s="108"/>
      <c r="AM13" s="106"/>
      <c r="AP13" s="2056"/>
      <c r="AQ13" s="2137"/>
      <c r="AR13" s="125" t="s">
        <v>64</v>
      </c>
      <c r="AT13" s="2056"/>
      <c r="AU13" s="2093"/>
      <c r="AV13" s="2110"/>
      <c r="AY13" s="2081" t="s">
        <v>156</v>
      </c>
      <c r="AZ13" s="2082"/>
      <c r="BA13" s="2083"/>
      <c r="BB13" s="116"/>
      <c r="BD13" s="2086" t="s">
        <v>165</v>
      </c>
      <c r="BE13" s="2087"/>
      <c r="BF13" s="2088"/>
      <c r="BK13" s="108"/>
      <c r="BP13" s="158" t="s">
        <v>69</v>
      </c>
      <c r="BQ13" s="189" t="str">
        <f>BP8&amp;" / Type of residence"</f>
        <v>Q18 / Type of residence</v>
      </c>
      <c r="BR13" s="466"/>
      <c r="BS13" s="176"/>
      <c r="BT13" s="2055"/>
      <c r="BU13" s="2092" t="s">
        <v>163</v>
      </c>
      <c r="BV13" s="2094">
        <f>'T5 - T7 | T9 - T16'!C21</f>
        <v>85753</v>
      </c>
      <c r="BW13" s="176"/>
      <c r="BX13" s="2054" t="s">
        <v>69</v>
      </c>
      <c r="BY13" s="2077" t="str">
        <f>BX8&amp;" / No. of people living together"</f>
        <v>Q19 / No. of people living together</v>
      </c>
      <c r="BZ13" s="2078"/>
      <c r="CA13" s="2057">
        <f>'Iteration II Simulation'!G129</f>
        <v>0</v>
      </c>
      <c r="CB13" s="176"/>
      <c r="CC13" s="176"/>
      <c r="CD13" s="2054" t="s">
        <v>159</v>
      </c>
      <c r="CE13" s="138" t="s">
        <v>112</v>
      </c>
      <c r="CF13" s="492" t="e">
        <f>BR15*BR21/CA13</f>
        <v>#N/A</v>
      </c>
      <c r="CG13" s="492" t="e">
        <f>BR16*BR21/CA13</f>
        <v>#N/A</v>
      </c>
      <c r="CM13" s="176"/>
      <c r="CN13" s="176"/>
      <c r="CO13" s="108"/>
      <c r="CP13" s="106"/>
      <c r="CQ13" s="176"/>
      <c r="CR13" s="106"/>
      <c r="CS13" s="2055"/>
      <c r="CT13" s="2092" t="s">
        <v>3330</v>
      </c>
      <c r="CU13" s="2109">
        <f>'Iteration II Simulation'!F180</f>
        <v>0.74076923076923074</v>
      </c>
      <c r="CV13" s="176"/>
      <c r="CW13" s="2055"/>
      <c r="CX13" s="2092" t="s">
        <v>163</v>
      </c>
      <c r="CY13" s="2127">
        <f>'Iteration II Simulation'!F175</f>
        <v>203331</v>
      </c>
      <c r="CZ13" s="176"/>
      <c r="DA13" s="489" t="s">
        <v>69</v>
      </c>
      <c r="DB13" s="485" t="str">
        <f>DA8&amp;" / No. of parcels"</f>
        <v>Q27 / No. of parcels</v>
      </c>
      <c r="DC13" s="482"/>
      <c r="DD13" s="182">
        <f>'Iteration II Simulation'!G170</f>
        <v>0</v>
      </c>
      <c r="DE13" s="108"/>
      <c r="DF13" s="176"/>
      <c r="DG13" s="176"/>
    </row>
    <row r="14" spans="3:111" ht="17" thickBot="1">
      <c r="D14" s="2056"/>
      <c r="E14" s="2093"/>
      <c r="F14" s="2154"/>
      <c r="H14" s="108"/>
      <c r="T14" s="2054" t="s">
        <v>69</v>
      </c>
      <c r="U14" s="85" t="str">
        <f>S8&amp;" / Type"</f>
        <v>Q3 / Type</v>
      </c>
      <c r="V14" s="1496">
        <f>'Iteration II Simulation'!H41</f>
        <v>0</v>
      </c>
      <c r="W14" s="106"/>
      <c r="Y14" s="2054" t="s">
        <v>69</v>
      </c>
      <c r="Z14" s="85" t="str">
        <f>Y8&amp;" / hrs"</f>
        <v>Q5 / hrs</v>
      </c>
      <c r="AA14" s="1496">
        <f>'Iteration II Simulation'!G51</f>
        <v>0</v>
      </c>
      <c r="AE14" s="108"/>
      <c r="AM14" s="111"/>
      <c r="AY14" s="2130" t="s">
        <v>69</v>
      </c>
      <c r="AZ14" s="85" t="str">
        <f>AX8&amp;" / Type"</f>
        <v>Q12 / Type</v>
      </c>
      <c r="BA14" s="122">
        <f>'Iteration II Simulation'!I88</f>
        <v>0</v>
      </c>
      <c r="BB14" s="106"/>
      <c r="BD14" s="2054" t="s">
        <v>69</v>
      </c>
      <c r="BE14" s="85" t="str">
        <f>BD8&amp;" / hrs"</f>
        <v>Q14 / hrs</v>
      </c>
      <c r="BF14" s="88">
        <f>'Iteration II Simulation'!G98</f>
        <v>0</v>
      </c>
      <c r="BK14" s="108"/>
      <c r="BP14" s="469"/>
      <c r="BQ14" s="467">
        <f>'Iteration II Simulation'!F147</f>
        <v>0</v>
      </c>
      <c r="BR14" s="468"/>
      <c r="BS14" s="176"/>
      <c r="BT14" s="2056"/>
      <c r="BU14" s="2093"/>
      <c r="BV14" s="2095"/>
      <c r="BW14" s="114"/>
      <c r="BX14" s="2056"/>
      <c r="BY14" s="2079"/>
      <c r="BZ14" s="2080"/>
      <c r="CA14" s="2058"/>
      <c r="CB14" s="176"/>
      <c r="CC14" s="176"/>
      <c r="CD14" s="2056"/>
      <c r="CE14" s="133" t="s">
        <v>111</v>
      </c>
      <c r="CF14" s="136" t="e">
        <f>CF13*CF12/10^6</f>
        <v>#N/A</v>
      </c>
      <c r="CG14" s="137" t="e">
        <f>CG12*CG13/10^6</f>
        <v>#N/A</v>
      </c>
      <c r="CM14" s="176"/>
      <c r="CN14" s="176"/>
      <c r="CO14" s="176"/>
      <c r="CP14" s="111"/>
      <c r="CQ14" s="176"/>
      <c r="CR14" s="106"/>
      <c r="CS14" s="2056"/>
      <c r="CT14" s="2093"/>
      <c r="CU14" s="2110"/>
      <c r="CV14" s="176"/>
      <c r="CW14" s="2056"/>
      <c r="CX14" s="2093"/>
      <c r="CY14" s="2128"/>
      <c r="CZ14" s="176"/>
      <c r="DA14" s="94"/>
      <c r="DB14" s="87" t="s">
        <v>3768</v>
      </c>
      <c r="DC14" s="477"/>
      <c r="DD14" s="89">
        <v>52</v>
      </c>
      <c r="DE14" s="108"/>
      <c r="DF14" s="176"/>
      <c r="DG14" s="176"/>
    </row>
    <row r="15" spans="3:111" ht="16" customHeight="1" thickBot="1">
      <c r="H15" s="108"/>
      <c r="T15" s="2055"/>
      <c r="U15" s="87" t="str">
        <f>V8&amp;" / Age"</f>
        <v>Q4 / Age</v>
      </c>
      <c r="V15" s="1497">
        <f>'Iteration II Simulation'!H48</f>
        <v>0</v>
      </c>
      <c r="W15" s="106"/>
      <c r="Y15" s="2055"/>
      <c r="Z15" s="87" t="str">
        <f>AB8&amp;" / No. of people"</f>
        <v>Q6 / No. of people</v>
      </c>
      <c r="AA15" s="1497">
        <f>'Iteration II Simulation'!G55</f>
        <v>0</v>
      </c>
      <c r="AE15" s="108"/>
      <c r="AM15" s="111"/>
      <c r="AY15" s="2131"/>
      <c r="AZ15" s="87" t="str">
        <f>BA8&amp;" / Age"</f>
        <v>Q13 / Age</v>
      </c>
      <c r="BA15" s="123">
        <f>'Iteration II Simulation'!I95</f>
        <v>0</v>
      </c>
      <c r="BB15" s="106"/>
      <c r="BD15" s="2055"/>
      <c r="BE15" s="87" t="str">
        <f>BH8&amp;" / No. of people"</f>
        <v>Q15 / No. of people</v>
      </c>
      <c r="BF15" s="89">
        <f>'Iteration II Simulation'!G102</f>
        <v>0</v>
      </c>
      <c r="BK15" s="108"/>
      <c r="BP15" s="2055" t="s">
        <v>70</v>
      </c>
      <c r="BQ15" s="23" t="s">
        <v>164</v>
      </c>
      <c r="BR15" s="200">
        <f>'Iteration II Simulation'!F148</f>
        <v>75.875873960000007</v>
      </c>
      <c r="BS15" s="176"/>
      <c r="BT15" s="176"/>
      <c r="BU15" s="114"/>
      <c r="BV15" s="114"/>
      <c r="BW15" s="114"/>
      <c r="BX15" s="194"/>
      <c r="BY15" s="106"/>
      <c r="BZ15" s="106"/>
      <c r="CA15" s="176"/>
      <c r="CB15" s="176"/>
      <c r="CC15" s="176"/>
      <c r="CD15" s="464"/>
      <c r="CE15" s="464"/>
      <c r="CF15" s="464"/>
      <c r="CG15" s="135"/>
      <c r="CM15" s="176"/>
      <c r="CN15" s="176"/>
      <c r="CO15" s="176"/>
      <c r="CP15" s="111"/>
      <c r="CQ15" s="176"/>
      <c r="CR15" s="106"/>
      <c r="CS15" s="106"/>
      <c r="CT15" s="106"/>
      <c r="CU15" s="106"/>
      <c r="CV15" s="106"/>
      <c r="CW15" s="176"/>
      <c r="CX15" s="176"/>
      <c r="CY15" s="176"/>
      <c r="CZ15" s="176"/>
      <c r="DA15" s="195" t="s">
        <v>3319</v>
      </c>
      <c r="DB15" s="90" t="s">
        <v>3284</v>
      </c>
      <c r="DC15" s="516"/>
      <c r="DD15" s="196">
        <f>DD13*DD14</f>
        <v>0</v>
      </c>
      <c r="DE15" s="108"/>
      <c r="DF15" s="176"/>
      <c r="DG15" s="176"/>
    </row>
    <row r="16" spans="3:111" ht="17" thickBot="1">
      <c r="H16" s="108"/>
      <c r="T16" s="2055"/>
      <c r="U16" s="2066" t="s">
        <v>160</v>
      </c>
      <c r="V16" s="2151" t="e">
        <f>Q12</f>
        <v>#N/A</v>
      </c>
      <c r="W16" s="106"/>
      <c r="Y16" s="2055"/>
      <c r="Z16" s="87" t="s">
        <v>3768</v>
      </c>
      <c r="AA16" s="1497">
        <v>52</v>
      </c>
      <c r="AE16" s="108"/>
      <c r="AL16" s="108"/>
      <c r="AY16" s="2131"/>
      <c r="AZ16" s="2066" t="s">
        <v>160</v>
      </c>
      <c r="BA16" s="2068" t="e">
        <f>AV12</f>
        <v>#N/A</v>
      </c>
      <c r="BB16" s="106"/>
      <c r="BD16" s="2055"/>
      <c r="BE16" s="87" t="s">
        <v>3768</v>
      </c>
      <c r="BF16" s="89">
        <v>52</v>
      </c>
      <c r="BK16" s="108"/>
      <c r="BP16" s="2056"/>
      <c r="BQ16" s="24" t="s">
        <v>161</v>
      </c>
      <c r="BR16" s="434">
        <f>'Iteration II Simulation'!F149</f>
        <v>1.5408826449999999</v>
      </c>
      <c r="BS16" s="176"/>
      <c r="BT16" s="176"/>
      <c r="BU16" s="176"/>
      <c r="BV16" s="176"/>
      <c r="BW16" s="176"/>
      <c r="CB16" s="176"/>
      <c r="CC16" s="176"/>
      <c r="CD16" s="135"/>
      <c r="CE16" s="116"/>
      <c r="CF16" s="106"/>
      <c r="CG16" s="135"/>
      <c r="CM16" s="176"/>
      <c r="CN16" s="176"/>
      <c r="CO16" s="108"/>
      <c r="CP16" s="176"/>
      <c r="CQ16" s="176"/>
      <c r="CR16" s="106"/>
      <c r="CS16" s="197"/>
      <c r="CT16" s="194"/>
      <c r="CU16" s="194"/>
      <c r="CV16" s="106"/>
      <c r="CW16" s="176"/>
      <c r="CX16" s="176"/>
      <c r="CY16" s="176"/>
      <c r="CZ16" s="176"/>
      <c r="DA16" s="107"/>
      <c r="DB16" s="111"/>
      <c r="DC16" s="106"/>
      <c r="DD16" s="176"/>
      <c r="DE16" s="108"/>
      <c r="DF16" s="176"/>
      <c r="DG16" s="176"/>
    </row>
    <row r="17" spans="4:111" ht="17" customHeight="1" thickBot="1">
      <c r="H17" s="108"/>
      <c r="L17" s="106"/>
      <c r="T17" s="2056"/>
      <c r="U17" s="2067"/>
      <c r="V17" s="2152"/>
      <c r="W17" s="106"/>
      <c r="Y17" s="2056"/>
      <c r="Z17" s="78" t="s">
        <v>160</v>
      </c>
      <c r="AA17" s="1500" t="e">
        <f>Q12</f>
        <v>#N/A</v>
      </c>
      <c r="AF17" s="111"/>
      <c r="AJ17" s="2129" t="str">
        <f>'Iteration II Simulation'!D79</f>
        <v>Q11</v>
      </c>
      <c r="AK17" s="2129"/>
      <c r="AL17" s="128"/>
      <c r="AM17" s="111"/>
      <c r="AQ17" s="106"/>
      <c r="AY17" s="2132"/>
      <c r="AZ17" s="2067"/>
      <c r="BA17" s="2069"/>
      <c r="BB17" s="106"/>
      <c r="BD17" s="2056"/>
      <c r="BE17" s="78" t="s">
        <v>160</v>
      </c>
      <c r="BF17" s="117" t="e">
        <f>BA16</f>
        <v>#N/A</v>
      </c>
      <c r="BK17" s="108"/>
      <c r="BP17" s="176"/>
      <c r="BQ17" s="111"/>
      <c r="BR17" s="176"/>
      <c r="BS17" s="176"/>
      <c r="BT17" s="176"/>
      <c r="BU17" s="176"/>
      <c r="BV17" s="176"/>
      <c r="BW17" s="176"/>
      <c r="CB17" s="176"/>
      <c r="CC17" s="176"/>
      <c r="CM17" s="2065" t="str">
        <f>'Iteration II Simulation'!D164</f>
        <v>Q26</v>
      </c>
      <c r="CN17" s="2065"/>
      <c r="CO17" s="128"/>
      <c r="CP17" s="111"/>
      <c r="CQ17" s="176"/>
      <c r="CR17" s="106"/>
      <c r="CS17" s="194"/>
      <c r="CT17" s="197"/>
      <c r="CU17" s="106"/>
      <c r="CV17" s="106"/>
      <c r="CW17" s="176"/>
      <c r="CX17" s="176"/>
      <c r="CY17" s="176"/>
      <c r="CZ17" s="176"/>
      <c r="DA17" s="2086" t="s">
        <v>177</v>
      </c>
      <c r="DB17" s="2087"/>
      <c r="DC17" s="2087"/>
      <c r="DD17" s="2088"/>
      <c r="DE17" s="176"/>
      <c r="DF17" s="111"/>
      <c r="DG17" s="176"/>
    </row>
    <row r="18" spans="4:111" ht="18" customHeight="1" thickTop="1" thickBot="1">
      <c r="H18" s="108"/>
      <c r="L18" s="106"/>
      <c r="T18" s="2055" t="s">
        <v>70</v>
      </c>
      <c r="U18" s="23" t="s">
        <v>164</v>
      </c>
      <c r="V18" s="1498" t="e">
        <f>'Iteration II Simulation'!F66</f>
        <v>#N/A</v>
      </c>
      <c r="Y18" s="114"/>
      <c r="Z18" s="116"/>
      <c r="AA18" s="144"/>
      <c r="AB18" s="114"/>
      <c r="AD18" s="106"/>
      <c r="AE18" s="108"/>
      <c r="AJ18" s="2053" t="str">
        <f>'Iteration II Simulation'!E79</f>
        <v>Outside of commuting, do you travel by car?</v>
      </c>
      <c r="AK18" s="2053"/>
      <c r="AL18" s="113"/>
      <c r="AM18" s="111"/>
      <c r="AQ18" s="106"/>
      <c r="AY18" s="2055" t="s">
        <v>70</v>
      </c>
      <c r="AZ18" s="23" t="s">
        <v>164</v>
      </c>
      <c r="BA18" s="40" t="e">
        <f>'Iteration II Simulation'!F110</f>
        <v>#N/A</v>
      </c>
      <c r="BD18" s="114"/>
      <c r="BE18" s="116"/>
      <c r="BF18" s="144"/>
      <c r="BG18" s="114"/>
      <c r="BI18" s="106"/>
      <c r="BK18" s="108"/>
      <c r="BP18" s="2081" t="s">
        <v>3317</v>
      </c>
      <c r="BQ18" s="2082"/>
      <c r="BR18" s="2083"/>
      <c r="BS18" s="176"/>
      <c r="BT18" s="176"/>
      <c r="BU18" s="176"/>
      <c r="BV18" s="176"/>
      <c r="BW18" s="176"/>
      <c r="CB18" s="176"/>
      <c r="CC18" s="176"/>
      <c r="CM18" s="2053" t="str">
        <f>'Iteration II Simulation'!E164</f>
        <v>Excluding food and takeaway deliveries, do you make online purchases (E.g. Clothing, Beauty, Technology, etc.)?</v>
      </c>
      <c r="CN18" s="2053"/>
      <c r="CO18" s="113"/>
      <c r="CP18" s="111"/>
      <c r="CQ18" s="176"/>
      <c r="CR18" s="106"/>
      <c r="CS18" s="106"/>
      <c r="CT18" s="197"/>
      <c r="CU18" s="106"/>
      <c r="CV18" s="106"/>
      <c r="CW18" s="176"/>
      <c r="CX18" s="176"/>
      <c r="CY18" s="176"/>
      <c r="CZ18" s="176"/>
      <c r="DA18" s="90"/>
      <c r="DB18" s="91"/>
      <c r="DC18" s="95" t="s">
        <v>26</v>
      </c>
      <c r="DD18" s="95" t="s">
        <v>25</v>
      </c>
      <c r="DE18" s="108"/>
      <c r="DF18" s="176"/>
      <c r="DG18" s="176"/>
    </row>
    <row r="19" spans="4:111" ht="17" thickBot="1">
      <c r="H19" s="108"/>
      <c r="K19" s="106"/>
      <c r="L19" s="106"/>
      <c r="T19" s="2056"/>
      <c r="U19" s="24" t="s">
        <v>161</v>
      </c>
      <c r="V19" s="1499" t="e">
        <f>'Iteration II Simulation'!F67</f>
        <v>#N/A</v>
      </c>
      <c r="Y19" s="2138" t="s">
        <v>177</v>
      </c>
      <c r="Z19" s="2139"/>
      <c r="AA19" s="2139"/>
      <c r="AB19" s="2140"/>
      <c r="AF19" s="111"/>
      <c r="AJ19" s="2053"/>
      <c r="AK19" s="2053"/>
      <c r="AM19" s="111"/>
      <c r="AP19" s="106"/>
      <c r="AQ19" s="106"/>
      <c r="AY19" s="2056"/>
      <c r="AZ19" s="24" t="s">
        <v>161</v>
      </c>
      <c r="BA19" s="41" t="e">
        <f>'Iteration II Simulation'!F111</f>
        <v>#N/A</v>
      </c>
      <c r="BD19" s="2138" t="s">
        <v>177</v>
      </c>
      <c r="BE19" s="2139"/>
      <c r="BF19" s="2139"/>
      <c r="BG19" s="2140"/>
      <c r="BK19" s="108"/>
      <c r="BP19" s="158" t="s">
        <v>69</v>
      </c>
      <c r="BQ19" s="189" t="str">
        <f>BP8&amp;" / Type of residence"</f>
        <v>Q18 / Type of residence</v>
      </c>
      <c r="BR19" s="466"/>
      <c r="BS19" s="176"/>
      <c r="BT19" s="176"/>
      <c r="BU19" s="176"/>
      <c r="BV19" s="176"/>
      <c r="BW19" s="176"/>
      <c r="CB19" s="176"/>
      <c r="CC19" s="176"/>
      <c r="CM19" s="2053"/>
      <c r="CN19" s="2053"/>
      <c r="CO19" s="176"/>
      <c r="CP19" s="111"/>
      <c r="CQ19" s="176"/>
      <c r="CR19" s="106"/>
      <c r="CS19" s="135"/>
      <c r="CT19" s="2089"/>
      <c r="CU19" s="2090"/>
      <c r="CV19" s="106"/>
      <c r="CW19" s="176"/>
      <c r="CX19" s="176"/>
      <c r="CY19" s="176"/>
      <c r="CZ19" s="176"/>
      <c r="DA19" s="193" t="s">
        <v>69</v>
      </c>
      <c r="DB19" s="169" t="s">
        <v>145</v>
      </c>
      <c r="DC19" s="170">
        <f>CY11</f>
        <v>10699</v>
      </c>
      <c r="DD19" s="171">
        <f>CY13</f>
        <v>203331</v>
      </c>
      <c r="DE19" s="176"/>
      <c r="DF19" s="111"/>
      <c r="DG19" s="176"/>
    </row>
    <row r="20" spans="4:111" ht="17" thickBot="1">
      <c r="H20" s="108"/>
      <c r="K20" s="106"/>
      <c r="L20" s="106"/>
      <c r="Y20" s="90"/>
      <c r="Z20" s="91"/>
      <c r="AA20" s="93" t="s">
        <v>26</v>
      </c>
      <c r="AB20" s="93" t="s">
        <v>25</v>
      </c>
      <c r="AD20" s="116"/>
      <c r="AF20" s="111"/>
      <c r="AM20" s="111"/>
      <c r="AP20" s="106"/>
      <c r="AQ20" s="106"/>
      <c r="BD20" s="90"/>
      <c r="BE20" s="91"/>
      <c r="BF20" s="93" t="s">
        <v>26</v>
      </c>
      <c r="BG20" s="93" t="s">
        <v>25</v>
      </c>
      <c r="BI20" s="116"/>
      <c r="BK20" s="108"/>
      <c r="BP20" s="469"/>
      <c r="BQ20" s="467">
        <f>'Iteration II Simulation'!F152</f>
        <v>0</v>
      </c>
      <c r="BR20" s="468"/>
      <c r="BS20" s="176"/>
      <c r="BT20" s="176"/>
      <c r="BU20" s="176"/>
      <c r="BV20" s="176"/>
      <c r="BW20" s="176"/>
      <c r="CB20" s="176"/>
      <c r="CC20" s="176"/>
      <c r="CM20" s="2053"/>
      <c r="CN20" s="2053"/>
      <c r="CO20" s="176"/>
      <c r="CP20" s="111"/>
      <c r="CQ20" s="176"/>
      <c r="CR20" s="106"/>
      <c r="CS20" s="135"/>
      <c r="CT20" s="2089"/>
      <c r="CU20" s="2090"/>
      <c r="CV20" s="106"/>
      <c r="CW20" s="176"/>
      <c r="CX20" s="176"/>
      <c r="CY20" s="176"/>
      <c r="CZ20" s="176"/>
      <c r="DA20" s="2054" t="s">
        <v>159</v>
      </c>
      <c r="DB20" s="138" t="s">
        <v>112</v>
      </c>
      <c r="DC20" s="138">
        <f>CU11*DD15</f>
        <v>0</v>
      </c>
      <c r="DD20" s="138">
        <f>CU13*DD15</f>
        <v>0</v>
      </c>
      <c r="DE20" s="176"/>
      <c r="DF20" s="111"/>
      <c r="DG20" s="176"/>
    </row>
    <row r="21" spans="4:111" ht="17" customHeight="1" thickBot="1">
      <c r="H21" s="108"/>
      <c r="K21" s="106"/>
      <c r="L21" s="106"/>
      <c r="Y21" s="2054" t="s">
        <v>69</v>
      </c>
      <c r="Z21" s="10" t="s">
        <v>176</v>
      </c>
      <c r="AA21" s="1501" t="e">
        <f>V18</f>
        <v>#N/A</v>
      </c>
      <c r="AB21" s="1501" t="e">
        <f>V19</f>
        <v>#N/A</v>
      </c>
      <c r="AD21" s="106"/>
      <c r="AE21" s="108"/>
      <c r="AM21" s="111"/>
      <c r="AP21" s="106"/>
      <c r="AQ21" s="106"/>
      <c r="BD21" s="2054" t="s">
        <v>69</v>
      </c>
      <c r="BE21" s="10" t="s">
        <v>176</v>
      </c>
      <c r="BF21" s="148" t="e">
        <f>BA18</f>
        <v>#N/A</v>
      </c>
      <c r="BG21" s="148" t="e">
        <f>BA19</f>
        <v>#N/A</v>
      </c>
      <c r="BI21" s="106"/>
      <c r="BK21" s="108"/>
      <c r="BP21" s="2055" t="s">
        <v>70</v>
      </c>
      <c r="BQ21" s="2084" t="s">
        <v>3315</v>
      </c>
      <c r="BR21" s="254" t="e">
        <f>'Iteration II Simulation'!F153</f>
        <v>#N/A</v>
      </c>
      <c r="BS21" s="176"/>
      <c r="BT21" s="176"/>
      <c r="BU21" s="176"/>
      <c r="BV21" s="106"/>
      <c r="BW21" s="106"/>
      <c r="BX21" s="120"/>
      <c r="BY21" s="106"/>
      <c r="BZ21" s="106"/>
      <c r="CA21" s="106"/>
      <c r="CB21" s="176"/>
      <c r="CC21" s="176"/>
      <c r="CM21" s="2053"/>
      <c r="CN21" s="2053"/>
      <c r="CO21" s="176"/>
      <c r="CP21" s="111"/>
      <c r="CQ21" s="176"/>
      <c r="CR21" s="106"/>
      <c r="CS21" s="106"/>
      <c r="CT21" s="106"/>
      <c r="CU21" s="106"/>
      <c r="CV21" s="106"/>
      <c r="CW21" s="176"/>
      <c r="CX21" s="176"/>
      <c r="CY21" s="176"/>
      <c r="CZ21" s="176"/>
      <c r="DA21" s="2056"/>
      <c r="DB21" s="133" t="s">
        <v>111</v>
      </c>
      <c r="DC21" s="136">
        <f>DC20*DC19/10^6</f>
        <v>0</v>
      </c>
      <c r="DD21" s="137">
        <f>DD20*DD19/10^6</f>
        <v>0</v>
      </c>
      <c r="DE21" s="108"/>
      <c r="DF21" s="176"/>
      <c r="DG21" s="176"/>
    </row>
    <row r="22" spans="4:111" ht="18" customHeight="1" thickBot="1">
      <c r="D22" s="120"/>
      <c r="E22" s="106"/>
      <c r="F22" s="118"/>
      <c r="H22" s="108"/>
      <c r="K22" s="106"/>
      <c r="L22" s="106"/>
      <c r="Y22" s="2056"/>
      <c r="Z22" s="162" t="s">
        <v>145</v>
      </c>
      <c r="AA22" s="1502" t="e">
        <f>F11</f>
        <v>#N/A</v>
      </c>
      <c r="AB22" s="1502" t="e">
        <f>F13</f>
        <v>#N/A</v>
      </c>
      <c r="AD22" s="106"/>
      <c r="AE22" s="108"/>
      <c r="AM22" s="111"/>
      <c r="AP22" s="106"/>
      <c r="AQ22" s="106"/>
      <c r="BD22" s="2056"/>
      <c r="BE22" s="162" t="s">
        <v>145</v>
      </c>
      <c r="BF22" s="163" t="e">
        <f>F11</f>
        <v>#N/A</v>
      </c>
      <c r="BG22" s="163" t="e">
        <f>F13</f>
        <v>#N/A</v>
      </c>
      <c r="BI22" s="106"/>
      <c r="BK22" s="108"/>
      <c r="BP22" s="2056"/>
      <c r="BQ22" s="2085"/>
      <c r="BR22" s="248"/>
      <c r="BS22" s="106"/>
      <c r="BT22" s="106"/>
      <c r="BU22" s="106"/>
      <c r="BV22" s="106"/>
      <c r="BW22" s="106"/>
      <c r="BX22" s="120"/>
      <c r="BY22" s="106"/>
      <c r="BZ22" s="106"/>
      <c r="CA22" s="116"/>
      <c r="CB22" s="106"/>
      <c r="CC22" s="176"/>
      <c r="CM22" s="176"/>
      <c r="CN22" s="176"/>
      <c r="CO22" s="176"/>
      <c r="CP22" s="111"/>
      <c r="CQ22" s="176"/>
      <c r="CR22" s="106"/>
      <c r="CW22" s="176"/>
      <c r="CX22" s="176"/>
      <c r="CY22" s="176"/>
      <c r="CZ22" s="176"/>
      <c r="DE22" s="108"/>
      <c r="DF22" s="176"/>
      <c r="DG22" s="176"/>
    </row>
    <row r="23" spans="4:111">
      <c r="D23" s="120"/>
      <c r="E23" s="106"/>
      <c r="F23" s="118"/>
      <c r="H23" s="108"/>
      <c r="K23" s="106"/>
      <c r="L23" s="106"/>
      <c r="Y23" s="2055" t="s">
        <v>159</v>
      </c>
      <c r="Z23" s="138" t="s">
        <v>112</v>
      </c>
      <c r="AA23" s="1503" t="e">
        <f>AA21*AA14*AA17*AA16/AA15</f>
        <v>#N/A</v>
      </c>
      <c r="AB23" s="1503" t="e">
        <f>AB21*AA14*AA16*AA17/AA15</f>
        <v>#N/A</v>
      </c>
      <c r="AD23" s="106"/>
      <c r="AF23" s="111"/>
      <c r="AM23" s="111"/>
      <c r="AP23" s="106"/>
      <c r="AQ23" s="106"/>
      <c r="BD23" s="2055" t="s">
        <v>159</v>
      </c>
      <c r="BE23" s="138" t="s">
        <v>112</v>
      </c>
      <c r="BF23" s="149" t="e">
        <f>BF21*BF14*BF17*BF16/BF15</f>
        <v>#N/A</v>
      </c>
      <c r="BG23" s="149" t="e">
        <f>BG21*BF14*BF16*BF17/BF15</f>
        <v>#N/A</v>
      </c>
      <c r="BI23" s="106"/>
      <c r="BK23" s="108"/>
      <c r="BP23" s="106"/>
      <c r="BQ23" s="106"/>
      <c r="BR23" s="106"/>
      <c r="BS23" s="106"/>
      <c r="BT23" s="106"/>
      <c r="BU23" s="106"/>
      <c r="BV23" s="106"/>
      <c r="BW23" s="106"/>
      <c r="BX23" s="106"/>
      <c r="BY23" s="106"/>
      <c r="BZ23" s="176"/>
      <c r="CA23" s="176"/>
      <c r="CB23" s="176"/>
      <c r="CC23" s="176"/>
      <c r="CG23" s="106"/>
      <c r="CH23" s="106"/>
      <c r="CM23" s="176"/>
      <c r="CN23" s="176"/>
      <c r="CO23" s="176"/>
      <c r="CP23" s="111"/>
      <c r="CQ23" s="176"/>
      <c r="CR23" s="106"/>
      <c r="CS23" s="106"/>
      <c r="CT23" s="106"/>
      <c r="CU23" s="106"/>
      <c r="CV23" s="176"/>
      <c r="CW23" s="176"/>
      <c r="CX23" s="176"/>
      <c r="CY23" s="176"/>
      <c r="CZ23" s="176"/>
      <c r="DE23" s="176"/>
      <c r="DF23" s="111"/>
      <c r="DG23" s="176"/>
    </row>
    <row r="24" spans="4:111" ht="17" thickBot="1">
      <c r="D24" s="120"/>
      <c r="E24" s="119"/>
      <c r="F24" s="119"/>
      <c r="H24" s="108"/>
      <c r="K24" s="106"/>
      <c r="L24" s="106"/>
      <c r="Y24" s="2056"/>
      <c r="Z24" s="133" t="s">
        <v>111</v>
      </c>
      <c r="AA24" s="1504" t="e">
        <f>AA22*AA23/(10^6)</f>
        <v>#N/A</v>
      </c>
      <c r="AB24" s="1504" t="e">
        <f>AB23*AB22/(10^6)</f>
        <v>#N/A</v>
      </c>
      <c r="AE24" s="108"/>
      <c r="AM24" s="111"/>
      <c r="AP24" s="106"/>
      <c r="AQ24" s="106"/>
      <c r="BD24" s="2056"/>
      <c r="BE24" s="133" t="s">
        <v>111</v>
      </c>
      <c r="BF24" s="150" t="e">
        <f>BF22*BF23/(10^6)</f>
        <v>#N/A</v>
      </c>
      <c r="BG24" s="150" t="e">
        <f>BG23*BG22/(10^6)</f>
        <v>#N/A</v>
      </c>
      <c r="BK24" s="108"/>
      <c r="BP24" s="106"/>
      <c r="BQ24" s="106"/>
      <c r="BR24" s="106"/>
      <c r="BS24" s="106"/>
      <c r="BT24" s="106"/>
      <c r="BU24" s="106"/>
      <c r="BV24" s="106"/>
      <c r="BW24" s="106"/>
      <c r="BX24" s="106"/>
      <c r="BY24" s="106"/>
      <c r="BZ24" s="106"/>
      <c r="CA24" s="106"/>
      <c r="CB24" s="106"/>
      <c r="CC24" s="106"/>
      <c r="CG24" s="106"/>
      <c r="CH24" s="106"/>
      <c r="CI24" s="106"/>
      <c r="CJ24" s="106"/>
      <c r="CM24" s="176"/>
      <c r="CN24" s="176"/>
      <c r="CO24" s="176"/>
      <c r="CP24" s="111"/>
      <c r="CQ24" s="2035" t="s">
        <v>89</v>
      </c>
      <c r="CR24" s="126"/>
      <c r="CS24" s="126"/>
      <c r="CT24" s="126"/>
      <c r="CU24" s="126"/>
      <c r="CV24" s="126"/>
      <c r="CW24" s="112"/>
      <c r="CX24" s="112"/>
      <c r="CY24" s="126"/>
      <c r="CZ24" s="126"/>
      <c r="DA24" s="126"/>
      <c r="DB24" s="126"/>
      <c r="DC24" s="126"/>
      <c r="DD24" s="112"/>
      <c r="DE24" s="112"/>
      <c r="DF24" s="111"/>
      <c r="DG24" s="176"/>
    </row>
    <row r="25" spans="4:111" ht="18" customHeight="1" thickTop="1">
      <c r="H25" s="108"/>
      <c r="K25" s="106"/>
      <c r="L25" s="106"/>
      <c r="Y25" s="106"/>
      <c r="Z25" s="106"/>
      <c r="AA25" s="106"/>
      <c r="AB25" s="106"/>
      <c r="AC25" s="106"/>
      <c r="AE25" s="108"/>
      <c r="AM25" s="111"/>
      <c r="BK25" s="108"/>
      <c r="BP25" s="176"/>
      <c r="BQ25" s="176"/>
      <c r="BR25" s="176"/>
      <c r="BS25" s="176"/>
      <c r="BT25" s="176"/>
      <c r="BU25" s="176"/>
      <c r="BV25" s="176"/>
      <c r="BW25" s="176"/>
      <c r="BX25" s="176"/>
      <c r="BY25" s="176"/>
      <c r="BZ25" s="176"/>
      <c r="CA25" s="176"/>
      <c r="CB25" s="176"/>
      <c r="CC25" s="176"/>
      <c r="CM25" s="176"/>
      <c r="CN25" s="176"/>
      <c r="CO25" s="176"/>
      <c r="CP25" s="109"/>
      <c r="CQ25" s="2035"/>
      <c r="CR25" s="106"/>
      <c r="CS25" s="106"/>
      <c r="CT25" s="106"/>
      <c r="CU25" s="106"/>
      <c r="CV25" s="176"/>
      <c r="CW25" s="464"/>
      <c r="CX25" s="464"/>
      <c r="CY25" s="135"/>
      <c r="CZ25" s="464"/>
      <c r="DA25" s="176"/>
      <c r="DB25" s="176"/>
      <c r="DC25" s="176"/>
      <c r="DD25" s="176"/>
      <c r="DE25" s="176"/>
      <c r="DF25" s="176"/>
      <c r="DG25" s="176"/>
    </row>
    <row r="26" spans="4:111" ht="18" customHeight="1" thickBot="1">
      <c r="H26" s="108"/>
      <c r="K26" s="106"/>
      <c r="L26" s="106"/>
      <c r="R26" s="106"/>
      <c r="S26" s="106"/>
      <c r="T26" s="106"/>
      <c r="U26" s="106"/>
      <c r="V26" s="106"/>
      <c r="W26" s="106"/>
      <c r="Y26" s="106"/>
      <c r="Z26" s="106"/>
      <c r="AA26" s="106"/>
      <c r="AB26" s="106"/>
      <c r="AC26" s="106"/>
      <c r="AE26" s="108"/>
      <c r="AM26" s="111"/>
      <c r="AN26" s="2035" t="s">
        <v>89</v>
      </c>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28"/>
    </row>
    <row r="27" spans="4:111" ht="18" thickTop="1" thickBot="1">
      <c r="H27" s="2143" t="s">
        <v>166</v>
      </c>
      <c r="I27" s="2144"/>
      <c r="J27" s="112"/>
      <c r="K27" s="2134"/>
      <c r="L27" s="2134"/>
      <c r="M27" s="126"/>
      <c r="N27" s="112"/>
      <c r="O27" s="112"/>
      <c r="P27" s="112"/>
      <c r="Q27" s="112"/>
      <c r="R27" s="112"/>
      <c r="S27" s="126"/>
      <c r="T27" s="126"/>
      <c r="U27" s="112"/>
      <c r="V27" s="126"/>
      <c r="W27" s="126"/>
      <c r="X27" s="112"/>
      <c r="Y27" s="2065" t="str">
        <f>'Iteration II Simulation'!L37</f>
        <v xml:space="preserve">Q7 </v>
      </c>
      <c r="Z27" s="2065"/>
      <c r="AA27" s="2065"/>
      <c r="AB27" s="2073"/>
      <c r="AC27" s="2073"/>
      <c r="AE27" s="128"/>
      <c r="AF27" s="111"/>
      <c r="AM27" s="109"/>
      <c r="AN27" s="2035"/>
      <c r="BJ27" s="106"/>
      <c r="BK27" s="106"/>
    </row>
    <row r="28" spans="4:111" ht="18" customHeight="1" thickTop="1" thickBot="1">
      <c r="H28" s="2147"/>
      <c r="I28" s="2148"/>
      <c r="L28" s="111"/>
      <c r="P28" s="111"/>
      <c r="R28" s="106"/>
      <c r="S28" s="114"/>
      <c r="T28" s="106"/>
      <c r="U28" s="111"/>
      <c r="W28" s="92"/>
      <c r="Y28" s="2053" t="str">
        <f>'Iteration II Simulation'!M37</f>
        <v>On average, how many hours do you usually spend on bus for commuting each week?</v>
      </c>
      <c r="Z28" s="2053"/>
      <c r="AA28" s="2053"/>
      <c r="AB28" s="2135"/>
      <c r="AC28" s="2135"/>
      <c r="AD28" s="109"/>
      <c r="AE28" s="109"/>
      <c r="AF28" s="111"/>
    </row>
    <row r="29" spans="4:111" ht="18" thickTop="1" thickBot="1">
      <c r="H29" s="108"/>
      <c r="K29" s="2086" t="s">
        <v>155</v>
      </c>
      <c r="L29" s="2087"/>
      <c r="M29" s="2088"/>
      <c r="O29" s="2081" t="s">
        <v>167</v>
      </c>
      <c r="P29" s="2082"/>
      <c r="Q29" s="2083"/>
      <c r="R29" s="106"/>
      <c r="S29" s="114"/>
      <c r="T29" s="2081" t="s">
        <v>169</v>
      </c>
      <c r="U29" s="2082"/>
      <c r="V29" s="2083"/>
      <c r="W29" s="92"/>
      <c r="Y29" s="2053"/>
      <c r="Z29" s="2053"/>
      <c r="AA29" s="2053"/>
      <c r="AB29" s="2089"/>
      <c r="AC29" s="2089"/>
      <c r="AF29" s="111"/>
      <c r="CH29" s="106"/>
      <c r="CI29" s="106"/>
      <c r="CJ29" s="106"/>
    </row>
    <row r="30" spans="4:111" ht="17" thickBot="1">
      <c r="H30" s="108"/>
      <c r="K30" s="154" t="s">
        <v>69</v>
      </c>
      <c r="L30" s="86" t="str">
        <f>H4&amp;" / Mode"</f>
        <v>Q2 / Mode</v>
      </c>
      <c r="M30" s="153" t="s">
        <v>49</v>
      </c>
      <c r="O30" s="167" t="s">
        <v>69</v>
      </c>
      <c r="P30" s="161" t="str">
        <f>D4&amp;" / Postcode"</f>
        <v>Q1 / Postcode</v>
      </c>
      <c r="Q30" s="1494">
        <f>F10</f>
        <v>0</v>
      </c>
      <c r="R30" s="106"/>
      <c r="T30" s="2055" t="s">
        <v>70</v>
      </c>
      <c r="U30" s="23" t="s">
        <v>164</v>
      </c>
      <c r="V30" s="1498">
        <f>'Iteration II Simulation'!N66</f>
        <v>0.36551246602196114</v>
      </c>
      <c r="W30" s="106"/>
      <c r="Y30" s="106"/>
      <c r="Z30" s="110"/>
      <c r="AA30" s="106"/>
      <c r="AB30" s="106"/>
      <c r="AC30" s="106"/>
      <c r="AF30" s="111"/>
      <c r="BU30" s="106"/>
      <c r="BV30" s="106"/>
      <c r="BW30" s="106"/>
      <c r="BX30" s="106"/>
      <c r="CH30" s="106"/>
      <c r="CI30" s="106"/>
      <c r="CJ30" s="106"/>
    </row>
    <row r="31" spans="4:111" ht="18" customHeight="1" thickBot="1">
      <c r="H31" s="108"/>
      <c r="K31" s="2055" t="s">
        <v>152</v>
      </c>
      <c r="L31" s="2136" t="s">
        <v>168</v>
      </c>
      <c r="M31" s="124" t="s">
        <v>127</v>
      </c>
      <c r="O31" s="2055" t="s">
        <v>70</v>
      </c>
      <c r="P31" s="2092" t="s">
        <v>180</v>
      </c>
      <c r="Q31" s="2149" t="e">
        <f>'Iteration II Simulation'!N62</f>
        <v>#N/A</v>
      </c>
      <c r="T31" s="2056"/>
      <c r="U31" s="24" t="s">
        <v>161</v>
      </c>
      <c r="V31" s="1499">
        <f>'Iteration II Simulation'!N67</f>
        <v>4.0206371262415724E-3</v>
      </c>
      <c r="Y31" s="2086" t="s">
        <v>165</v>
      </c>
      <c r="Z31" s="2087"/>
      <c r="AA31" s="2088"/>
      <c r="AC31" s="106"/>
      <c r="AF31" s="111"/>
      <c r="BR31" s="116"/>
      <c r="BS31" s="116"/>
      <c r="BT31" s="116"/>
      <c r="BU31" s="106"/>
      <c r="BV31" s="106"/>
      <c r="BW31" s="106"/>
      <c r="BX31" s="106"/>
      <c r="CH31" s="106"/>
      <c r="CI31" s="106"/>
      <c r="CJ31" s="106"/>
    </row>
    <row r="32" spans="4:111" ht="17" thickBot="1">
      <c r="H32" s="108"/>
      <c r="K32" s="2056"/>
      <c r="L32" s="2137"/>
      <c r="M32" s="125" t="s">
        <v>130</v>
      </c>
      <c r="O32" s="2056"/>
      <c r="P32" s="2093"/>
      <c r="Q32" s="2150"/>
      <c r="T32" s="114"/>
      <c r="U32" s="114"/>
      <c r="V32" s="114"/>
      <c r="W32" s="116"/>
      <c r="Y32" s="2054" t="s">
        <v>69</v>
      </c>
      <c r="Z32" s="85" t="str">
        <f>Y27&amp;" / hrs"</f>
        <v>Q7  / hrs</v>
      </c>
      <c r="AA32" s="1496">
        <f>'Iteration II Simulation'!O38</f>
        <v>0</v>
      </c>
      <c r="AE32" s="108"/>
      <c r="AM32" s="112"/>
      <c r="AN32" s="2035" t="s">
        <v>88</v>
      </c>
      <c r="AO32" s="112"/>
      <c r="AP32" s="2134"/>
      <c r="AQ32" s="2134"/>
      <c r="AR32" s="126"/>
      <c r="AS32" s="112"/>
      <c r="AT32" s="112"/>
      <c r="AU32" s="112"/>
      <c r="AV32" s="112"/>
      <c r="AW32" s="112"/>
      <c r="AX32" s="126"/>
      <c r="AY32" s="126"/>
      <c r="AZ32" s="112"/>
      <c r="BA32" s="126"/>
      <c r="BB32" s="126"/>
      <c r="BC32" s="112"/>
      <c r="BD32" s="2065" t="str">
        <f>'Iteration II Simulation'!M84</f>
        <v>Q17</v>
      </c>
      <c r="BE32" s="2065"/>
      <c r="BF32" s="2065"/>
      <c r="BG32" s="2073"/>
      <c r="BH32" s="2073"/>
      <c r="BJ32" s="2073"/>
      <c r="BK32" s="2073"/>
      <c r="BL32" s="106"/>
      <c r="BM32" s="2072" t="str">
        <f>'Iteration II Simulation'!D122</f>
        <v>Q18</v>
      </c>
      <c r="BR32" s="176"/>
      <c r="BS32" s="112"/>
      <c r="BT32" s="2035" t="s">
        <v>88</v>
      </c>
      <c r="BU32" s="126"/>
      <c r="BV32" s="2065" t="str">
        <f>'Iteration II Simulation'!L127</f>
        <v>Q21</v>
      </c>
      <c r="BW32" s="2065"/>
      <c r="BX32" s="2065"/>
      <c r="BY32" s="112"/>
      <c r="BZ32" s="112"/>
      <c r="CA32" s="112"/>
      <c r="CB32" s="112"/>
      <c r="CC32" s="112"/>
      <c r="CD32" s="2065" t="str">
        <f>'Iteration II Simulation'!L134</f>
        <v>Q22</v>
      </c>
      <c r="CE32" s="2065"/>
      <c r="CF32" s="2065"/>
      <c r="CG32" s="112"/>
      <c r="CH32" s="126"/>
      <c r="CI32" s="106"/>
      <c r="CJ32" s="2072" t="str">
        <f>'Iteration II Simulation'!S122</f>
        <v>Q23</v>
      </c>
      <c r="CM32" s="176"/>
      <c r="CN32" s="176"/>
      <c r="CO32" s="176"/>
      <c r="CP32" s="112"/>
      <c r="CQ32" s="2035" t="s">
        <v>88</v>
      </c>
      <c r="CR32" s="126"/>
      <c r="CS32" s="112"/>
      <c r="CT32" s="112"/>
      <c r="CU32" s="112"/>
      <c r="CV32" s="112"/>
      <c r="CW32" s="112"/>
      <c r="CX32" s="112"/>
      <c r="CY32" s="112"/>
      <c r="CZ32" s="112"/>
      <c r="DA32" s="2065" t="str">
        <f>'Iteration II Simulation'!L169</f>
        <v>Q29</v>
      </c>
      <c r="DB32" s="2065"/>
      <c r="DC32" s="2065"/>
      <c r="DD32" s="112"/>
      <c r="DE32" s="126"/>
      <c r="DF32" s="106"/>
      <c r="DG32" s="2072" t="s">
        <v>182</v>
      </c>
    </row>
    <row r="33" spans="7:111" ht="18" customHeight="1" thickTop="1" thickBot="1">
      <c r="H33" s="108"/>
      <c r="W33" s="106"/>
      <c r="Y33" s="2055"/>
      <c r="Z33" s="87" t="s">
        <v>3768</v>
      </c>
      <c r="AA33" s="1497">
        <v>52</v>
      </c>
      <c r="AE33" s="108"/>
      <c r="AM33" s="111"/>
      <c r="AN33" s="2035"/>
      <c r="AQ33" s="111"/>
      <c r="AU33" s="111"/>
      <c r="AW33" s="106"/>
      <c r="AX33" s="114"/>
      <c r="AY33" s="106"/>
      <c r="AZ33" s="111"/>
      <c r="BB33" s="92"/>
      <c r="BD33" s="2053" t="str">
        <f>'Iteration II Simulation'!N84</f>
        <v>On average, how many hours do you usually spend on a bus outside of commuting each week?</v>
      </c>
      <c r="BE33" s="2053"/>
      <c r="BF33" s="2053"/>
      <c r="BG33" s="2135"/>
      <c r="BH33" s="2135"/>
      <c r="BI33" s="109"/>
      <c r="BJ33" s="109"/>
      <c r="BK33" s="109"/>
      <c r="BL33" s="129"/>
      <c r="BM33" s="2072"/>
      <c r="BR33" s="176"/>
      <c r="BS33" s="111"/>
      <c r="BT33" s="2035"/>
      <c r="BU33" s="106"/>
      <c r="BV33" s="2053" t="str">
        <f>'Iteration II Simulation'!M127</f>
        <v>What type of wood-burning stove do you have?</v>
      </c>
      <c r="BW33" s="2053"/>
      <c r="BX33" s="2053"/>
      <c r="BZ33" s="106"/>
      <c r="CA33" s="106"/>
      <c r="CB33" s="176"/>
      <c r="CD33" s="2053" t="str">
        <f>'Iteration II Simulation'!M134</f>
        <v>On average, what is the total number of hours you operate your wood burning stove each week?</v>
      </c>
      <c r="CE33" s="2053"/>
      <c r="CF33" s="2053"/>
      <c r="CG33" s="176"/>
      <c r="CH33" s="145"/>
      <c r="CI33" s="129"/>
      <c r="CJ33" s="2072"/>
      <c r="CM33" s="176"/>
      <c r="CN33" s="176"/>
      <c r="CO33" s="176"/>
      <c r="CP33" s="111"/>
      <c r="CQ33" s="2035"/>
      <c r="CR33" s="106"/>
      <c r="CS33" s="176"/>
      <c r="CT33" s="111"/>
      <c r="CU33" s="176"/>
      <c r="CV33" s="176"/>
      <c r="CW33" s="176"/>
      <c r="CX33" s="111"/>
      <c r="CY33" s="176"/>
      <c r="CZ33" s="176"/>
      <c r="DA33" s="2053" t="str">
        <f>'Iteration II Simulation'!M169</f>
        <v>On average, how many grocery shops delivery do you make each week?</v>
      </c>
      <c r="DB33" s="2053"/>
      <c r="DC33" s="2053"/>
      <c r="DD33" s="176"/>
      <c r="DE33" s="145"/>
      <c r="DF33" s="129"/>
      <c r="DG33" s="2072"/>
    </row>
    <row r="34" spans="7:111" ht="17" thickBot="1">
      <c r="H34" s="108"/>
      <c r="W34" s="106"/>
      <c r="Y34" s="2056"/>
      <c r="Z34" s="78" t="s">
        <v>160</v>
      </c>
      <c r="AA34" s="1500" t="e">
        <f>Q31</f>
        <v>#N/A</v>
      </c>
      <c r="AE34" s="108"/>
      <c r="AL34" s="106"/>
      <c r="AM34" s="111"/>
      <c r="AP34" s="2086" t="s">
        <v>155</v>
      </c>
      <c r="AQ34" s="2087"/>
      <c r="AR34" s="2088"/>
      <c r="AT34" s="2081" t="s">
        <v>167</v>
      </c>
      <c r="AU34" s="2082"/>
      <c r="AV34" s="2083"/>
      <c r="AW34" s="106"/>
      <c r="AX34" s="114"/>
      <c r="AY34" s="2081" t="s">
        <v>169</v>
      </c>
      <c r="AZ34" s="2082"/>
      <c r="BA34" s="2083"/>
      <c r="BB34" s="92"/>
      <c r="BD34" s="2053"/>
      <c r="BE34" s="2053"/>
      <c r="BF34" s="2053"/>
      <c r="BG34" s="2089"/>
      <c r="BH34" s="2089"/>
      <c r="BL34" s="111"/>
      <c r="BM34" s="176"/>
      <c r="BR34" s="106"/>
      <c r="BS34" s="111"/>
      <c r="BT34" s="176"/>
      <c r="BU34" s="106"/>
      <c r="BV34" s="2053"/>
      <c r="BW34" s="2053"/>
      <c r="BX34" s="2053"/>
      <c r="BZ34" s="2073"/>
      <c r="CA34" s="2073"/>
      <c r="CB34" s="2073"/>
      <c r="CD34" s="2053"/>
      <c r="CE34" s="2053"/>
      <c r="CF34" s="2053"/>
      <c r="CG34" s="176"/>
      <c r="CH34" s="176"/>
      <c r="CI34" s="111"/>
      <c r="CJ34" s="176"/>
      <c r="CM34" s="176"/>
      <c r="CN34" s="176"/>
      <c r="CO34" s="106"/>
      <c r="CP34" s="111"/>
      <c r="CQ34" s="176"/>
      <c r="CR34" s="106"/>
      <c r="CS34" s="2081" t="s">
        <v>3340</v>
      </c>
      <c r="CT34" s="2082"/>
      <c r="CU34" s="2083"/>
      <c r="CV34" s="176"/>
      <c r="CW34" s="2081" t="s">
        <v>158</v>
      </c>
      <c r="CX34" s="2082"/>
      <c r="CY34" s="2083"/>
      <c r="CZ34" s="176"/>
      <c r="DA34" s="2053"/>
      <c r="DB34" s="2053"/>
      <c r="DC34" s="2053"/>
      <c r="DD34" s="176"/>
      <c r="DE34" s="176"/>
      <c r="DF34" s="111"/>
      <c r="DG34" s="176"/>
    </row>
    <row r="35" spans="7:111" ht="17" thickBot="1">
      <c r="H35" s="108"/>
      <c r="U35" s="106"/>
      <c r="V35" s="106"/>
      <c r="W35" s="106"/>
      <c r="Y35" s="107"/>
      <c r="Z35" s="111"/>
      <c r="AA35" s="106"/>
      <c r="AC35" s="106"/>
      <c r="AE35" s="108"/>
      <c r="AL35" s="108"/>
      <c r="AM35" s="106"/>
      <c r="AP35" s="154" t="s">
        <v>69</v>
      </c>
      <c r="AQ35" s="86" t="str">
        <f>AJ41&amp;" / Mode"</f>
        <v>Q16 / Mode</v>
      </c>
      <c r="AR35" s="153" t="s">
        <v>49</v>
      </c>
      <c r="AT35" s="167" t="s">
        <v>69</v>
      </c>
      <c r="AU35" s="161" t="str">
        <f>D4&amp;" / Postcode"</f>
        <v>Q1 / Postcode</v>
      </c>
      <c r="AV35" s="174">
        <f>Q30</f>
        <v>0</v>
      </c>
      <c r="AW35" s="106"/>
      <c r="AY35" s="2055" t="s">
        <v>70</v>
      </c>
      <c r="AZ35" s="23" t="s">
        <v>164</v>
      </c>
      <c r="BA35" s="40">
        <f>'Iteration II Simulation'!N66</f>
        <v>0.36551246602196114</v>
      </c>
      <c r="BB35" s="106"/>
      <c r="BD35" s="106"/>
      <c r="BE35" s="110"/>
      <c r="BF35" s="106"/>
      <c r="BG35" s="106"/>
      <c r="BH35" s="106"/>
      <c r="BL35" s="111"/>
      <c r="BM35" s="176"/>
      <c r="BR35" s="108"/>
      <c r="BS35" s="106"/>
      <c r="BT35" s="176"/>
      <c r="BU35" s="106"/>
      <c r="BV35" s="176"/>
      <c r="BW35" s="111"/>
      <c r="BX35" s="176"/>
      <c r="BZ35" s="135"/>
      <c r="CA35" s="197"/>
      <c r="CB35" s="106"/>
      <c r="CD35" s="176"/>
      <c r="CE35" s="111"/>
      <c r="CF35" s="176"/>
      <c r="CG35" s="176"/>
      <c r="CH35" s="176"/>
      <c r="CI35" s="111"/>
      <c r="CJ35" s="176"/>
      <c r="CM35" s="176"/>
      <c r="CN35" s="176"/>
      <c r="CO35" s="108"/>
      <c r="CP35" s="106"/>
      <c r="CQ35" s="176"/>
      <c r="CR35" s="106"/>
      <c r="CS35" s="2054" t="s">
        <v>70</v>
      </c>
      <c r="CT35" s="2091" t="s">
        <v>3329</v>
      </c>
      <c r="CU35" s="2108">
        <f>'Iteration II Simulation'!N179</f>
        <v>0.49709631578947361</v>
      </c>
      <c r="CV35" s="176"/>
      <c r="CW35" s="167" t="s">
        <v>69</v>
      </c>
      <c r="CX35" s="521" t="str">
        <f>D4&amp;" / Postcode"</f>
        <v>Q1 / Postcode</v>
      </c>
      <c r="CY35" s="474">
        <f>'Iteration II Simulation'!G12</f>
        <v>0</v>
      </c>
      <c r="CZ35" s="176"/>
      <c r="DA35" s="176"/>
      <c r="DB35" s="111"/>
      <c r="DC35" s="176"/>
      <c r="DD35" s="176"/>
      <c r="DE35" s="176"/>
      <c r="DF35" s="111"/>
      <c r="DG35" s="176"/>
    </row>
    <row r="36" spans="7:111" ht="17" thickBot="1">
      <c r="H36" s="108"/>
      <c r="L36" s="106"/>
      <c r="Q36" s="106"/>
      <c r="R36" s="106"/>
      <c r="S36" s="106"/>
      <c r="T36" s="106"/>
      <c r="U36" s="106"/>
      <c r="V36" s="106"/>
      <c r="W36" s="106"/>
      <c r="Y36" s="2086" t="s">
        <v>177</v>
      </c>
      <c r="Z36" s="2087"/>
      <c r="AA36" s="2087"/>
      <c r="AB36" s="2088"/>
      <c r="AC36" s="106"/>
      <c r="AF36" s="111"/>
      <c r="AL36" s="108"/>
      <c r="AM36" s="106"/>
      <c r="AP36" s="2055" t="s">
        <v>152</v>
      </c>
      <c r="AQ36" s="2136" t="s">
        <v>168</v>
      </c>
      <c r="AR36" s="124" t="s">
        <v>127</v>
      </c>
      <c r="AT36" s="2055" t="s">
        <v>70</v>
      </c>
      <c r="AU36" s="2092" t="s">
        <v>180</v>
      </c>
      <c r="AV36" s="2109" t="e">
        <f>'Iteration II Simulation'!O107</f>
        <v>#N/A</v>
      </c>
      <c r="AY36" s="2056"/>
      <c r="AZ36" s="24" t="s">
        <v>161</v>
      </c>
      <c r="BA36" s="41">
        <f>'Iteration II Simulation'!N67</f>
        <v>4.0206371262415724E-3</v>
      </c>
      <c r="BD36" s="2086" t="s">
        <v>165</v>
      </c>
      <c r="BE36" s="2087"/>
      <c r="BF36" s="2088"/>
      <c r="BH36" s="106"/>
      <c r="BL36" s="111"/>
      <c r="BM36" s="176"/>
      <c r="BR36" s="108"/>
      <c r="BS36" s="106"/>
      <c r="BT36" s="176"/>
      <c r="BU36" s="106"/>
      <c r="BV36" s="2074" t="s">
        <v>183</v>
      </c>
      <c r="BW36" s="2075"/>
      <c r="BX36" s="2075"/>
      <c r="BY36" s="2076"/>
      <c r="BZ36" s="106"/>
      <c r="CA36" s="197"/>
      <c r="CB36" s="106"/>
      <c r="CD36" s="2086" t="s">
        <v>165</v>
      </c>
      <c r="CE36" s="2087"/>
      <c r="CF36" s="2087"/>
      <c r="CG36" s="2088"/>
      <c r="CH36" s="176"/>
      <c r="CI36" s="111"/>
      <c r="CJ36" s="176"/>
      <c r="CM36" s="176"/>
      <c r="CN36" s="176"/>
      <c r="CO36" s="108"/>
      <c r="CP36" s="106"/>
      <c r="CQ36" s="176"/>
      <c r="CR36" s="106"/>
      <c r="CS36" s="2055"/>
      <c r="CT36" s="2092"/>
      <c r="CU36" s="2109"/>
      <c r="CV36" s="176"/>
      <c r="CW36" s="2054" t="s">
        <v>70</v>
      </c>
      <c r="CX36" s="2092" t="s">
        <v>162</v>
      </c>
      <c r="CY36" s="2111" t="e">
        <f>'Iteration II Simulation'!F28</f>
        <v>#N/A</v>
      </c>
      <c r="CZ36" s="176"/>
      <c r="DA36" s="2086" t="s">
        <v>165</v>
      </c>
      <c r="DB36" s="2087"/>
      <c r="DC36" s="2087"/>
      <c r="DD36" s="2088"/>
      <c r="DE36" s="176"/>
      <c r="DF36" s="111"/>
      <c r="DG36" s="176"/>
    </row>
    <row r="37" spans="7:111" ht="17" thickBot="1">
      <c r="H37" s="108"/>
      <c r="L37" s="106"/>
      <c r="Q37" s="106"/>
      <c r="R37" s="106"/>
      <c r="S37" s="106"/>
      <c r="T37" s="106"/>
      <c r="U37" s="106"/>
      <c r="V37" s="116"/>
      <c r="W37" s="116"/>
      <c r="Y37" s="90"/>
      <c r="Z37" s="91"/>
      <c r="AA37" s="93" t="s">
        <v>26</v>
      </c>
      <c r="AB37" s="93" t="s">
        <v>25</v>
      </c>
      <c r="AC37" s="106"/>
      <c r="AE37" s="108"/>
      <c r="AL37" s="108"/>
      <c r="AM37" s="106"/>
      <c r="AP37" s="2056"/>
      <c r="AQ37" s="2137"/>
      <c r="AR37" s="125" t="s">
        <v>130</v>
      </c>
      <c r="AT37" s="2056"/>
      <c r="AU37" s="2093"/>
      <c r="AV37" s="2110"/>
      <c r="AY37" s="114"/>
      <c r="AZ37" s="114"/>
      <c r="BA37" s="114"/>
      <c r="BB37" s="116"/>
      <c r="BD37" s="2054" t="s">
        <v>69</v>
      </c>
      <c r="BE37" s="85" t="str">
        <f>BD32&amp;" / hrs"</f>
        <v>Q17 / hrs</v>
      </c>
      <c r="BF37" s="88">
        <f>'Iteration II Simulation'!P85</f>
        <v>0</v>
      </c>
      <c r="BK37" s="108"/>
      <c r="BL37" s="176"/>
      <c r="BM37" s="176"/>
      <c r="BR37" s="108"/>
      <c r="BS37" s="106"/>
      <c r="BT37" s="176"/>
      <c r="BU37" s="106"/>
      <c r="BV37" s="2107" t="s">
        <v>69</v>
      </c>
      <c r="BW37" s="1492" t="str">
        <f>BV32&amp;" / Type of wood burning stove"</f>
        <v>Q21 / Type of wood burning stove</v>
      </c>
      <c r="BX37" s="1486"/>
      <c r="BY37" s="1493"/>
      <c r="BZ37" s="2090"/>
      <c r="CA37" s="2089"/>
      <c r="CB37" s="2090"/>
      <c r="CD37" s="2054" t="s">
        <v>69</v>
      </c>
      <c r="CE37" s="85" t="str">
        <f>BX8&amp;" / No. of people living together"</f>
        <v>Q19 / No. of people living together</v>
      </c>
      <c r="CF37" s="473"/>
      <c r="CG37" s="182">
        <f>'Iteration II Simulation'!G129</f>
        <v>0</v>
      </c>
      <c r="CH37" s="108"/>
      <c r="CI37" s="176"/>
      <c r="CJ37" s="176"/>
      <c r="CM37" s="176"/>
      <c r="CN37" s="176"/>
      <c r="CO37" s="108"/>
      <c r="CP37" s="106"/>
      <c r="CQ37" s="176"/>
      <c r="CR37" s="106"/>
      <c r="CS37" s="2055"/>
      <c r="CT37" s="2092" t="s">
        <v>3330</v>
      </c>
      <c r="CU37" s="2109">
        <f>'Iteration II Simulation'!N180</f>
        <v>0</v>
      </c>
      <c r="CV37" s="176"/>
      <c r="CW37" s="2055"/>
      <c r="CX37" s="2092"/>
      <c r="CY37" s="2111"/>
      <c r="CZ37" s="176"/>
      <c r="DA37" s="188" t="s">
        <v>69</v>
      </c>
      <c r="DB37" s="485" t="str">
        <f>DA32&amp;" / No. of deliveries"</f>
        <v>Q29 / No. of deliveries</v>
      </c>
      <c r="DC37" s="482"/>
      <c r="DD37" s="182">
        <f>'Iteration II Simulation'!O170</f>
        <v>0</v>
      </c>
      <c r="DE37" s="108"/>
      <c r="DF37" s="176"/>
      <c r="DG37" s="176"/>
    </row>
    <row r="38" spans="7:111" ht="17" thickBot="1">
      <c r="H38" s="108"/>
      <c r="K38" s="106"/>
      <c r="L38" s="106"/>
      <c r="Q38" s="106"/>
      <c r="R38" s="106"/>
      <c r="S38" s="116"/>
      <c r="T38" s="106"/>
      <c r="U38" s="118"/>
      <c r="V38" s="116"/>
      <c r="W38" s="116"/>
      <c r="Y38" s="2054" t="s">
        <v>69</v>
      </c>
      <c r="Z38" s="10" t="s">
        <v>176</v>
      </c>
      <c r="AA38" s="1505">
        <f>V30</f>
        <v>0.36551246602196114</v>
      </c>
      <c r="AB38" s="1505">
        <f>V31</f>
        <v>4.0206371262415724E-3</v>
      </c>
      <c r="AC38" s="106"/>
      <c r="AF38" s="111"/>
      <c r="AM38" s="111"/>
      <c r="BB38" s="106"/>
      <c r="BD38" s="2055"/>
      <c r="BE38" s="87" t="s">
        <v>3768</v>
      </c>
      <c r="BF38" s="89">
        <v>52</v>
      </c>
      <c r="BK38" s="108"/>
      <c r="BL38" s="176"/>
      <c r="BM38" s="176"/>
      <c r="BR38" s="176"/>
      <c r="BS38" s="111"/>
      <c r="BT38" s="176"/>
      <c r="BU38" s="106"/>
      <c r="BV38" s="2064"/>
      <c r="BW38" s="1489">
        <f>'Iteration II Simulation'!P132</f>
        <v>0</v>
      </c>
      <c r="BX38" s="1490"/>
      <c r="BY38" s="1491"/>
      <c r="BZ38" s="2090"/>
      <c r="CA38" s="2089"/>
      <c r="CB38" s="2090"/>
      <c r="CD38" s="2055"/>
      <c r="CE38" s="486" t="str">
        <f>CD32&amp;" / Ave Operations (winter) [hr/wk]"</f>
        <v>Q22 / Ave Operations (winter) [hr/wk]</v>
      </c>
      <c r="CF38" s="483"/>
      <c r="CG38" s="183">
        <f>'Iteration II Simulation'!N148</f>
        <v>0</v>
      </c>
      <c r="CH38" s="108"/>
      <c r="CI38" s="176"/>
      <c r="CJ38" s="176"/>
      <c r="CM38" s="176"/>
      <c r="CN38" s="176"/>
      <c r="CO38" s="176"/>
      <c r="CP38" s="111"/>
      <c r="CQ38" s="176"/>
      <c r="CR38" s="106"/>
      <c r="CS38" s="2056"/>
      <c r="CT38" s="2093"/>
      <c r="CU38" s="2110"/>
      <c r="CV38" s="176"/>
      <c r="CW38" s="2055"/>
      <c r="CX38" s="2092" t="s">
        <v>163</v>
      </c>
      <c r="CY38" s="2111" t="e">
        <f>'Iteration II Simulation'!F29</f>
        <v>#N/A</v>
      </c>
      <c r="CZ38" s="176"/>
      <c r="DA38" s="469"/>
      <c r="DB38" s="522" t="s">
        <v>3768</v>
      </c>
      <c r="DC38" s="478"/>
      <c r="DD38" s="479">
        <v>52</v>
      </c>
      <c r="DE38" s="108"/>
      <c r="DF38" s="176"/>
      <c r="DG38" s="176"/>
    </row>
    <row r="39" spans="7:111" ht="17" customHeight="1" thickBot="1">
      <c r="H39" s="108"/>
      <c r="K39" s="106"/>
      <c r="L39" s="106"/>
      <c r="Q39" s="106"/>
      <c r="R39" s="106"/>
      <c r="S39" s="127"/>
      <c r="T39" s="106"/>
      <c r="U39" s="106"/>
      <c r="V39" s="106"/>
      <c r="W39" s="132"/>
      <c r="Y39" s="2056"/>
      <c r="Z39" s="162" t="s">
        <v>145</v>
      </c>
      <c r="AA39" s="1506" t="e">
        <f>F11</f>
        <v>#N/A</v>
      </c>
      <c r="AB39" s="1507" t="e">
        <f>F13</f>
        <v>#N/A</v>
      </c>
      <c r="AC39" s="106"/>
      <c r="AF39" s="111"/>
      <c r="AM39" s="111"/>
      <c r="BB39" s="106"/>
      <c r="BD39" s="2056"/>
      <c r="BE39" s="78" t="s">
        <v>160</v>
      </c>
      <c r="BF39" s="117" t="e">
        <f>AV36</f>
        <v>#N/A</v>
      </c>
      <c r="BK39" s="108"/>
      <c r="BL39" s="176"/>
      <c r="BM39" s="176"/>
      <c r="BR39" s="176"/>
      <c r="BS39" s="111"/>
      <c r="BT39" s="176"/>
      <c r="BU39" s="106"/>
      <c r="BV39" s="2063" t="s">
        <v>70</v>
      </c>
      <c r="BW39" s="2097" t="s">
        <v>3325</v>
      </c>
      <c r="BX39" s="2098"/>
      <c r="BY39" s="1487" t="e">
        <f>'Iteration II Simulation'!N140</f>
        <v>#N/A</v>
      </c>
      <c r="CD39" s="2055"/>
      <c r="CE39" s="486" t="str">
        <f>CD32&amp;" / Ave Operations (summer) [hr/wk]"</f>
        <v>Q22 / Ave Operations (summer) [hr/wk]</v>
      </c>
      <c r="CF39" s="483"/>
      <c r="CG39" s="183">
        <f>'Iteration II Simulation'!N149</f>
        <v>0</v>
      </c>
      <c r="CH39" s="108"/>
      <c r="CI39" s="176"/>
      <c r="CJ39" s="176"/>
      <c r="CM39" s="176"/>
      <c r="CN39" s="176"/>
      <c r="CO39" s="176"/>
      <c r="CP39" s="111"/>
      <c r="CQ39" s="176"/>
      <c r="CR39" s="106"/>
      <c r="CS39" s="106"/>
      <c r="CT39" s="106"/>
      <c r="CU39" s="106"/>
      <c r="CV39" s="106"/>
      <c r="CW39" s="2056"/>
      <c r="CX39" s="2093"/>
      <c r="CY39" s="2112"/>
      <c r="CZ39" s="176"/>
      <c r="DA39" s="95" t="s">
        <v>3319</v>
      </c>
      <c r="DB39" s="90" t="s">
        <v>3284</v>
      </c>
      <c r="DC39" s="516"/>
      <c r="DD39" s="196">
        <f>DD37*DD38</f>
        <v>0</v>
      </c>
      <c r="DE39" s="108"/>
      <c r="DF39" s="176"/>
      <c r="DG39" s="176"/>
    </row>
    <row r="40" spans="7:111" ht="17" customHeight="1" thickBot="1">
      <c r="H40" s="108"/>
      <c r="K40" s="106"/>
      <c r="L40" s="106"/>
      <c r="Q40" s="106"/>
      <c r="R40" s="106"/>
      <c r="S40" s="120"/>
      <c r="T40" s="106"/>
      <c r="U40" s="106"/>
      <c r="V40" s="106"/>
      <c r="W40" s="106"/>
      <c r="Y40" s="2055" t="s">
        <v>159</v>
      </c>
      <c r="Z40" s="138" t="s">
        <v>112</v>
      </c>
      <c r="AA40" s="1508" t="e">
        <f>AA38*AA33*AA34*AA32</f>
        <v>#N/A</v>
      </c>
      <c r="AB40" s="1508" t="e">
        <f>AB38*AA33*AA34*AA32</f>
        <v>#N/A</v>
      </c>
      <c r="AC40" s="106"/>
      <c r="AE40" s="108"/>
      <c r="AL40" s="108"/>
      <c r="AZ40" s="106"/>
      <c r="BA40" s="106"/>
      <c r="BB40" s="106"/>
      <c r="BD40" s="107"/>
      <c r="BE40" s="111"/>
      <c r="BF40" s="106"/>
      <c r="BH40" s="106"/>
      <c r="BK40" s="108"/>
      <c r="BL40" s="176"/>
      <c r="BM40" s="176"/>
      <c r="BR40" s="108"/>
      <c r="BS40" s="176"/>
      <c r="BT40" s="176"/>
      <c r="BU40" s="106"/>
      <c r="BV40" s="2064"/>
      <c r="BW40" s="2099" t="s">
        <v>3326</v>
      </c>
      <c r="BX40" s="2100"/>
      <c r="BY40" s="1488" t="e">
        <f>'Iteration II Simulation'!N141</f>
        <v>#N/A</v>
      </c>
      <c r="CD40" s="2055"/>
      <c r="CE40" s="278" t="s">
        <v>3320</v>
      </c>
      <c r="CF40" s="285"/>
      <c r="CG40" s="21">
        <v>21</v>
      </c>
      <c r="CH40" s="108"/>
      <c r="CI40" s="176"/>
      <c r="CJ40" s="176"/>
      <c r="CM40" s="176"/>
      <c r="CN40" s="176"/>
      <c r="CO40" s="108"/>
      <c r="CP40" s="176"/>
      <c r="CQ40" s="176"/>
      <c r="CR40" s="106"/>
      <c r="CS40" s="197"/>
      <c r="CT40" s="194"/>
      <c r="CU40" s="194"/>
      <c r="CV40" s="106"/>
      <c r="CW40" s="176"/>
      <c r="CX40" s="176"/>
      <c r="CY40" s="176"/>
      <c r="CZ40" s="176"/>
      <c r="DA40" s="107"/>
      <c r="DB40" s="111"/>
      <c r="DC40" s="106"/>
      <c r="DD40" s="176"/>
      <c r="DE40" s="108"/>
      <c r="DF40" s="176"/>
      <c r="DG40" s="176"/>
    </row>
    <row r="41" spans="7:111" ht="17" thickBot="1">
      <c r="H41" s="108"/>
      <c r="K41" s="106"/>
      <c r="L41" s="106"/>
      <c r="Q41" s="106"/>
      <c r="R41" s="106"/>
      <c r="S41" s="120"/>
      <c r="T41" s="106"/>
      <c r="U41" s="106"/>
      <c r="V41" s="116"/>
      <c r="W41" s="116"/>
      <c r="Y41" s="2056"/>
      <c r="Z41" s="133" t="s">
        <v>111</v>
      </c>
      <c r="AA41" s="1509" t="e">
        <f>AA39*AA40/(10^6)</f>
        <v>#N/A</v>
      </c>
      <c r="AB41" s="1510" t="e">
        <f>AB40*AB39/(10^6)</f>
        <v>#N/A</v>
      </c>
      <c r="AC41" s="106"/>
      <c r="AE41" s="108"/>
      <c r="AJ41" s="2129" t="str">
        <f>'Iteration II Simulation'!M79</f>
        <v>Q16</v>
      </c>
      <c r="AK41" s="2129"/>
      <c r="AL41" s="128"/>
      <c r="AM41" s="111"/>
      <c r="AQ41" s="106"/>
      <c r="AV41" s="106"/>
      <c r="AW41" s="106"/>
      <c r="AX41" s="106"/>
      <c r="AY41" s="106"/>
      <c r="AZ41" s="106"/>
      <c r="BA41" s="106"/>
      <c r="BB41" s="106"/>
      <c r="BD41" s="2086" t="s">
        <v>177</v>
      </c>
      <c r="BE41" s="2087"/>
      <c r="BF41" s="2087"/>
      <c r="BG41" s="2088"/>
      <c r="BH41" s="106"/>
      <c r="BL41" s="111"/>
      <c r="BM41" s="176"/>
      <c r="BP41" s="2065" t="str">
        <f>'Iteration II Simulation'!L122</f>
        <v>Q20</v>
      </c>
      <c r="BQ41" s="2065"/>
      <c r="BR41" s="128"/>
      <c r="BS41" s="111"/>
      <c r="BT41" s="176"/>
      <c r="BU41" s="106"/>
      <c r="BV41" s="176"/>
      <c r="BW41" s="111"/>
      <c r="BX41" s="176"/>
      <c r="CD41" s="2056"/>
      <c r="CE41" s="278" t="s">
        <v>3321</v>
      </c>
      <c r="CF41" s="285"/>
      <c r="CG41" s="21">
        <v>32</v>
      </c>
      <c r="CH41" s="176"/>
      <c r="CI41" s="111"/>
      <c r="CJ41" s="176"/>
      <c r="CM41" s="2065" t="str">
        <f>'Iteration II Simulation'!L164</f>
        <v>Q28</v>
      </c>
      <c r="CN41" s="2065"/>
      <c r="CO41" s="128"/>
      <c r="CP41" s="111"/>
      <c r="CQ41" s="176"/>
      <c r="CR41" s="106"/>
      <c r="CS41" s="194"/>
      <c r="CT41" s="197"/>
      <c r="CU41" s="106"/>
      <c r="CV41" s="106"/>
      <c r="CW41" s="176"/>
      <c r="CX41" s="176"/>
      <c r="CY41" s="176"/>
      <c r="CZ41" s="176"/>
      <c r="DA41" s="2086" t="s">
        <v>177</v>
      </c>
      <c r="DB41" s="2087"/>
      <c r="DC41" s="2087"/>
      <c r="DD41" s="2088"/>
      <c r="DE41" s="176"/>
      <c r="DF41" s="111"/>
      <c r="DG41" s="176"/>
    </row>
    <row r="42" spans="7:111" ht="18" thickTop="1" thickBot="1">
      <c r="H42" s="108"/>
      <c r="K42" s="106"/>
      <c r="L42" s="106"/>
      <c r="Q42" s="106"/>
      <c r="R42" s="106"/>
      <c r="S42" s="106"/>
      <c r="T42" s="106"/>
      <c r="V42" s="106"/>
      <c r="W42" s="106"/>
      <c r="X42" s="106"/>
      <c r="Y42" s="106"/>
      <c r="Z42" s="106"/>
      <c r="AA42" s="106"/>
      <c r="AB42" s="118"/>
      <c r="AC42" s="106"/>
      <c r="AE42" s="108"/>
      <c r="AJ42" s="2053" t="str">
        <f>'Iteration II Simulation'!N79</f>
        <v>Outside of commuting, do you travel by bus?</v>
      </c>
      <c r="AK42" s="2053"/>
      <c r="AL42" s="113"/>
      <c r="AM42" s="111"/>
      <c r="AQ42" s="106"/>
      <c r="AV42" s="106"/>
      <c r="AW42" s="106"/>
      <c r="AX42" s="106"/>
      <c r="AY42" s="106"/>
      <c r="AZ42" s="106"/>
      <c r="BA42" s="116"/>
      <c r="BB42" s="116"/>
      <c r="BD42" s="90"/>
      <c r="BE42" s="91"/>
      <c r="BF42" s="93" t="s">
        <v>26</v>
      </c>
      <c r="BG42" s="93" t="s">
        <v>25</v>
      </c>
      <c r="BH42" s="106"/>
      <c r="BK42" s="108"/>
      <c r="BL42" s="176"/>
      <c r="BM42" s="176"/>
      <c r="BP42" s="2053" t="str">
        <f>'Iteration II Simulation'!M122</f>
        <v>Do you use a wood-burning stove at home?</v>
      </c>
      <c r="BQ42" s="2053"/>
      <c r="BR42" s="113"/>
      <c r="BS42" s="111"/>
      <c r="BT42" s="176"/>
      <c r="BU42" s="106"/>
      <c r="BV42" s="2074" t="s">
        <v>3318</v>
      </c>
      <c r="BW42" s="2075"/>
      <c r="BX42" s="2075"/>
      <c r="BY42" s="2076"/>
      <c r="CD42" s="195" t="s">
        <v>3319</v>
      </c>
      <c r="CE42" s="90" t="s">
        <v>3327</v>
      </c>
      <c r="CF42" s="516"/>
      <c r="CG42" s="196">
        <f>'Iteration II Simulation'!N152</f>
        <v>0</v>
      </c>
      <c r="CH42" s="108"/>
      <c r="CI42" s="176"/>
      <c r="CJ42" s="176"/>
      <c r="CM42" s="2053" t="str">
        <f>'Iteration II Simulation'!M164</f>
        <v>Do you shop for grocery online (E.g. Sainsbury, Ocado, Asda, etc.)?</v>
      </c>
      <c r="CN42" s="2053"/>
      <c r="CO42" s="113"/>
      <c r="CP42" s="111"/>
      <c r="CQ42" s="176"/>
      <c r="CR42" s="106"/>
      <c r="CS42" s="106"/>
      <c r="CT42" s="197"/>
      <c r="CU42" s="106"/>
      <c r="CV42" s="106"/>
      <c r="CW42" s="176"/>
      <c r="CX42" s="176"/>
      <c r="CY42" s="176"/>
      <c r="CZ42" s="176"/>
      <c r="DA42" s="90"/>
      <c r="DB42" s="91"/>
      <c r="DC42" s="95" t="s">
        <v>26</v>
      </c>
      <c r="DD42" s="95" t="s">
        <v>25</v>
      </c>
      <c r="DE42" s="108"/>
      <c r="DF42" s="176"/>
      <c r="DG42" s="176"/>
    </row>
    <row r="43" spans="7:111" ht="17" thickBot="1">
      <c r="H43" s="108"/>
      <c r="V43" s="2133"/>
      <c r="W43" s="2133"/>
      <c r="AE43" s="108"/>
      <c r="AJ43" s="2053"/>
      <c r="AK43" s="2053"/>
      <c r="AM43" s="111"/>
      <c r="AP43" s="106"/>
      <c r="AQ43" s="106"/>
      <c r="AV43" s="106"/>
      <c r="AW43" s="106"/>
      <c r="AX43" s="116"/>
      <c r="AY43" s="106"/>
      <c r="AZ43" s="118"/>
      <c r="BA43" s="116"/>
      <c r="BB43" s="116"/>
      <c r="BD43" s="2054" t="s">
        <v>69</v>
      </c>
      <c r="BE43" s="10" t="s">
        <v>176</v>
      </c>
      <c r="BF43" s="10">
        <f>BA35</f>
        <v>0.36551246602196114</v>
      </c>
      <c r="BG43" s="10">
        <f>BA36</f>
        <v>4.0206371262415724E-3</v>
      </c>
      <c r="BH43" s="106"/>
      <c r="BL43" s="111"/>
      <c r="BM43" s="176"/>
      <c r="BP43" s="2053"/>
      <c r="BQ43" s="2053"/>
      <c r="BR43" s="176"/>
      <c r="BS43" s="111"/>
      <c r="BT43" s="176"/>
      <c r="BU43" s="106"/>
      <c r="BV43" s="2107" t="s">
        <v>69</v>
      </c>
      <c r="BW43" s="2104" t="str">
        <f>BV32&amp;" / Type of wood burning stove"</f>
        <v>Q21 / Type of wood burning stove</v>
      </c>
      <c r="BX43" s="2105"/>
      <c r="BY43" s="2106"/>
      <c r="CD43" s="107"/>
      <c r="CE43" s="111"/>
      <c r="CF43" s="106"/>
      <c r="CG43" s="176"/>
      <c r="CH43" s="176"/>
      <c r="CI43" s="111"/>
      <c r="CJ43" s="176"/>
      <c r="CM43" s="2053"/>
      <c r="CN43" s="2053"/>
      <c r="CO43" s="176"/>
      <c r="CP43" s="111"/>
      <c r="CQ43" s="176"/>
      <c r="CR43" s="106"/>
      <c r="CS43" s="135"/>
      <c r="CT43" s="2089"/>
      <c r="CU43" s="2090"/>
      <c r="CV43" s="106"/>
      <c r="CW43" s="176"/>
      <c r="CX43" s="176"/>
      <c r="CY43" s="176"/>
      <c r="CZ43" s="176"/>
      <c r="DA43" s="193" t="s">
        <v>69</v>
      </c>
      <c r="DB43" s="169" t="s">
        <v>145</v>
      </c>
      <c r="DC43" s="170" t="e">
        <f>CY36</f>
        <v>#N/A</v>
      </c>
      <c r="DD43" s="171" t="e">
        <f>CY38</f>
        <v>#N/A</v>
      </c>
      <c r="DE43" s="176"/>
      <c r="DF43" s="111"/>
      <c r="DG43" s="176"/>
    </row>
    <row r="44" spans="7:111" ht="18" thickTop="1" thickBot="1">
      <c r="G44" s="106"/>
      <c r="H44" s="2143" t="s">
        <v>170</v>
      </c>
      <c r="I44" s="2144"/>
      <c r="J44" s="112"/>
      <c r="K44" s="2134"/>
      <c r="L44" s="2134"/>
      <c r="M44" s="126"/>
      <c r="N44" s="112"/>
      <c r="O44" s="112"/>
      <c r="P44" s="112"/>
      <c r="Q44" s="112"/>
      <c r="R44" s="112"/>
      <c r="S44" s="2065" t="str">
        <f>'Iteration II Simulation'!T37</f>
        <v xml:space="preserve">Q8 </v>
      </c>
      <c r="T44" s="2065"/>
      <c r="U44" s="112"/>
      <c r="V44" s="2157" t="str">
        <f>'Iteration II Simulation'!T46</f>
        <v>Q9</v>
      </c>
      <c r="W44" s="2157"/>
      <c r="X44" s="126"/>
      <c r="Y44" s="2065" t="str">
        <f>'Iteration II Simulation'!T52</f>
        <v>Q10</v>
      </c>
      <c r="Z44" s="2065"/>
      <c r="AA44" s="2065"/>
      <c r="AB44" s="116"/>
      <c r="AC44" s="116"/>
      <c r="AD44" s="116"/>
      <c r="AE44" s="128"/>
      <c r="AF44" s="111"/>
      <c r="AM44" s="111"/>
      <c r="AP44" s="106"/>
      <c r="AQ44" s="106"/>
      <c r="AV44" s="106"/>
      <c r="AW44" s="106"/>
      <c r="AX44" s="127"/>
      <c r="AY44" s="106"/>
      <c r="AZ44" s="106"/>
      <c r="BA44" s="106"/>
      <c r="BB44" s="132"/>
      <c r="BD44" s="2056"/>
      <c r="BE44" s="162" t="s">
        <v>145</v>
      </c>
      <c r="BF44" s="164" t="e">
        <f>F11</f>
        <v>#N/A</v>
      </c>
      <c r="BG44" s="165" t="e">
        <f>F13</f>
        <v>#N/A</v>
      </c>
      <c r="BH44" s="106"/>
      <c r="BL44" s="111"/>
      <c r="BM44" s="176"/>
      <c r="BR44" s="176"/>
      <c r="BS44" s="111"/>
      <c r="BT44" s="176"/>
      <c r="BU44" s="106"/>
      <c r="BV44" s="2064"/>
      <c r="BW44" s="2101">
        <f>'Iteration II Simulation'!P132</f>
        <v>0</v>
      </c>
      <c r="BX44" s="2102"/>
      <c r="BY44" s="2103"/>
      <c r="CD44" s="2086" t="s">
        <v>177</v>
      </c>
      <c r="CE44" s="2087"/>
      <c r="CF44" s="2087"/>
      <c r="CG44" s="2088"/>
      <c r="CH44" s="176"/>
      <c r="CI44" s="111"/>
      <c r="CJ44" s="176"/>
      <c r="CM44" s="176"/>
      <c r="CN44" s="176"/>
      <c r="CO44" s="176"/>
      <c r="CP44" s="111"/>
      <c r="CQ44" s="176"/>
      <c r="CR44" s="106"/>
      <c r="CS44" s="135"/>
      <c r="CT44" s="2089"/>
      <c r="CU44" s="2090"/>
      <c r="CV44" s="106"/>
      <c r="CW44" s="176"/>
      <c r="CX44" s="176"/>
      <c r="CY44" s="176"/>
      <c r="CZ44" s="176"/>
      <c r="DA44" s="2054" t="s">
        <v>159</v>
      </c>
      <c r="DB44" s="138" t="s">
        <v>112</v>
      </c>
      <c r="DC44" s="138">
        <f>CU35*DD39</f>
        <v>0</v>
      </c>
      <c r="DD44" s="138">
        <f>CU37*DD39</f>
        <v>0</v>
      </c>
      <c r="DE44" s="176"/>
      <c r="DF44" s="111"/>
      <c r="DG44" s="176"/>
    </row>
    <row r="45" spans="7:111" ht="18" customHeight="1" thickTop="1" thickBot="1">
      <c r="H45" s="2145"/>
      <c r="I45" s="2146"/>
      <c r="L45" s="111"/>
      <c r="P45" s="111"/>
      <c r="S45" s="2053" t="str">
        <f>'Iteration II Simulation'!U37</f>
        <v>What is your motorbike's engine type and size?</v>
      </c>
      <c r="T45" s="2053"/>
      <c r="V45" s="2158" t="str">
        <f>'Iteration II Simulation'!U46</f>
        <v>How old is your motorbike?</v>
      </c>
      <c r="W45" s="2158"/>
      <c r="Y45" s="2053" t="str">
        <f>'Iteration II Simulation'!U52</f>
        <v>On average, how many hours do you usually spend on a motorbike for commuting each week?</v>
      </c>
      <c r="Z45" s="2053"/>
      <c r="AA45" s="2053"/>
      <c r="AB45" s="141"/>
      <c r="AC45" s="141"/>
      <c r="AD45" s="141"/>
      <c r="AE45" s="109"/>
      <c r="AF45" s="111"/>
      <c r="AM45" s="111"/>
      <c r="AP45" s="106"/>
      <c r="AQ45" s="106"/>
      <c r="AV45" s="106"/>
      <c r="AW45" s="106"/>
      <c r="AX45" s="120"/>
      <c r="AY45" s="106"/>
      <c r="AZ45" s="106"/>
      <c r="BA45" s="106"/>
      <c r="BB45" s="106"/>
      <c r="BD45" s="2055" t="s">
        <v>159</v>
      </c>
      <c r="BE45" s="138" t="s">
        <v>112</v>
      </c>
      <c r="BF45" s="138" t="e">
        <f>BF43*BF38*BF39*BF37</f>
        <v>#N/A</v>
      </c>
      <c r="BG45" s="138" t="e">
        <f>BG43*BF38*BF39*BF37</f>
        <v>#N/A</v>
      </c>
      <c r="BH45" s="106"/>
      <c r="BK45" s="108"/>
      <c r="BL45" s="176"/>
      <c r="BM45" s="176"/>
      <c r="BR45" s="176"/>
      <c r="BS45" s="111"/>
      <c r="BT45" s="176"/>
      <c r="BU45" s="106"/>
      <c r="BV45" s="2063" t="s">
        <v>70</v>
      </c>
      <c r="BW45" s="2059" t="s">
        <v>3315</v>
      </c>
      <c r="BX45" s="2060"/>
      <c r="BY45" s="2070" t="e">
        <f>'Iteration II Simulation'!N145</f>
        <v>#N/A</v>
      </c>
      <c r="CD45" s="90"/>
      <c r="CE45" s="91"/>
      <c r="CF45" s="95" t="s">
        <v>26</v>
      </c>
      <c r="CG45" s="95" t="s">
        <v>25</v>
      </c>
      <c r="CH45" s="108"/>
      <c r="CI45" s="176"/>
      <c r="CJ45" s="176"/>
      <c r="CM45" s="176"/>
      <c r="CN45" s="176"/>
      <c r="CO45" s="176"/>
      <c r="CP45" s="111"/>
      <c r="CQ45" s="176"/>
      <c r="CR45" s="106"/>
      <c r="CS45" s="106"/>
      <c r="CT45" s="106"/>
      <c r="CU45" s="106"/>
      <c r="CV45" s="106"/>
      <c r="CW45" s="176"/>
      <c r="CX45" s="176"/>
      <c r="CY45" s="176"/>
      <c r="CZ45" s="176"/>
      <c r="DA45" s="2056"/>
      <c r="DB45" s="133" t="s">
        <v>111</v>
      </c>
      <c r="DC45" s="136" t="e">
        <f>DC44*DC43/10^6</f>
        <v>#N/A</v>
      </c>
      <c r="DD45" s="137" t="e">
        <f>DD44*DD43/10^6</f>
        <v>#N/A</v>
      </c>
      <c r="DE45" s="108"/>
      <c r="DF45" s="176"/>
      <c r="DG45" s="176"/>
    </row>
    <row r="46" spans="7:111" ht="18" thickTop="1" thickBot="1">
      <c r="H46" s="113"/>
      <c r="I46" s="129"/>
      <c r="K46" s="2086" t="s">
        <v>155</v>
      </c>
      <c r="L46" s="2087"/>
      <c r="M46" s="2088"/>
      <c r="O46" s="2081" t="s">
        <v>154</v>
      </c>
      <c r="P46" s="2082"/>
      <c r="Q46" s="2083"/>
      <c r="S46" s="2053"/>
      <c r="T46" s="2053"/>
      <c r="V46" s="2158"/>
      <c r="W46" s="2158"/>
      <c r="X46" s="116"/>
      <c r="Y46" s="2053"/>
      <c r="Z46" s="2053"/>
      <c r="AA46" s="2053"/>
      <c r="AB46" s="92"/>
      <c r="AC46" s="92"/>
      <c r="AD46" s="92"/>
      <c r="AF46" s="111"/>
      <c r="AM46" s="111"/>
      <c r="AP46" s="106"/>
      <c r="AQ46" s="106"/>
      <c r="AV46" s="106"/>
      <c r="AW46" s="106"/>
      <c r="AX46" s="120"/>
      <c r="AY46" s="106"/>
      <c r="AZ46" s="106"/>
      <c r="BA46" s="116"/>
      <c r="BB46" s="116"/>
      <c r="BD46" s="2056"/>
      <c r="BE46" s="133" t="s">
        <v>111</v>
      </c>
      <c r="BF46" s="136" t="e">
        <f>BF44*BF45/(10^6)</f>
        <v>#N/A</v>
      </c>
      <c r="BG46" s="137" t="e">
        <f>BG45*BG44/(10^6)</f>
        <v>#N/A</v>
      </c>
      <c r="BH46" s="106"/>
      <c r="BK46" s="108"/>
      <c r="BL46" s="176"/>
      <c r="BM46" s="176"/>
      <c r="BR46" s="176"/>
      <c r="BS46" s="111"/>
      <c r="BT46" s="176"/>
      <c r="BU46" s="106"/>
      <c r="BV46" s="2064"/>
      <c r="BW46" s="2061"/>
      <c r="BX46" s="2062"/>
      <c r="BY46" s="2071"/>
      <c r="CD46" s="193" t="s">
        <v>69</v>
      </c>
      <c r="CE46" s="169" t="s">
        <v>145</v>
      </c>
      <c r="CF46" s="170">
        <f>BV11</f>
        <v>13950</v>
      </c>
      <c r="CG46" s="171">
        <f>BV13</f>
        <v>85753</v>
      </c>
      <c r="CH46" s="108"/>
      <c r="CI46" s="176"/>
      <c r="CJ46" s="176"/>
      <c r="CM46" s="176"/>
      <c r="CN46" s="176"/>
      <c r="CO46" s="176"/>
      <c r="CP46" s="111"/>
      <c r="CQ46" s="176"/>
      <c r="CR46" s="106"/>
      <c r="CS46" s="176"/>
      <c r="CT46" s="176"/>
      <c r="CU46" s="176"/>
      <c r="CV46" s="176"/>
      <c r="CW46" s="176"/>
      <c r="CX46" s="176"/>
      <c r="CY46" s="176"/>
      <c r="CZ46" s="176"/>
      <c r="DA46" s="176"/>
      <c r="DB46" s="176"/>
      <c r="DC46" s="176"/>
      <c r="DD46" s="176"/>
      <c r="DE46" s="108"/>
      <c r="DF46" s="176"/>
      <c r="DG46" s="176"/>
    </row>
    <row r="47" spans="7:111" ht="17" thickBot="1">
      <c r="I47" s="111"/>
      <c r="K47" s="154" t="s">
        <v>69</v>
      </c>
      <c r="L47" s="86" t="str">
        <f>H4&amp;" / Mode"</f>
        <v>Q2 / Mode</v>
      </c>
      <c r="M47" s="153" t="s">
        <v>50</v>
      </c>
      <c r="O47" s="95" t="s">
        <v>69</v>
      </c>
      <c r="P47" s="161" t="str">
        <f>D4&amp;" / Postcode"</f>
        <v>Q1 / Postcode</v>
      </c>
      <c r="Q47" s="160">
        <f>F10</f>
        <v>0</v>
      </c>
      <c r="S47" s="108"/>
      <c r="T47" s="106"/>
      <c r="U47" s="112"/>
      <c r="V47" s="112"/>
      <c r="W47" s="111"/>
      <c r="X47" s="130"/>
      <c r="Y47" s="142"/>
      <c r="Z47" s="106"/>
      <c r="AA47" s="106"/>
      <c r="AB47" s="106"/>
      <c r="AC47" s="106"/>
      <c r="AD47" s="106"/>
      <c r="AF47" s="111"/>
      <c r="AM47" s="111"/>
      <c r="BL47" s="111"/>
      <c r="BM47" s="176"/>
      <c r="BR47" s="176"/>
      <c r="BS47" s="111"/>
      <c r="BT47" s="176"/>
      <c r="BU47" s="106"/>
      <c r="BV47" s="106"/>
      <c r="BW47" s="106"/>
      <c r="BX47" s="106"/>
      <c r="CD47" s="2054" t="s">
        <v>159</v>
      </c>
      <c r="CE47" s="138" t="s">
        <v>112</v>
      </c>
      <c r="CF47" s="492" t="e">
        <f>BY39*BY45*CG42/CG37</f>
        <v>#N/A</v>
      </c>
      <c r="CG47" s="492" t="e">
        <f>BY40*BY45*CG42/CG37</f>
        <v>#N/A</v>
      </c>
      <c r="CH47" s="176"/>
      <c r="CI47" s="111"/>
      <c r="CJ47" s="176"/>
      <c r="CM47" s="176"/>
      <c r="CN47" s="176"/>
      <c r="CO47" s="176"/>
      <c r="CP47" s="111"/>
      <c r="CQ47" s="176"/>
      <c r="CR47" s="106"/>
      <c r="CS47" s="106"/>
      <c r="CT47" s="106"/>
      <c r="CU47" s="106"/>
      <c r="CV47" s="176"/>
      <c r="CW47" s="176"/>
      <c r="CX47" s="176"/>
      <c r="CY47" s="176"/>
      <c r="CZ47" s="176"/>
      <c r="DA47" s="176"/>
      <c r="DB47" s="176"/>
      <c r="DC47" s="176"/>
      <c r="DD47" s="176"/>
      <c r="DE47" s="176"/>
      <c r="DF47" s="111"/>
      <c r="DG47" s="176"/>
    </row>
    <row r="48" spans="7:111" ht="18" customHeight="1" thickTop="1" thickBot="1">
      <c r="I48" s="111"/>
      <c r="K48" s="2055" t="s">
        <v>152</v>
      </c>
      <c r="L48" s="2136" t="s">
        <v>168</v>
      </c>
      <c r="M48" s="124" t="s">
        <v>151</v>
      </c>
      <c r="O48" s="2131" t="s">
        <v>70</v>
      </c>
      <c r="P48" s="2092" t="s">
        <v>181</v>
      </c>
      <c r="Q48" s="2109" t="e">
        <f>'Iteration II Simulation'!V59</f>
        <v>#N/A</v>
      </c>
      <c r="T48" s="109"/>
      <c r="U48" s="111"/>
      <c r="W48" s="106"/>
      <c r="X48" s="130"/>
      <c r="Y48" s="2086" t="s">
        <v>165</v>
      </c>
      <c r="Z48" s="2087"/>
      <c r="AA48" s="2088"/>
      <c r="AC48" s="106"/>
      <c r="AD48" s="106"/>
      <c r="AF48" s="111"/>
      <c r="AM48" s="111"/>
      <c r="AN48" s="2035" t="s">
        <v>89</v>
      </c>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1"/>
      <c r="BM48" s="176"/>
      <c r="BR48" s="176"/>
      <c r="BS48" s="111"/>
      <c r="CD48" s="2056"/>
      <c r="CE48" s="133" t="s">
        <v>111</v>
      </c>
      <c r="CF48" s="136" t="e">
        <f>CF47*CF46/10^6</f>
        <v>#N/A</v>
      </c>
      <c r="CG48" s="137" t="e">
        <f>CG47*CG46/10^6</f>
        <v>#N/A</v>
      </c>
      <c r="CI48" s="111"/>
      <c r="CJ48" s="176"/>
      <c r="CM48" s="176"/>
      <c r="CN48" s="176"/>
      <c r="CO48" s="176"/>
      <c r="CP48" s="111"/>
      <c r="CQ48" s="2035" t="s">
        <v>89</v>
      </c>
      <c r="CR48" s="126"/>
      <c r="CS48" s="126"/>
      <c r="CT48" s="126"/>
      <c r="CU48" s="126"/>
      <c r="CV48" s="126"/>
      <c r="CW48" s="112"/>
      <c r="CX48" s="112"/>
      <c r="CY48" s="126"/>
      <c r="CZ48" s="126"/>
      <c r="DA48" s="126"/>
      <c r="DB48" s="126"/>
      <c r="DC48" s="126"/>
      <c r="DD48" s="112"/>
      <c r="DE48" s="112"/>
      <c r="DF48" s="111"/>
      <c r="DG48" s="176"/>
    </row>
    <row r="49" spans="4:111" ht="18" thickTop="1" thickBot="1">
      <c r="I49" s="111"/>
      <c r="K49" s="2056"/>
      <c r="L49" s="2137"/>
      <c r="M49" s="125" t="s">
        <v>171</v>
      </c>
      <c r="O49" s="2131"/>
      <c r="P49" s="2092"/>
      <c r="Q49" s="2109"/>
      <c r="T49" s="2081" t="s">
        <v>178</v>
      </c>
      <c r="U49" s="2082"/>
      <c r="V49" s="2082"/>
      <c r="W49" s="2083"/>
      <c r="X49" s="116"/>
      <c r="Y49" s="2054" t="s">
        <v>69</v>
      </c>
      <c r="Z49" s="85" t="str">
        <f>Y44&amp;" / hrs"</f>
        <v>Q10 / hrs</v>
      </c>
      <c r="AA49" s="1496">
        <f>'Iteration II Simulation'!W53</f>
        <v>0</v>
      </c>
      <c r="AD49" s="106"/>
      <c r="AE49" s="108"/>
      <c r="AM49" s="109"/>
      <c r="AN49" s="2035"/>
      <c r="BJ49" s="106"/>
      <c r="BK49" s="106"/>
      <c r="BR49" s="176"/>
      <c r="BS49" s="111"/>
      <c r="BT49" s="2035" t="s">
        <v>89</v>
      </c>
      <c r="BU49" s="126"/>
      <c r="BV49" s="126"/>
      <c r="BW49" s="126"/>
      <c r="BX49" s="126"/>
      <c r="BY49" s="126"/>
      <c r="BZ49" s="112"/>
      <c r="CA49" s="112"/>
      <c r="CB49" s="126"/>
      <c r="CC49" s="126"/>
      <c r="CD49" s="126"/>
      <c r="CE49" s="126"/>
      <c r="CF49" s="126"/>
      <c r="CG49" s="112"/>
      <c r="CH49" s="112"/>
      <c r="CI49" s="111"/>
      <c r="CJ49" s="176"/>
      <c r="CM49" s="176"/>
      <c r="CN49" s="176"/>
      <c r="CO49" s="176"/>
      <c r="CP49" s="109"/>
      <c r="CQ49" s="2035"/>
      <c r="CR49" s="106"/>
      <c r="CS49" s="106"/>
      <c r="CT49" s="106"/>
      <c r="CU49" s="106"/>
      <c r="CV49" s="176"/>
      <c r="CW49" s="464"/>
      <c r="CX49" s="464"/>
      <c r="CY49" s="135"/>
      <c r="CZ49" s="464"/>
      <c r="DA49" s="176"/>
      <c r="DB49" s="176"/>
      <c r="DC49" s="176"/>
      <c r="DD49" s="176"/>
      <c r="DE49" s="176"/>
      <c r="DF49" s="176"/>
      <c r="DG49" s="176"/>
    </row>
    <row r="50" spans="4:111" ht="18" thickTop="1" thickBot="1">
      <c r="I50" s="111"/>
      <c r="O50" s="2132"/>
      <c r="P50" s="2093"/>
      <c r="Q50" s="2110"/>
      <c r="T50" s="2130" t="s">
        <v>69</v>
      </c>
      <c r="U50" s="85" t="str">
        <f>S44&amp;" / Type"</f>
        <v>Q8  / Type</v>
      </c>
      <c r="V50" s="2118">
        <f>'Iteration II Simulation'!X44</f>
        <v>0</v>
      </c>
      <c r="W50" s="2119"/>
      <c r="X50" s="106"/>
      <c r="Y50" s="2055"/>
      <c r="Z50" s="87" t="s">
        <v>3768</v>
      </c>
      <c r="AA50" s="1497">
        <v>52</v>
      </c>
      <c r="AD50" s="106"/>
      <c r="AE50" s="108"/>
      <c r="AL50" s="106"/>
      <c r="AM50" s="106"/>
      <c r="BJ50" s="106"/>
      <c r="BK50" s="106"/>
      <c r="BR50" s="176"/>
      <c r="BS50" s="109"/>
      <c r="BT50" s="2035"/>
      <c r="BU50" s="106"/>
      <c r="BV50" s="106"/>
      <c r="BW50" s="106"/>
      <c r="BX50" s="106"/>
      <c r="BY50" s="176"/>
      <c r="BZ50" s="464"/>
      <c r="CA50" s="464"/>
      <c r="CB50" s="135"/>
      <c r="CC50" s="464"/>
      <c r="CD50" s="176"/>
      <c r="CE50" s="176"/>
      <c r="CF50" s="176"/>
      <c r="CG50" s="176"/>
      <c r="CH50" s="176"/>
      <c r="CI50" s="176"/>
    </row>
    <row r="51" spans="4:111" ht="17" thickBot="1">
      <c r="I51" s="111"/>
      <c r="T51" s="2131"/>
      <c r="U51" s="87" t="str">
        <f>V44&amp;" / Age"</f>
        <v>Q9 / Age</v>
      </c>
      <c r="V51" s="2120">
        <f>'Iteration II Simulation'!X49</f>
        <v>0</v>
      </c>
      <c r="W51" s="2120"/>
      <c r="X51" s="106"/>
      <c r="Y51" s="2056"/>
      <c r="Z51" s="78" t="s">
        <v>160</v>
      </c>
      <c r="AA51" s="1500" t="e">
        <f>Q48</f>
        <v>#N/A</v>
      </c>
      <c r="AD51" s="106"/>
      <c r="AE51" s="108"/>
      <c r="BJ51" s="106"/>
      <c r="BK51" s="106"/>
      <c r="BR51" s="176"/>
      <c r="BS51" s="176"/>
      <c r="BT51" s="176"/>
      <c r="BU51" s="106"/>
      <c r="BV51" s="106"/>
      <c r="BW51" s="106"/>
      <c r="BX51" s="106"/>
      <c r="BY51" s="176"/>
      <c r="BZ51" s="176"/>
      <c r="CA51" s="176"/>
      <c r="CB51" s="176"/>
      <c r="CC51" s="176"/>
      <c r="CD51" s="176"/>
      <c r="CE51" s="176"/>
      <c r="CF51" s="176"/>
      <c r="CG51" s="176"/>
      <c r="CH51" s="176"/>
      <c r="CI51" s="176"/>
    </row>
    <row r="52" spans="4:111" ht="17" thickBot="1">
      <c r="I52" s="111"/>
      <c r="T52" s="2131"/>
      <c r="U52" s="2066" t="s">
        <v>160</v>
      </c>
      <c r="V52" s="2121" t="e">
        <f>Q48</f>
        <v>#N/A</v>
      </c>
      <c r="W52" s="2068"/>
      <c r="X52" s="106"/>
      <c r="Y52" s="107"/>
      <c r="Z52" s="111"/>
      <c r="AA52" s="106"/>
      <c r="AC52" s="106"/>
      <c r="AD52" s="106"/>
      <c r="AE52" s="108"/>
    </row>
    <row r="53" spans="4:111" ht="17" thickBot="1">
      <c r="I53" s="111"/>
      <c r="T53" s="2132"/>
      <c r="U53" s="2067"/>
      <c r="V53" s="2122"/>
      <c r="W53" s="2069"/>
      <c r="X53" s="106"/>
      <c r="Y53" s="2086" t="s">
        <v>177</v>
      </c>
      <c r="Z53" s="2087"/>
      <c r="AA53" s="2087"/>
      <c r="AB53" s="2088"/>
      <c r="AC53" s="106"/>
      <c r="AD53" s="106"/>
      <c r="AF53" s="111"/>
      <c r="AM53" s="106"/>
      <c r="AN53" s="106"/>
      <c r="AO53" s="106"/>
      <c r="BL53" s="465"/>
      <c r="CE53" s="176"/>
      <c r="CF53" s="176"/>
      <c r="CG53" s="176"/>
      <c r="CH53" s="176"/>
      <c r="CI53" s="176"/>
      <c r="CJ53" s="176"/>
    </row>
    <row r="54" spans="4:111" ht="18" customHeight="1" thickBot="1">
      <c r="H54" s="108"/>
      <c r="T54" s="2055" t="s">
        <v>70</v>
      </c>
      <c r="U54" s="72" t="s">
        <v>164</v>
      </c>
      <c r="V54" s="2123" t="e">
        <f>'Iteration II Simulation'!V66</f>
        <v>#N/A</v>
      </c>
      <c r="W54" s="2123"/>
      <c r="X54" s="116"/>
      <c r="Y54" s="90"/>
      <c r="Z54" s="91"/>
      <c r="AA54" s="93" t="s">
        <v>26</v>
      </c>
      <c r="AB54" s="93" t="s">
        <v>25</v>
      </c>
      <c r="AC54" s="106"/>
      <c r="AD54" s="116"/>
      <c r="AE54" s="108"/>
      <c r="AL54" s="106"/>
      <c r="AM54" s="106"/>
      <c r="AN54" s="464"/>
      <c r="AO54" s="106"/>
      <c r="BL54" s="465"/>
      <c r="BP54" s="176"/>
      <c r="BQ54" s="176"/>
      <c r="BR54" s="176"/>
      <c r="BS54" s="112"/>
      <c r="BT54" s="2035" t="s">
        <v>88</v>
      </c>
      <c r="BU54" s="126"/>
      <c r="BV54" s="2065" t="str">
        <f>'Iteration II Simulation'!S127</f>
        <v>Q24</v>
      </c>
      <c r="BW54" s="2065"/>
      <c r="BX54" s="2065"/>
      <c r="BY54" s="112"/>
      <c r="BZ54" s="112"/>
      <c r="CA54" s="112"/>
      <c r="CB54" s="112"/>
      <c r="CC54" s="112"/>
      <c r="CD54" s="112"/>
      <c r="CE54" s="112"/>
      <c r="CF54" s="112"/>
      <c r="CG54" s="112"/>
      <c r="CH54" s="112"/>
      <c r="CI54" s="106"/>
      <c r="CJ54" s="2072" t="str">
        <f>'Iteration II Simulation'!Y122</f>
        <v>Q25</v>
      </c>
    </row>
    <row r="55" spans="4:111" ht="18" thickTop="1" thickBot="1">
      <c r="I55" s="111"/>
      <c r="T55" s="2056"/>
      <c r="U55" s="24" t="s">
        <v>161</v>
      </c>
      <c r="V55" s="2124" t="e">
        <f>'Iteration II Simulation'!V67</f>
        <v>#N/A</v>
      </c>
      <c r="W55" s="2125"/>
      <c r="X55" s="106"/>
      <c r="Y55" s="2054" t="s">
        <v>69</v>
      </c>
      <c r="Z55" s="10" t="s">
        <v>176</v>
      </c>
      <c r="AA55" s="1505" t="e">
        <f>V54</f>
        <v>#N/A</v>
      </c>
      <c r="AB55" s="1505" t="e">
        <f>V55</f>
        <v>#N/A</v>
      </c>
      <c r="AC55" s="106"/>
      <c r="AD55" s="106"/>
      <c r="AF55" s="111"/>
      <c r="AL55" s="106"/>
      <c r="AM55" s="106"/>
      <c r="BP55" s="176"/>
      <c r="BQ55" s="176"/>
      <c r="BR55" s="176"/>
      <c r="BS55" s="111"/>
      <c r="BT55" s="2035"/>
      <c r="BU55" s="106"/>
      <c r="BV55" s="2053" t="str">
        <f>'Iteration II Simulation'!T127</f>
        <v>What is the type of your boiler fuel?</v>
      </c>
      <c r="BW55" s="2053"/>
      <c r="BX55" s="2053"/>
      <c r="BY55" s="176"/>
      <c r="BZ55" s="176"/>
      <c r="CA55" s="111"/>
      <c r="CB55" s="176"/>
      <c r="CD55" s="176"/>
      <c r="CE55" s="111"/>
      <c r="CF55" s="176"/>
      <c r="CG55" s="176"/>
      <c r="CH55" s="109"/>
      <c r="CI55" s="129"/>
      <c r="CJ55" s="2072"/>
    </row>
    <row r="56" spans="4:111" ht="17" thickBot="1">
      <c r="D56" s="156" t="s">
        <v>234</v>
      </c>
      <c r="E56" s="105" t="s">
        <v>33</v>
      </c>
      <c r="I56" s="111"/>
      <c r="W56" s="106"/>
      <c r="X56" s="116"/>
      <c r="Y56" s="2055"/>
      <c r="Z56" s="140" t="s">
        <v>145</v>
      </c>
      <c r="AA56" s="1511" t="e">
        <f>F11</f>
        <v>#N/A</v>
      </c>
      <c r="AB56" s="1512" t="e">
        <f>F13</f>
        <v>#N/A</v>
      </c>
      <c r="AC56" s="106"/>
      <c r="AD56" s="139"/>
      <c r="AF56" s="111"/>
      <c r="AL56" s="106"/>
      <c r="AM56" s="106"/>
      <c r="BP56" s="176"/>
      <c r="BQ56" s="176"/>
      <c r="BR56" s="106"/>
      <c r="BS56" s="111"/>
      <c r="BT56" s="176"/>
      <c r="BU56" s="106"/>
      <c r="BV56" s="2053"/>
      <c r="BW56" s="2053"/>
      <c r="BX56" s="2053"/>
      <c r="BY56" s="176"/>
      <c r="BZ56" s="2113" t="s">
        <v>3324</v>
      </c>
      <c r="CA56" s="2114"/>
      <c r="CB56" s="2115"/>
      <c r="CD56" s="2086" t="s">
        <v>165</v>
      </c>
      <c r="CE56" s="2087"/>
      <c r="CF56" s="2087"/>
      <c r="CG56" s="2088"/>
      <c r="CH56" s="176"/>
      <c r="CI56" s="111"/>
    </row>
    <row r="57" spans="4:111" ht="17" customHeight="1" thickBot="1">
      <c r="D57" s="156" t="s">
        <v>231</v>
      </c>
      <c r="E57" s="105" t="s">
        <v>232</v>
      </c>
      <c r="I57" s="111"/>
      <c r="W57" s="106"/>
      <c r="X57" s="106"/>
      <c r="Y57" s="2055" t="s">
        <v>159</v>
      </c>
      <c r="Z57" s="138" t="s">
        <v>112</v>
      </c>
      <c r="AA57" s="1508" t="e">
        <f>AA55*AA50*AA51*AA49</f>
        <v>#N/A</v>
      </c>
      <c r="AB57" s="1508" t="e">
        <f>AB55*AA50*AA51*AA49</f>
        <v>#N/A</v>
      </c>
      <c r="AC57" s="106"/>
      <c r="AD57" s="106"/>
      <c r="AE57" s="108"/>
      <c r="AL57" s="106"/>
      <c r="AM57" s="106"/>
      <c r="BP57" s="176"/>
      <c r="BQ57" s="176"/>
      <c r="BR57" s="108"/>
      <c r="BS57" s="106"/>
      <c r="BT57" s="176"/>
      <c r="BU57" s="106"/>
      <c r="BV57" s="176"/>
      <c r="BW57" s="111"/>
      <c r="BX57" s="176"/>
      <c r="BY57" s="176"/>
      <c r="BZ57" s="2054" t="s">
        <v>69</v>
      </c>
      <c r="CA57" s="189" t="str">
        <f>BP8&amp;" / Type of residence"</f>
        <v>Q18 / Type of residence</v>
      </c>
      <c r="CB57" s="466"/>
      <c r="CD57" s="95" t="s">
        <v>69</v>
      </c>
      <c r="CE57" s="86" t="str">
        <f>BX8&amp;" / No. of people living together"</f>
        <v>Q19 / No. of people living together</v>
      </c>
      <c r="CF57" s="168"/>
      <c r="CG57" s="474">
        <f>'Iteration II Simulation'!G129</f>
        <v>0</v>
      </c>
      <c r="CH57" s="176"/>
      <c r="CI57" s="111"/>
      <c r="CJ57" s="176"/>
    </row>
    <row r="58" spans="4:111" ht="17" customHeight="1" thickBot="1">
      <c r="D58" s="156" t="s">
        <v>233</v>
      </c>
      <c r="E58" s="105" t="s">
        <v>230</v>
      </c>
      <c r="I58" s="111"/>
      <c r="W58" s="106"/>
      <c r="X58" s="116"/>
      <c r="Y58" s="2056"/>
      <c r="Z58" s="133" t="s">
        <v>111</v>
      </c>
      <c r="AA58" s="1509" t="e">
        <f>AA56*AA57/(10^6)</f>
        <v>#N/A</v>
      </c>
      <c r="AB58" s="1510" t="e">
        <f>AB57*AB56/(10^6)</f>
        <v>#N/A</v>
      </c>
      <c r="AC58" s="106"/>
      <c r="AD58" s="116"/>
      <c r="AE58" s="108"/>
      <c r="AL58" s="106"/>
      <c r="AM58" s="106"/>
      <c r="BP58" s="176"/>
      <c r="BQ58" s="176"/>
      <c r="BR58" s="108"/>
      <c r="BS58" s="106"/>
      <c r="BT58" s="176"/>
      <c r="BU58" s="106"/>
      <c r="BV58" s="2113" t="s">
        <v>3323</v>
      </c>
      <c r="BW58" s="2114"/>
      <c r="BX58" s="2115"/>
      <c r="BY58" s="176"/>
      <c r="BZ58" s="2056"/>
      <c r="CA58" s="467">
        <f>'Iteration II Simulation'!U145</f>
        <v>0</v>
      </c>
      <c r="CB58" s="468"/>
      <c r="CE58" s="111"/>
      <c r="CH58" s="176"/>
      <c r="CI58" s="111"/>
      <c r="CJ58" s="176"/>
    </row>
    <row r="59" spans="4:111" ht="17" customHeight="1" thickBot="1">
      <c r="D59" s="25"/>
      <c r="E59" s="105" t="s">
        <v>69</v>
      </c>
      <c r="I59" s="131"/>
      <c r="W59" s="106"/>
      <c r="X59" s="106"/>
      <c r="Y59" s="134"/>
      <c r="Z59" s="106"/>
      <c r="AA59" s="106"/>
      <c r="AB59" s="106"/>
      <c r="AC59" s="106"/>
      <c r="AD59" s="134"/>
      <c r="AF59" s="111"/>
      <c r="AL59" s="106"/>
      <c r="AM59" s="106"/>
      <c r="BP59" s="176"/>
      <c r="BQ59" s="176"/>
      <c r="BR59" s="108"/>
      <c r="BS59" s="106"/>
      <c r="BT59" s="176"/>
      <c r="BU59" s="106"/>
      <c r="BV59" s="2054" t="s">
        <v>69</v>
      </c>
      <c r="BW59" s="189" t="str">
        <f>BV54&amp;" / Boiler Fuel Type"</f>
        <v>Q24 / Boiler Fuel Type</v>
      </c>
      <c r="BX59" s="466"/>
      <c r="BY59" s="176"/>
      <c r="BZ59" s="2054" t="s">
        <v>70</v>
      </c>
      <c r="CA59" s="2116" t="s">
        <v>3315</v>
      </c>
      <c r="CB59" s="2108" t="e">
        <f>'Iteration II Simulation'!U146</f>
        <v>#N/A</v>
      </c>
      <c r="CD59" s="2086" t="s">
        <v>177</v>
      </c>
      <c r="CE59" s="2087"/>
      <c r="CF59" s="2087"/>
      <c r="CG59" s="2088"/>
      <c r="CH59" s="108"/>
      <c r="CI59" s="176"/>
      <c r="CJ59" s="176"/>
    </row>
    <row r="60" spans="4:111" ht="18" thickTop="1" thickBot="1">
      <c r="D60" s="33"/>
      <c r="E60" s="105" t="s">
        <v>70</v>
      </c>
      <c r="G60" s="108"/>
      <c r="H60" s="146" t="s">
        <v>172</v>
      </c>
      <c r="I60" s="147"/>
      <c r="W60" s="106"/>
      <c r="X60" s="106"/>
      <c r="Y60" s="106"/>
      <c r="Z60" s="106"/>
      <c r="AA60" s="106"/>
      <c r="AB60" s="106"/>
      <c r="AC60" s="106"/>
      <c r="AD60" s="106"/>
      <c r="AE60" s="108"/>
      <c r="AL60" s="106"/>
      <c r="AM60" s="106"/>
      <c r="BP60" s="176"/>
      <c r="BQ60" s="176"/>
      <c r="BR60" s="176"/>
      <c r="BS60" s="111"/>
      <c r="BT60" s="176"/>
      <c r="BU60" s="106"/>
      <c r="BV60" s="2056"/>
      <c r="BW60" s="467">
        <f>'Iteration II Simulation'!V129</f>
        <v>0</v>
      </c>
      <c r="BX60" s="468"/>
      <c r="BY60" s="176"/>
      <c r="BZ60" s="2056"/>
      <c r="CA60" s="2117"/>
      <c r="CB60" s="2110"/>
      <c r="CD60" s="90"/>
      <c r="CE60" s="91"/>
      <c r="CF60" s="95" t="s">
        <v>26</v>
      </c>
      <c r="CG60" s="95" t="s">
        <v>25</v>
      </c>
      <c r="CH60" s="108"/>
      <c r="CI60" s="176"/>
      <c r="CJ60" s="176"/>
    </row>
    <row r="61" spans="4:111" ht="18" thickTop="1" thickBot="1">
      <c r="D61" s="9"/>
      <c r="E61" s="105" t="s">
        <v>175</v>
      </c>
      <c r="G61" s="108"/>
      <c r="H61" s="2141" t="s">
        <v>173</v>
      </c>
      <c r="I61" s="2142"/>
      <c r="J61" s="111"/>
      <c r="Y61" s="116"/>
      <c r="AE61" s="108"/>
      <c r="AL61" s="106"/>
      <c r="AM61" s="106"/>
      <c r="BP61" s="176"/>
      <c r="BQ61" s="176"/>
      <c r="BR61" s="176"/>
      <c r="BS61" s="111"/>
      <c r="BT61" s="176"/>
      <c r="BU61" s="106"/>
      <c r="BV61" s="2054" t="s">
        <v>70</v>
      </c>
      <c r="BW61" s="72" t="s">
        <v>3325</v>
      </c>
      <c r="BX61" s="488" t="e">
        <f>'Iteration II Simulation'!U141</f>
        <v>#N/A</v>
      </c>
      <c r="BY61" s="176"/>
      <c r="CD61" s="193" t="s">
        <v>69</v>
      </c>
      <c r="CE61" s="169" t="s">
        <v>145</v>
      </c>
      <c r="CF61" s="490">
        <f>BV11</f>
        <v>13950</v>
      </c>
      <c r="CG61" s="490">
        <f>BV13</f>
        <v>85753</v>
      </c>
      <c r="CH61" s="108"/>
      <c r="CI61" s="176"/>
      <c r="CJ61" s="176"/>
    </row>
    <row r="62" spans="4:111" ht="18" thickTop="1" thickBot="1">
      <c r="D62" s="151"/>
      <c r="E62" s="105" t="s">
        <v>153</v>
      </c>
      <c r="G62" s="108"/>
      <c r="H62" s="2141" t="s">
        <v>174</v>
      </c>
      <c r="I62" s="2142"/>
      <c r="J62" s="131"/>
      <c r="K62" s="130"/>
      <c r="L62" s="130"/>
      <c r="O62" s="112"/>
      <c r="Y62" s="176"/>
      <c r="Z62" s="176"/>
      <c r="AA62" s="176"/>
      <c r="AB62" s="176"/>
      <c r="AD62" s="112"/>
      <c r="AE62" s="128"/>
      <c r="AJ62" s="116"/>
      <c r="AK62" s="116"/>
      <c r="AL62" s="106"/>
      <c r="AM62" s="106"/>
      <c r="BP62" s="176"/>
      <c r="BQ62" s="176"/>
      <c r="BR62" s="108"/>
      <c r="BS62" s="176"/>
      <c r="BT62" s="176"/>
      <c r="BU62" s="106"/>
      <c r="BV62" s="2055"/>
      <c r="BW62" s="23" t="s">
        <v>3326</v>
      </c>
      <c r="BX62" s="200" t="e">
        <f>'Iteration II Simulation'!U142</f>
        <v>#N/A</v>
      </c>
      <c r="BY62" s="176"/>
      <c r="CD62" s="2054" t="s">
        <v>159</v>
      </c>
      <c r="CE62" s="138" t="s">
        <v>112</v>
      </c>
      <c r="CF62" s="492" t="e">
        <f>BX61*CB59*BX63/CG57</f>
        <v>#N/A</v>
      </c>
      <c r="CG62" s="492" t="e">
        <f>BX62*CB59*BX63/CG57</f>
        <v>#N/A</v>
      </c>
      <c r="CH62" s="108"/>
      <c r="CI62" s="176"/>
      <c r="CJ62" s="176"/>
    </row>
    <row r="63" spans="4:111" ht="17" customHeight="1" thickTop="1" thickBot="1">
      <c r="D63" s="1008"/>
      <c r="E63" s="176" t="s">
        <v>159</v>
      </c>
      <c r="I63" s="106"/>
      <c r="J63" s="109"/>
      <c r="K63" s="145"/>
      <c r="L63" s="145"/>
      <c r="M63" s="109"/>
      <c r="N63" s="109"/>
      <c r="P63" s="109"/>
      <c r="Q63" s="109"/>
      <c r="R63" s="109"/>
      <c r="S63" s="109"/>
      <c r="T63" s="109"/>
      <c r="U63" s="109"/>
      <c r="V63" s="109"/>
      <c r="W63" s="109"/>
      <c r="X63" s="109"/>
      <c r="Y63" s="141"/>
      <c r="Z63" s="786"/>
      <c r="AA63" s="141"/>
      <c r="AB63" s="141"/>
      <c r="AC63" s="109"/>
      <c r="AJ63" s="92"/>
      <c r="AK63" s="92"/>
      <c r="AL63" s="106"/>
      <c r="AM63" s="106"/>
      <c r="BP63" s="2065" t="str">
        <f>'Iteration II Simulation'!S122</f>
        <v>Q23</v>
      </c>
      <c r="BQ63" s="2065"/>
      <c r="BR63" s="128"/>
      <c r="BS63" s="111"/>
      <c r="BT63" s="176"/>
      <c r="BU63" s="106"/>
      <c r="BV63" s="2056"/>
      <c r="BW63" s="24" t="s">
        <v>3248</v>
      </c>
      <c r="BX63" s="434" t="e">
        <f>'Iteration II Simulation'!U140</f>
        <v>#N/A</v>
      </c>
      <c r="BY63" s="106"/>
      <c r="CD63" s="2056"/>
      <c r="CE63" s="133" t="s">
        <v>111</v>
      </c>
      <c r="CF63" s="491" t="e">
        <f>CF62*CF61/10^6</f>
        <v>#N/A</v>
      </c>
      <c r="CG63" s="491" t="e">
        <f>CG61*CG62/10^6</f>
        <v>#N/A</v>
      </c>
      <c r="CH63" s="176"/>
      <c r="CI63" s="111"/>
      <c r="CJ63" s="176"/>
    </row>
    <row r="64" spans="4:111" ht="18" thickTop="1" thickBot="1">
      <c r="K64" s="2156"/>
      <c r="L64" s="2156"/>
      <c r="Y64" s="2086" t="s">
        <v>177</v>
      </c>
      <c r="Z64" s="2087"/>
      <c r="AA64" s="2087"/>
      <c r="AB64" s="2088"/>
      <c r="AJ64" s="92"/>
      <c r="AK64" s="92"/>
      <c r="AL64" s="106"/>
      <c r="AM64" s="106"/>
      <c r="BP64" s="2053" t="str">
        <f>'Iteration II Simulation'!T122</f>
        <v>Do you use a gas boiler at home?</v>
      </c>
      <c r="BQ64" s="2053"/>
      <c r="BR64" s="113"/>
      <c r="BS64" s="111"/>
      <c r="BT64" s="176"/>
      <c r="BU64" s="106"/>
      <c r="BV64" s="116"/>
      <c r="BW64" s="116"/>
      <c r="BX64" s="116"/>
      <c r="BY64" s="106"/>
      <c r="CH64" s="108"/>
      <c r="CI64" s="176"/>
      <c r="CJ64" s="176"/>
    </row>
    <row r="65" spans="25:88" ht="17" thickBot="1">
      <c r="Y65" s="90"/>
      <c r="Z65" s="91"/>
      <c r="AA65" s="95" t="s">
        <v>26</v>
      </c>
      <c r="AB65" s="95" t="s">
        <v>25</v>
      </c>
      <c r="AJ65" s="106"/>
      <c r="AK65" s="106"/>
      <c r="AL65" s="106"/>
      <c r="AM65" s="106"/>
      <c r="BP65" s="2053"/>
      <c r="BQ65" s="2053"/>
      <c r="BR65" s="176"/>
      <c r="BS65" s="111"/>
      <c r="BT65" s="176"/>
      <c r="BU65" s="106"/>
      <c r="BV65" s="194"/>
      <c r="BW65" s="197"/>
      <c r="BX65" s="106"/>
      <c r="BY65" s="106"/>
      <c r="CH65" s="176"/>
      <c r="CI65" s="111"/>
      <c r="CJ65" s="176"/>
    </row>
    <row r="66" spans="25:88" ht="17" thickBot="1">
      <c r="Y66" s="409" t="s">
        <v>69</v>
      </c>
      <c r="Z66" s="169" t="s">
        <v>145</v>
      </c>
      <c r="AA66" s="490">
        <v>0</v>
      </c>
      <c r="AB66" s="490">
        <v>0</v>
      </c>
      <c r="AJ66" s="106"/>
      <c r="AK66" s="106"/>
      <c r="AL66" s="106"/>
      <c r="AM66" s="106"/>
      <c r="BP66" s="176"/>
      <c r="BQ66" s="176"/>
      <c r="BR66" s="176"/>
      <c r="BS66" s="111"/>
      <c r="BT66" s="176"/>
      <c r="BU66" s="106"/>
      <c r="BV66" s="106"/>
      <c r="BW66" s="197"/>
      <c r="BX66" s="106"/>
      <c r="BY66" s="106"/>
      <c r="CH66" s="176"/>
      <c r="CI66" s="111"/>
      <c r="CJ66" s="176"/>
    </row>
    <row r="67" spans="25:88">
      <c r="Y67" s="2054" t="s">
        <v>159</v>
      </c>
      <c r="Z67" s="138" t="s">
        <v>112</v>
      </c>
      <c r="AA67" s="492">
        <f>'Iteration II Simulation'!AD70</f>
        <v>0</v>
      </c>
      <c r="AB67" s="492">
        <f>'Iteration II Simulation'!AE70</f>
        <v>0</v>
      </c>
      <c r="AJ67" s="106"/>
      <c r="AK67" s="106"/>
      <c r="AL67" s="106"/>
      <c r="AM67" s="106"/>
      <c r="AN67" s="106"/>
      <c r="AO67" s="106"/>
      <c r="BL67" s="106"/>
      <c r="BP67" s="176"/>
      <c r="BQ67" s="176"/>
      <c r="BR67" s="176"/>
      <c r="BS67" s="111"/>
      <c r="BT67" s="176"/>
      <c r="BU67" s="106"/>
      <c r="BV67" s="135"/>
      <c r="BW67" s="92"/>
      <c r="BX67" s="464"/>
      <c r="BY67" s="106"/>
      <c r="CH67" s="108"/>
      <c r="CI67" s="176"/>
      <c r="CJ67" s="176"/>
    </row>
    <row r="68" spans="25:88" ht="17" thickBot="1">
      <c r="Y68" s="2056"/>
      <c r="Z68" s="133" t="s">
        <v>111</v>
      </c>
      <c r="AA68" s="491">
        <f>'Iteration II Simulation'!AD71</f>
        <v>0</v>
      </c>
      <c r="AB68" s="491">
        <f>'Iteration II Simulation'!AE71</f>
        <v>0</v>
      </c>
      <c r="AJ68" s="106"/>
      <c r="AK68" s="106"/>
      <c r="AL68" s="106"/>
      <c r="AM68" s="106"/>
      <c r="AN68" s="106"/>
      <c r="AO68" s="106"/>
      <c r="BL68" s="106"/>
      <c r="BP68" s="176"/>
      <c r="BQ68" s="176"/>
      <c r="BR68" s="176"/>
      <c r="BS68" s="111"/>
      <c r="BT68" s="176"/>
      <c r="BU68" s="106"/>
      <c r="BV68" s="135"/>
      <c r="BW68" s="92"/>
      <c r="BX68" s="464"/>
      <c r="BY68" s="106"/>
      <c r="CF68" s="176"/>
      <c r="CG68" s="176"/>
      <c r="CH68" s="108"/>
      <c r="CI68" s="176"/>
      <c r="CJ68" s="176"/>
    </row>
    <row r="69" spans="25:88">
      <c r="AJ69" s="106"/>
      <c r="AK69" s="106"/>
      <c r="AL69" s="106"/>
      <c r="AM69" s="106"/>
      <c r="AN69" s="464"/>
      <c r="AO69" s="106"/>
      <c r="BL69" s="106"/>
      <c r="BP69" s="176"/>
      <c r="BQ69" s="176"/>
      <c r="BR69" s="176"/>
      <c r="BS69" s="111"/>
      <c r="BT69" s="176"/>
      <c r="BU69" s="106"/>
      <c r="BV69" s="106"/>
      <c r="BW69" s="106"/>
      <c r="BX69" s="106"/>
      <c r="BY69" s="106"/>
      <c r="CF69" s="176"/>
      <c r="CG69" s="176"/>
      <c r="CH69" s="176"/>
      <c r="CI69" s="111"/>
      <c r="CJ69" s="176"/>
    </row>
    <row r="70" spans="25:88" ht="17" thickBot="1">
      <c r="AM70" s="106"/>
      <c r="AN70" s="464"/>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P70" s="176"/>
      <c r="BQ70" s="176"/>
      <c r="BR70" s="176"/>
      <c r="BS70" s="111"/>
      <c r="BT70" s="2035" t="s">
        <v>89</v>
      </c>
      <c r="BU70" s="126"/>
      <c r="BV70" s="126"/>
      <c r="BW70" s="126"/>
      <c r="BX70" s="126"/>
      <c r="BY70" s="126"/>
      <c r="BZ70" s="126"/>
      <c r="CA70" s="126"/>
      <c r="CB70" s="126"/>
      <c r="CC70" s="126"/>
      <c r="CD70" s="126"/>
      <c r="CE70" s="126"/>
      <c r="CF70" s="126"/>
      <c r="CG70" s="126"/>
      <c r="CH70" s="112"/>
      <c r="CI70" s="111"/>
      <c r="CJ70" s="176"/>
    </row>
    <row r="71" spans="25:88" ht="17" thickTop="1">
      <c r="BP71" s="176"/>
      <c r="BQ71" s="176"/>
      <c r="BR71" s="176"/>
      <c r="BS71" s="109"/>
      <c r="BT71" s="2035"/>
      <c r="BU71" s="106"/>
      <c r="BV71" s="106"/>
      <c r="BW71" s="106"/>
      <c r="BX71" s="106"/>
      <c r="BY71" s="176"/>
      <c r="BZ71" s="464"/>
      <c r="CC71" s="464"/>
      <c r="CD71" s="135"/>
      <c r="CE71" s="464"/>
      <c r="CF71" s="176"/>
      <c r="CG71" s="176"/>
      <c r="CH71" s="176"/>
      <c r="CI71" s="176"/>
      <c r="CJ71" s="176"/>
    </row>
    <row r="72" spans="25:88">
      <c r="CE72" s="176"/>
      <c r="CF72" s="176"/>
      <c r="CG72" s="176"/>
      <c r="CH72" s="176"/>
      <c r="CI72" s="176"/>
      <c r="CJ72" s="176"/>
    </row>
    <row r="75" spans="25:88" ht="17" thickBot="1">
      <c r="BP75" s="176"/>
      <c r="BQ75" s="176"/>
      <c r="BR75" s="176"/>
      <c r="BS75" s="112"/>
      <c r="BT75" s="2035" t="s">
        <v>88</v>
      </c>
      <c r="BU75" s="126"/>
      <c r="BV75" s="112"/>
      <c r="BW75" s="112"/>
      <c r="BX75" s="112"/>
      <c r="BY75" s="112"/>
      <c r="BZ75" s="112"/>
      <c r="CA75" s="112"/>
      <c r="CB75" s="106"/>
      <c r="CC75" s="2072" t="str">
        <f>'Iteration II Simulation'!D164</f>
        <v>Q26</v>
      </c>
    </row>
    <row r="76" spans="25:88" ht="18" thickTop="1" thickBot="1">
      <c r="BP76" s="176"/>
      <c r="BQ76" s="176"/>
      <c r="BR76" s="176"/>
      <c r="BS76" s="111"/>
      <c r="BT76" s="2035"/>
      <c r="BU76" s="106"/>
      <c r="BV76" s="176"/>
      <c r="BW76" s="107"/>
      <c r="BX76" s="111"/>
      <c r="BY76" s="106"/>
      <c r="BZ76" s="176"/>
      <c r="CA76" s="109"/>
      <c r="CB76" s="129"/>
      <c r="CC76" s="2072"/>
    </row>
    <row r="77" spans="25:88" ht="17" thickBot="1">
      <c r="BP77" s="176"/>
      <c r="BQ77" s="176"/>
      <c r="BR77" s="106"/>
      <c r="BS77" s="111"/>
      <c r="BT77" s="176"/>
      <c r="BU77" s="106"/>
      <c r="BV77" s="176"/>
      <c r="BW77" s="2086" t="s">
        <v>177</v>
      </c>
      <c r="BX77" s="2087"/>
      <c r="BY77" s="2087"/>
      <c r="BZ77" s="2088"/>
      <c r="CA77" s="176"/>
      <c r="CB77" s="111"/>
      <c r="CC77" s="176"/>
    </row>
    <row r="78" spans="25:88" ht="17" thickBot="1">
      <c r="BP78" s="176"/>
      <c r="BQ78" s="176"/>
      <c r="BR78" s="108"/>
      <c r="BS78" s="106"/>
      <c r="BT78" s="176"/>
      <c r="BU78" s="106"/>
      <c r="BV78" s="176"/>
      <c r="BW78" s="90"/>
      <c r="BX78" s="91"/>
      <c r="BY78" s="95" t="s">
        <v>26</v>
      </c>
      <c r="BZ78" s="95" t="s">
        <v>25</v>
      </c>
      <c r="CA78" s="176"/>
      <c r="CB78" s="111"/>
      <c r="CC78" s="176"/>
    </row>
    <row r="79" spans="25:88" ht="17" thickBot="1">
      <c r="BP79" s="176"/>
      <c r="BQ79" s="176"/>
      <c r="BR79" s="108"/>
      <c r="BS79" s="106"/>
      <c r="BT79" s="176"/>
      <c r="BU79" s="106"/>
      <c r="BV79" s="176"/>
      <c r="BW79" s="193" t="s">
        <v>69</v>
      </c>
      <c r="BX79" s="169" t="s">
        <v>145</v>
      </c>
      <c r="BY79" s="490">
        <v>0</v>
      </c>
      <c r="BZ79" s="490">
        <v>0</v>
      </c>
      <c r="CA79" s="176"/>
      <c r="CB79" s="111"/>
      <c r="CC79" s="176"/>
    </row>
    <row r="80" spans="25:88">
      <c r="BP80" s="176"/>
      <c r="BQ80" s="176"/>
      <c r="BR80" s="108"/>
      <c r="BS80" s="106"/>
      <c r="BT80" s="176"/>
      <c r="BU80" s="106"/>
      <c r="BV80" s="176"/>
      <c r="BW80" s="475" t="s">
        <v>159</v>
      </c>
      <c r="BX80" s="138" t="s">
        <v>112</v>
      </c>
      <c r="BY80" s="492">
        <f>BQ82*BU80*BQ84</f>
        <v>0</v>
      </c>
      <c r="BZ80" s="492">
        <v>0</v>
      </c>
      <c r="CA80" s="108"/>
      <c r="CB80" s="176"/>
      <c r="CC80" s="176"/>
    </row>
    <row r="81" spans="68:81" ht="17" thickBot="1">
      <c r="BP81" s="176"/>
      <c r="BQ81" s="176"/>
      <c r="BR81" s="176"/>
      <c r="BS81" s="111"/>
      <c r="BT81" s="176"/>
      <c r="BU81" s="106"/>
      <c r="BV81" s="176"/>
      <c r="BW81" s="476"/>
      <c r="BX81" s="133" t="s">
        <v>111</v>
      </c>
      <c r="BY81" s="491">
        <v>0</v>
      </c>
      <c r="BZ81" s="491">
        <v>0</v>
      </c>
      <c r="CA81" s="108"/>
      <c r="CB81" s="176"/>
      <c r="CC81" s="176"/>
    </row>
    <row r="82" spans="68:81">
      <c r="BP82" s="176"/>
      <c r="BQ82" s="176"/>
      <c r="BR82" s="176"/>
      <c r="BS82" s="111"/>
      <c r="BT82" s="176"/>
      <c r="BU82" s="106"/>
      <c r="BV82" s="176"/>
      <c r="BW82" s="135"/>
      <c r="BX82" s="106"/>
      <c r="BY82" s="106"/>
      <c r="BZ82" s="135"/>
      <c r="CA82" s="108"/>
      <c r="CB82" s="176"/>
      <c r="CC82" s="176"/>
    </row>
    <row r="83" spans="68:81">
      <c r="BP83" s="176"/>
      <c r="BQ83" s="176"/>
      <c r="BR83" s="108"/>
      <c r="BS83" s="176"/>
      <c r="BT83" s="176"/>
      <c r="BU83" s="106"/>
      <c r="BV83" s="176"/>
      <c r="BW83" s="176"/>
      <c r="BX83" s="176"/>
      <c r="BY83" s="176"/>
      <c r="BZ83" s="176"/>
      <c r="CA83" s="108"/>
      <c r="CB83" s="176"/>
      <c r="CC83" s="176"/>
    </row>
    <row r="84" spans="68:81" ht="17" thickBot="1">
      <c r="BP84" s="2065" t="str">
        <f>'Iteration II Simulation'!Y122</f>
        <v>Q25</v>
      </c>
      <c r="BQ84" s="2065"/>
      <c r="BR84" s="128"/>
      <c r="BS84" s="111"/>
      <c r="BT84" s="176"/>
      <c r="BU84" s="106"/>
      <c r="BV84" s="176"/>
      <c r="BW84" s="176"/>
      <c r="BX84" s="176"/>
      <c r="BY84" s="176"/>
      <c r="BZ84" s="176"/>
      <c r="CA84" s="176"/>
      <c r="CB84" s="111"/>
      <c r="CC84" s="176"/>
    </row>
    <row r="85" spans="68:81" ht="17" customHeight="1" thickTop="1">
      <c r="BP85" s="2053" t="str">
        <f>'Iteration II Simulation'!Z122</f>
        <v>Do you use an electric heat pump?</v>
      </c>
      <c r="BQ85" s="2053"/>
      <c r="BR85" s="113"/>
      <c r="BS85" s="111"/>
      <c r="BT85" s="176"/>
      <c r="BU85" s="106"/>
      <c r="BV85" s="176"/>
      <c r="BW85" s="176"/>
      <c r="BX85" s="176"/>
      <c r="BY85" s="176"/>
      <c r="BZ85" s="176"/>
      <c r="CA85" s="108"/>
      <c r="CB85" s="176"/>
      <c r="CC85" s="176"/>
    </row>
    <row r="86" spans="68:81">
      <c r="BP86" s="2053"/>
      <c r="BQ86" s="2053"/>
      <c r="BR86" s="176"/>
      <c r="BS86" s="111"/>
      <c r="BT86" s="176"/>
      <c r="BU86" s="106"/>
      <c r="BV86" s="176"/>
      <c r="BW86" s="176"/>
      <c r="BX86" s="176"/>
      <c r="BY86" s="176"/>
      <c r="BZ86" s="176"/>
      <c r="CA86" s="176"/>
      <c r="CB86" s="111"/>
      <c r="CC86" s="176"/>
    </row>
    <row r="87" spans="68:81">
      <c r="BP87" s="176"/>
      <c r="BQ87" s="176"/>
      <c r="BR87" s="176"/>
      <c r="BS87" s="111"/>
      <c r="BT87" s="176"/>
      <c r="BU87" s="106"/>
      <c r="BV87" s="176"/>
      <c r="BW87" s="176"/>
      <c r="BX87" s="176"/>
      <c r="BY87" s="176"/>
      <c r="BZ87" s="176"/>
      <c r="CA87" s="176"/>
      <c r="CB87" s="111"/>
      <c r="CC87" s="176"/>
    </row>
    <row r="88" spans="68:81">
      <c r="BP88" s="176"/>
      <c r="BQ88" s="176"/>
      <c r="BR88" s="176"/>
      <c r="BS88" s="111"/>
      <c r="BT88" s="176"/>
      <c r="BU88" s="106"/>
      <c r="BV88" s="176"/>
      <c r="BW88" s="176"/>
      <c r="BX88" s="176"/>
      <c r="BY88" s="176"/>
      <c r="BZ88" s="176"/>
      <c r="CA88" s="108"/>
      <c r="CB88" s="176"/>
      <c r="CC88" s="176"/>
    </row>
    <row r="89" spans="68:81">
      <c r="BP89" s="176"/>
      <c r="BQ89" s="176"/>
      <c r="BR89" s="176"/>
      <c r="BS89" s="111"/>
      <c r="BT89" s="176"/>
      <c r="BU89" s="106"/>
      <c r="BV89" s="176"/>
      <c r="BW89" s="176"/>
      <c r="BX89" s="176"/>
      <c r="BY89" s="176"/>
      <c r="BZ89" s="176"/>
      <c r="CA89" s="108"/>
      <c r="CB89" s="176"/>
      <c r="CC89" s="176"/>
    </row>
    <row r="90" spans="68:81">
      <c r="BP90" s="176"/>
      <c r="BQ90" s="176"/>
      <c r="BR90" s="176"/>
      <c r="BS90" s="111"/>
      <c r="BT90" s="176"/>
      <c r="BU90" s="106"/>
      <c r="BV90" s="176"/>
      <c r="BW90" s="176"/>
      <c r="BX90" s="176"/>
      <c r="BY90" s="176"/>
      <c r="BZ90" s="176"/>
      <c r="CA90" s="176"/>
      <c r="CB90" s="111"/>
      <c r="CC90" s="176"/>
    </row>
    <row r="91" spans="68:81" ht="17" thickBot="1">
      <c r="BP91" s="176"/>
      <c r="BQ91" s="176"/>
      <c r="BR91" s="176"/>
      <c r="BS91" s="111"/>
      <c r="BT91" s="2035" t="s">
        <v>89</v>
      </c>
      <c r="BU91" s="126"/>
      <c r="BV91" s="126"/>
      <c r="BW91" s="126"/>
      <c r="BX91" s="126"/>
      <c r="BY91" s="126"/>
      <c r="BZ91" s="126"/>
      <c r="CA91" s="112"/>
      <c r="CB91" s="111"/>
      <c r="CC91" s="176"/>
    </row>
    <row r="92" spans="68:81" ht="17" thickTop="1">
      <c r="BP92" s="176"/>
      <c r="BQ92" s="176"/>
      <c r="BR92" s="176"/>
      <c r="BS92" s="109"/>
      <c r="BT92" s="2035"/>
      <c r="BU92" s="106"/>
    </row>
  </sheetData>
  <sheetProtection algorithmName="SHA-512" hashValue="m9wbGqwELrZTK6xyACkqGCZMKL0zldd/3QbEvSTskblfwSfaGzqpX/DrhYBwPmSLFItnB1yv0jQNOFqvAB917g==" saltValue="CFuxEKZtNeBkdCfXIpfghQ==" spinCount="100000" sheet="1" objects="1" scenarios="1"/>
  <mergeCells count="271">
    <mergeCell ref="CD59:CG59"/>
    <mergeCell ref="BW77:BZ77"/>
    <mergeCell ref="DA12:DD12"/>
    <mergeCell ref="DA17:DD17"/>
    <mergeCell ref="DA36:DD36"/>
    <mergeCell ref="DA41:DD41"/>
    <mergeCell ref="D9:F9"/>
    <mergeCell ref="E11:E12"/>
    <mergeCell ref="E13:E14"/>
    <mergeCell ref="F13:F14"/>
    <mergeCell ref="F11:F12"/>
    <mergeCell ref="Y64:AB64"/>
    <mergeCell ref="K64:L64"/>
    <mergeCell ref="O46:Q46"/>
    <mergeCell ref="K46:M46"/>
    <mergeCell ref="L48:L49"/>
    <mergeCell ref="S44:T44"/>
    <mergeCell ref="V44:W44"/>
    <mergeCell ref="S45:T46"/>
    <mergeCell ref="V45:W46"/>
    <mergeCell ref="AG8:AG9"/>
    <mergeCell ref="K44:L44"/>
    <mergeCell ref="AB9:AD10"/>
    <mergeCell ref="K48:K49"/>
    <mergeCell ref="O48:O50"/>
    <mergeCell ref="P48:P50"/>
    <mergeCell ref="Q48:Q50"/>
    <mergeCell ref="AB8:AD8"/>
    <mergeCell ref="K10:M10"/>
    <mergeCell ref="K29:M29"/>
    <mergeCell ref="O29:Q29"/>
    <mergeCell ref="L31:L32"/>
    <mergeCell ref="K27:L27"/>
    <mergeCell ref="AB27:AC27"/>
    <mergeCell ref="AB28:AC29"/>
    <mergeCell ref="K8:L8"/>
    <mergeCell ref="Y9:Z10"/>
    <mergeCell ref="T13:V13"/>
    <mergeCell ref="O12:O13"/>
    <mergeCell ref="O31:O32"/>
    <mergeCell ref="P31:P32"/>
    <mergeCell ref="Q31:Q32"/>
    <mergeCell ref="Y21:Y22"/>
    <mergeCell ref="Y23:Y24"/>
    <mergeCell ref="U16:U17"/>
    <mergeCell ref="Y13:AA13"/>
    <mergeCell ref="H5:J6"/>
    <mergeCell ref="H4:J4"/>
    <mergeCell ref="K31:K32"/>
    <mergeCell ref="T30:T31"/>
    <mergeCell ref="Y19:AB19"/>
    <mergeCell ref="P12:P13"/>
    <mergeCell ref="Q12:Q13"/>
    <mergeCell ref="Y28:AA29"/>
    <mergeCell ref="Y27:AA27"/>
    <mergeCell ref="V16:V17"/>
    <mergeCell ref="T14:T17"/>
    <mergeCell ref="T18:T19"/>
    <mergeCell ref="H61:I61"/>
    <mergeCell ref="H62:I62"/>
    <mergeCell ref="D4:F4"/>
    <mergeCell ref="H44:I45"/>
    <mergeCell ref="D5:F7"/>
    <mergeCell ref="AN8:AN9"/>
    <mergeCell ref="AN32:AN33"/>
    <mergeCell ref="H8:I9"/>
    <mergeCell ref="H27:I28"/>
    <mergeCell ref="AJ41:AK41"/>
    <mergeCell ref="AJ42:AK43"/>
    <mergeCell ref="AN26:AN27"/>
    <mergeCell ref="Y14:Y17"/>
    <mergeCell ref="K12:K13"/>
    <mergeCell ref="L12:L13"/>
    <mergeCell ref="Y8:Z8"/>
    <mergeCell ref="S9:T10"/>
    <mergeCell ref="S8:T8"/>
    <mergeCell ref="O10:Q10"/>
    <mergeCell ref="V8:W8"/>
    <mergeCell ref="V9:W10"/>
    <mergeCell ref="Y38:Y39"/>
    <mergeCell ref="Y40:Y41"/>
    <mergeCell ref="Y32:Y34"/>
    <mergeCell ref="AX8:AY8"/>
    <mergeCell ref="BA8:BB8"/>
    <mergeCell ref="AP10:AR10"/>
    <mergeCell ref="AT10:AV10"/>
    <mergeCell ref="AX9:AY10"/>
    <mergeCell ref="BA9:BB10"/>
    <mergeCell ref="AY13:BA13"/>
    <mergeCell ref="BD13:BF13"/>
    <mergeCell ref="BD19:BG19"/>
    <mergeCell ref="AP12:AP13"/>
    <mergeCell ref="AQ12:AQ13"/>
    <mergeCell ref="AT12:AT13"/>
    <mergeCell ref="AU12:AU13"/>
    <mergeCell ref="AV12:AV13"/>
    <mergeCell ref="AY18:AY19"/>
    <mergeCell ref="BD14:BD17"/>
    <mergeCell ref="AY14:AY17"/>
    <mergeCell ref="BD9:BF10"/>
    <mergeCell ref="BD8:BF8"/>
    <mergeCell ref="Y57:Y58"/>
    <mergeCell ref="BD43:BD44"/>
    <mergeCell ref="BD45:BD46"/>
    <mergeCell ref="AT36:AT37"/>
    <mergeCell ref="AU36:AU37"/>
    <mergeCell ref="AV36:AV37"/>
    <mergeCell ref="BD36:BF36"/>
    <mergeCell ref="BD41:BG41"/>
    <mergeCell ref="AQ36:AQ37"/>
    <mergeCell ref="AY35:AY36"/>
    <mergeCell ref="AP36:AP37"/>
    <mergeCell ref="Y53:AB53"/>
    <mergeCell ref="Y55:Y56"/>
    <mergeCell ref="Y48:AA48"/>
    <mergeCell ref="Y36:AB36"/>
    <mergeCell ref="AN48:AN49"/>
    <mergeCell ref="Y49:Y51"/>
    <mergeCell ref="Y44:AA44"/>
    <mergeCell ref="Y45:AA46"/>
    <mergeCell ref="BD33:BF34"/>
    <mergeCell ref="BD32:BF32"/>
    <mergeCell ref="BV39:BV40"/>
    <mergeCell ref="BV37:BV38"/>
    <mergeCell ref="BD21:BD22"/>
    <mergeCell ref="BD23:BD24"/>
    <mergeCell ref="U52:U53"/>
    <mergeCell ref="T50:T53"/>
    <mergeCell ref="T49:W49"/>
    <mergeCell ref="V43:W43"/>
    <mergeCell ref="AP32:AQ32"/>
    <mergeCell ref="BG32:BH32"/>
    <mergeCell ref="BG33:BH34"/>
    <mergeCell ref="AP34:AR34"/>
    <mergeCell ref="AT34:AV34"/>
    <mergeCell ref="AY34:BA34"/>
    <mergeCell ref="V55:W55"/>
    <mergeCell ref="DA8:DC8"/>
    <mergeCell ref="DG8:DG9"/>
    <mergeCell ref="DA9:DC10"/>
    <mergeCell ref="CM17:CN17"/>
    <mergeCell ref="CS10:CU10"/>
    <mergeCell ref="CW10:CY10"/>
    <mergeCell ref="DA20:DA21"/>
    <mergeCell ref="CQ24:CQ25"/>
    <mergeCell ref="CX11:CX12"/>
    <mergeCell ref="CX13:CX14"/>
    <mergeCell ref="CW11:CW14"/>
    <mergeCell ref="CY11:CY12"/>
    <mergeCell ref="CY13:CY14"/>
    <mergeCell ref="CT11:CT12"/>
    <mergeCell ref="CT13:CT14"/>
    <mergeCell ref="CS11:CS14"/>
    <mergeCell ref="CU11:CU12"/>
    <mergeCell ref="CU13:CU14"/>
    <mergeCell ref="AJ17:AK17"/>
    <mergeCell ref="AJ18:AK19"/>
    <mergeCell ref="Y31:AA31"/>
    <mergeCell ref="T29:V29"/>
    <mergeCell ref="BP41:BQ41"/>
    <mergeCell ref="BP85:BQ86"/>
    <mergeCell ref="BT91:BT92"/>
    <mergeCell ref="CJ32:CJ33"/>
    <mergeCell ref="CC75:CC76"/>
    <mergeCell ref="CB59:CB60"/>
    <mergeCell ref="BZ59:BZ60"/>
    <mergeCell ref="CD62:CD63"/>
    <mergeCell ref="CJ54:CJ55"/>
    <mergeCell ref="CD32:CF32"/>
    <mergeCell ref="CD33:CF34"/>
    <mergeCell ref="BT75:BT76"/>
    <mergeCell ref="BP84:BQ84"/>
    <mergeCell ref="BV58:BX58"/>
    <mergeCell ref="BP63:BQ63"/>
    <mergeCell ref="BP64:BQ65"/>
    <mergeCell ref="BT70:BT71"/>
    <mergeCell ref="BZ56:CB56"/>
    <mergeCell ref="CA59:CA60"/>
    <mergeCell ref="CD37:CD41"/>
    <mergeCell ref="CD47:CD48"/>
    <mergeCell ref="BV59:BV60"/>
    <mergeCell ref="BV61:BV63"/>
    <mergeCell ref="BZ57:BZ58"/>
    <mergeCell ref="CD56:CG56"/>
    <mergeCell ref="DA44:DA45"/>
    <mergeCell ref="CQ48:CQ49"/>
    <mergeCell ref="BZ34:CB34"/>
    <mergeCell ref="BZ37:BZ38"/>
    <mergeCell ref="CA37:CA38"/>
    <mergeCell ref="CB37:CB38"/>
    <mergeCell ref="CQ32:CQ33"/>
    <mergeCell ref="DA32:DC32"/>
    <mergeCell ref="DG32:DG33"/>
    <mergeCell ref="DA33:DC34"/>
    <mergeCell ref="CS35:CS38"/>
    <mergeCell ref="CT35:CT36"/>
    <mergeCell ref="CU35:CU36"/>
    <mergeCell ref="CT37:CT38"/>
    <mergeCell ref="CU37:CU38"/>
    <mergeCell ref="CD36:CG36"/>
    <mergeCell ref="CD44:CG44"/>
    <mergeCell ref="CW34:CY34"/>
    <mergeCell ref="CW36:CW39"/>
    <mergeCell ref="CX36:CX37"/>
    <mergeCell ref="CY36:CY37"/>
    <mergeCell ref="CX38:CX39"/>
    <mergeCell ref="CY38:CY39"/>
    <mergeCell ref="CS34:CU34"/>
    <mergeCell ref="CD10:CG10"/>
    <mergeCell ref="BX12:CA12"/>
    <mergeCell ref="BP12:BR12"/>
    <mergeCell ref="BT10:BV10"/>
    <mergeCell ref="CM41:CN41"/>
    <mergeCell ref="CM42:CN43"/>
    <mergeCell ref="CT43:CT44"/>
    <mergeCell ref="CU43:CU44"/>
    <mergeCell ref="CJ8:CJ9"/>
    <mergeCell ref="BU11:BU12"/>
    <mergeCell ref="BU13:BU14"/>
    <mergeCell ref="BV13:BV14"/>
    <mergeCell ref="BV11:BV12"/>
    <mergeCell ref="BX8:BZ8"/>
    <mergeCell ref="BX9:BZ10"/>
    <mergeCell ref="CT19:CT20"/>
    <mergeCell ref="CU19:CU20"/>
    <mergeCell ref="CQ8:CQ9"/>
    <mergeCell ref="BW39:BX39"/>
    <mergeCell ref="BW40:BX40"/>
    <mergeCell ref="BW44:BY44"/>
    <mergeCell ref="BV42:BY42"/>
    <mergeCell ref="BW43:BY43"/>
    <mergeCell ref="BV43:BV44"/>
    <mergeCell ref="BH9:BJ10"/>
    <mergeCell ref="BH8:BJ8"/>
    <mergeCell ref="BM8:BM9"/>
    <mergeCell ref="BJ32:BK32"/>
    <mergeCell ref="BM32:BM33"/>
    <mergeCell ref="BV36:BY36"/>
    <mergeCell ref="BP8:BR8"/>
    <mergeCell ref="BP9:BR10"/>
    <mergeCell ref="BY13:BZ14"/>
    <mergeCell ref="BX13:BX14"/>
    <mergeCell ref="BP18:BR18"/>
    <mergeCell ref="BQ21:BQ22"/>
    <mergeCell ref="BT32:BT33"/>
    <mergeCell ref="BV32:BX32"/>
    <mergeCell ref="BV33:BX34"/>
    <mergeCell ref="CM18:CN21"/>
    <mergeCell ref="D11:D14"/>
    <mergeCell ref="Y67:Y68"/>
    <mergeCell ref="BP15:BP16"/>
    <mergeCell ref="BP21:BP22"/>
    <mergeCell ref="BT11:BT14"/>
    <mergeCell ref="CD13:CD14"/>
    <mergeCell ref="CA13:CA14"/>
    <mergeCell ref="BT49:BT50"/>
    <mergeCell ref="BW45:BX46"/>
    <mergeCell ref="BV45:BV46"/>
    <mergeCell ref="BT54:BT55"/>
    <mergeCell ref="BV54:BX54"/>
    <mergeCell ref="BV55:BX56"/>
    <mergeCell ref="BD37:BD39"/>
    <mergeCell ref="AZ16:AZ17"/>
    <mergeCell ref="BA16:BA17"/>
    <mergeCell ref="BY45:BY46"/>
    <mergeCell ref="BP42:BQ43"/>
    <mergeCell ref="T54:T55"/>
    <mergeCell ref="V50:W50"/>
    <mergeCell ref="V51:W51"/>
    <mergeCell ref="V52:W53"/>
    <mergeCell ref="V54:W54"/>
  </mergeCells>
  <conditionalFormatting sqref="BZ50:CC50 BZ71 CC71:CE71">
    <cfRule type="expression" dxfId="130" priority="17">
      <formula>$P$134="No"</formula>
    </cfRule>
  </conditionalFormatting>
  <conditionalFormatting sqref="CW25:CZ25">
    <cfRule type="expression" dxfId="129" priority="15">
      <formula>$P$134="No"</formula>
    </cfRule>
  </conditionalFormatting>
  <conditionalFormatting sqref="CW49:CZ49">
    <cfRule type="expression" dxfId="128" priority="14">
      <formula>$P$134="No"</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 id="{5F0B686E-526A-3048-874F-380879857B61}">
            <xm:f>'Iteration II Simulation'!$H$20&lt;&gt;'Iteration II Simulation'!$F$15</xm:f>
            <x14:dxf>
              <font>
                <color theme="1"/>
              </font>
              <fill>
                <patternFill>
                  <bgColor theme="1"/>
                </patternFill>
              </fill>
            </x14:dxf>
          </x14:cfRule>
          <xm:sqref>AA23:AB24</xm:sqref>
        </x14:conditionalFormatting>
        <x14:conditionalFormatting xmlns:xm="http://schemas.microsoft.com/office/excel/2006/main">
          <x14:cfRule type="expression" priority="11" id="{4D92541F-4760-3F40-BB8E-7724FFAAC2E6}">
            <xm:f>'Iteration II Simulation'!$H$20&lt;&gt;'Iteration II Simulation'!$F$16</xm:f>
            <x14:dxf>
              <font>
                <color theme="1"/>
              </font>
              <fill>
                <patternFill>
                  <bgColor theme="1"/>
                </patternFill>
              </fill>
            </x14:dxf>
          </x14:cfRule>
          <xm:sqref>AA40:AB41</xm:sqref>
        </x14:conditionalFormatting>
        <x14:conditionalFormatting xmlns:xm="http://schemas.microsoft.com/office/excel/2006/main">
          <x14:cfRule type="expression" priority="10" id="{B78AEDDC-0351-8E43-BA7A-8AE3E9CC7F9A}">
            <xm:f>'Iteration II Simulation'!$H$20&lt;&gt;'Iteration II Simulation'!$F$17</xm:f>
            <x14:dxf>
              <font>
                <color theme="1"/>
              </font>
              <fill>
                <patternFill>
                  <bgColor theme="1"/>
                </patternFill>
              </fill>
            </x14:dxf>
          </x14:cfRule>
          <xm:sqref>AA57:AB58</xm:sqref>
        </x14:conditionalFormatting>
        <x14:conditionalFormatting xmlns:xm="http://schemas.microsoft.com/office/excel/2006/main">
          <x14:cfRule type="expression" priority="8" id="{7A8BB44D-B11C-CF41-9E10-271E4791874D}">
            <xm:f>OR('Iteration II Simulation'!$H$20="Car",'Iteration II Simulation'!$H$20="Bus",'Iteration II Simulation'!$H$20="Motorbike")</xm:f>
            <x14:dxf>
              <font>
                <color theme="1"/>
              </font>
              <fill>
                <patternFill>
                  <bgColor theme="1"/>
                </patternFill>
              </fill>
            </x14:dxf>
          </x14:cfRule>
          <xm:sqref>AA67:AB68</xm:sqref>
        </x14:conditionalFormatting>
        <x14:conditionalFormatting xmlns:xm="http://schemas.microsoft.com/office/excel/2006/main">
          <x14:cfRule type="expression" priority="7" id="{1D23F65C-5CC1-BC4B-ACE9-AFBDCA42CF2F}">
            <xm:f>'Iteration II Simulation'!$I$81='Iteration II Simulation'!$F$81</xm:f>
            <x14:dxf>
              <font>
                <color theme="1"/>
              </font>
              <fill>
                <patternFill>
                  <bgColor theme="1"/>
                </patternFill>
              </fill>
            </x14:dxf>
          </x14:cfRule>
          <xm:sqref>BF23:BG24</xm:sqref>
        </x14:conditionalFormatting>
        <x14:conditionalFormatting xmlns:xm="http://schemas.microsoft.com/office/excel/2006/main">
          <x14:cfRule type="expression" priority="6" id="{80218C3F-391F-4C44-A715-67D2B19121A8}">
            <xm:f>'Iteration II Simulation'!$R$81='Iteration II Simulation'!$O$81</xm:f>
            <x14:dxf>
              <font>
                <color theme="1"/>
              </font>
              <fill>
                <patternFill>
                  <bgColor theme="1"/>
                </patternFill>
              </fill>
            </x14:dxf>
          </x14:cfRule>
          <xm:sqref>BF45:BG46</xm:sqref>
        </x14:conditionalFormatting>
        <x14:conditionalFormatting xmlns:xm="http://schemas.microsoft.com/office/excel/2006/main">
          <x14:cfRule type="expression" priority="5" id="{33A84C42-DFFE-FE47-9C2C-A1CD8FF984CA}">
            <xm:f>'Iteration II Simulation'!$P$124='Iteration II Simulation'!$M$124</xm:f>
            <x14:dxf>
              <font>
                <color theme="1"/>
              </font>
              <fill>
                <patternFill>
                  <bgColor theme="1"/>
                </patternFill>
              </fill>
            </x14:dxf>
          </x14:cfRule>
          <xm:sqref>CF47:CG48</xm:sqref>
        </x14:conditionalFormatting>
        <x14:conditionalFormatting xmlns:xm="http://schemas.microsoft.com/office/excel/2006/main">
          <x14:cfRule type="expression" priority="4" id="{4D1DBCDF-38BF-1F4C-A4F3-B999194DC6AA}">
            <xm:f>'Iteration II Simulation'!$V$124='Iteration II Simulation'!$T$124</xm:f>
            <x14:dxf>
              <font>
                <color theme="1"/>
              </font>
              <fill>
                <patternFill>
                  <bgColor theme="1"/>
                </patternFill>
              </fill>
            </x14:dxf>
          </x14:cfRule>
          <xm:sqref>CF62:CG63</xm:sqref>
        </x14:conditionalFormatting>
        <x14:conditionalFormatting xmlns:xm="http://schemas.microsoft.com/office/excel/2006/main">
          <x14:cfRule type="expression" priority="3" id="{851565E4-211D-DA4F-97EC-288B20FFF086}">
            <xm:f>'Iteration II Simulation'!$AC$124='Iteration II Simulation'!$Z$124</xm:f>
            <x14:dxf>
              <font>
                <color theme="1"/>
              </font>
              <fill>
                <patternFill>
                  <bgColor theme="1"/>
                </patternFill>
              </fill>
            </x14:dxf>
          </x14:cfRule>
          <xm:sqref>BY80:BZ81</xm:sqref>
        </x14:conditionalFormatting>
        <x14:conditionalFormatting xmlns:xm="http://schemas.microsoft.com/office/excel/2006/main">
          <x14:cfRule type="expression" priority="2" id="{FD01E2E7-6789-0142-8ACD-0B1317394676}">
            <xm:f>'Iteration II Simulation'!$H$166='Iteration II Simulation'!$E$166</xm:f>
            <x14:dxf>
              <font>
                <color theme="1"/>
              </font>
              <fill>
                <patternFill>
                  <bgColor theme="1"/>
                </patternFill>
              </fill>
            </x14:dxf>
          </x14:cfRule>
          <xm:sqref>DC20:DD21</xm:sqref>
        </x14:conditionalFormatting>
        <x14:conditionalFormatting xmlns:xm="http://schemas.microsoft.com/office/excel/2006/main">
          <x14:cfRule type="expression" priority="1" id="{A69DCA74-E7FF-3C4A-9C01-FE37D89B4066}">
            <xm:f>'Iteration II Simulation'!$P$166='Iteration II Simulation'!$M$166</xm:f>
            <x14:dxf>
              <font>
                <color theme="1"/>
              </font>
              <fill>
                <patternFill>
                  <bgColor theme="1"/>
                </patternFill>
              </fill>
            </x14:dxf>
          </x14:cfRule>
          <xm:sqref>DC44:DD45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7F68B-61FA-6948-8BEC-C16C5F3B266C}">
  <sheetPr codeName="Sheet9">
    <tabColor theme="1"/>
  </sheetPr>
  <dimension ref="B1:U67"/>
  <sheetViews>
    <sheetView zoomScale="65" zoomScaleNormal="100" workbookViewId="0">
      <selection activeCell="XEL46" sqref="XEL46:XEM47"/>
    </sheetView>
  </sheetViews>
  <sheetFormatPr baseColWidth="10" defaultRowHeight="16"/>
  <cols>
    <col min="1" max="1" width="10.83203125" style="177"/>
    <col min="2" max="2" width="9.33203125" style="177" bestFit="1" customWidth="1"/>
    <col min="3" max="3" width="102.1640625" style="177" bestFit="1" customWidth="1"/>
    <col min="4" max="4" width="10.83203125" style="177"/>
    <col min="5" max="5" width="10.83203125" style="784"/>
    <col min="6" max="6" width="2.83203125" style="177" customWidth="1"/>
    <col min="7" max="7" width="2.83203125" style="555" customWidth="1"/>
    <col min="8" max="21" width="2.83203125" style="177" customWidth="1"/>
    <col min="22" max="16384" width="10.83203125" style="177"/>
  </cols>
  <sheetData>
    <row r="1" spans="2:21" ht="22" customHeight="1" thickBot="1">
      <c r="F1" s="2175" t="s">
        <v>3355</v>
      </c>
      <c r="G1" s="2176"/>
      <c r="H1" s="2176"/>
      <c r="I1" s="2176"/>
      <c r="J1" s="2176"/>
      <c r="K1" s="2176"/>
      <c r="L1" s="2176"/>
      <c r="M1" s="2176"/>
      <c r="N1" s="2176"/>
      <c r="O1" s="2176"/>
      <c r="P1" s="2176"/>
      <c r="Q1" s="2176"/>
      <c r="R1" s="2176"/>
      <c r="S1" s="2176"/>
      <c r="T1" s="2176"/>
      <c r="U1" s="2177"/>
    </row>
    <row r="2" spans="2:21" ht="17" customHeight="1" thickBot="1">
      <c r="F2" s="2169" t="s">
        <v>3448</v>
      </c>
      <c r="G2" s="2170"/>
      <c r="H2" s="447"/>
      <c r="I2" s="447"/>
      <c r="J2" s="447"/>
      <c r="K2" s="447"/>
      <c r="L2" s="447"/>
      <c r="M2" s="447"/>
      <c r="N2" s="447"/>
      <c r="O2" s="447"/>
      <c r="P2" s="447"/>
      <c r="Q2" s="447"/>
      <c r="R2" s="447"/>
      <c r="S2" s="447"/>
      <c r="T2" s="447"/>
      <c r="U2" s="447"/>
    </row>
    <row r="3" spans="2:21" ht="17" customHeight="1" thickBot="1">
      <c r="B3" s="524" t="s">
        <v>3344</v>
      </c>
      <c r="C3" s="525" t="s">
        <v>3343</v>
      </c>
      <c r="F3" s="2171"/>
      <c r="G3" s="2172"/>
      <c r="H3" s="447"/>
      <c r="I3" s="447"/>
      <c r="J3" s="447"/>
      <c r="K3" s="447"/>
      <c r="L3" s="447"/>
      <c r="M3" s="447"/>
      <c r="N3" s="1871">
        <v>1</v>
      </c>
      <c r="O3" s="2203"/>
      <c r="P3" s="447"/>
      <c r="Q3" s="447"/>
      <c r="R3" s="447"/>
      <c r="S3" s="447"/>
      <c r="T3" s="447"/>
      <c r="U3" s="447"/>
    </row>
    <row r="4" spans="2:21" ht="17" thickBot="1">
      <c r="B4" s="969" t="str">
        <f>'Iteration II Simulation'!$D$11</f>
        <v>Q1</v>
      </c>
      <c r="C4" s="244" t="str">
        <f>'Iteration II Simulation'!E11</f>
        <v>Please enter the outward postcode (First 3-4 characters of your postcode) of the area in which your residence is located.</v>
      </c>
      <c r="D4" s="784"/>
      <c r="F4" s="2173"/>
      <c r="G4" s="2174"/>
      <c r="H4" s="447"/>
      <c r="I4" s="447"/>
      <c r="J4" s="447"/>
      <c r="K4" s="447"/>
      <c r="L4" s="447"/>
      <c r="M4" s="447"/>
      <c r="N4" s="968"/>
      <c r="O4" s="447"/>
      <c r="P4" s="447"/>
      <c r="Q4" s="447"/>
      <c r="R4" s="447"/>
      <c r="S4" s="447"/>
      <c r="T4" s="447"/>
      <c r="U4" s="447"/>
    </row>
    <row r="5" spans="2:21" ht="17" thickBot="1">
      <c r="B5" s="421" t="str">
        <f>'Iteration II Simulation'!$D$14</f>
        <v>Q2</v>
      </c>
      <c r="C5" s="534" t="str">
        <f>'Iteration II Simulation'!$E$14</f>
        <v>How do you usually commute to work, college or school?</v>
      </c>
      <c r="F5" s="2163" t="s">
        <v>86</v>
      </c>
      <c r="G5" s="2164"/>
      <c r="H5" s="34"/>
      <c r="I5" s="34"/>
      <c r="J5" s="34"/>
      <c r="K5" s="34"/>
      <c r="L5" s="34"/>
      <c r="M5" s="34"/>
      <c r="N5" s="1869">
        <v>2</v>
      </c>
      <c r="O5" s="2202"/>
      <c r="P5" s="34"/>
      <c r="Q5" s="34"/>
      <c r="R5" s="34"/>
      <c r="S5" s="34"/>
      <c r="T5" s="34"/>
      <c r="U5" s="34"/>
    </row>
    <row r="6" spans="2:21" ht="17" thickBot="1">
      <c r="B6" s="96" t="str">
        <f>'Iteration II Simulation'!$D$37</f>
        <v>Q3</v>
      </c>
      <c r="C6" s="204" t="str">
        <f>'Iteration II Simulation'!$E$37</f>
        <v>What type of car do you have?</v>
      </c>
      <c r="F6" s="2165"/>
      <c r="G6" s="2166"/>
      <c r="H6" s="34"/>
      <c r="I6" s="232"/>
      <c r="J6" s="232"/>
      <c r="K6" s="233"/>
      <c r="L6" s="249"/>
      <c r="M6" s="249"/>
      <c r="N6" s="576"/>
      <c r="O6" s="233"/>
      <c r="P6" s="249"/>
      <c r="Q6" s="249"/>
      <c r="R6" s="233"/>
      <c r="S6" s="249"/>
      <c r="T6" s="232"/>
      <c r="U6" s="34"/>
    </row>
    <row r="7" spans="2:21" ht="17" customHeight="1" thickBot="1">
      <c r="B7" s="96" t="str">
        <f>'Iteration II Simulation'!$D$43</f>
        <v>Q4</v>
      </c>
      <c r="C7" s="204" t="str">
        <f>'Iteration II Simulation'!$E$43</f>
        <v>How old is your car?</v>
      </c>
      <c r="F7" s="2165"/>
      <c r="G7" s="2166"/>
      <c r="H7" s="34"/>
      <c r="I7" s="259"/>
      <c r="J7" s="235"/>
      <c r="K7" s="34"/>
      <c r="L7" s="254"/>
      <c r="M7" s="34"/>
      <c r="N7" s="34"/>
      <c r="O7" s="34"/>
      <c r="P7" s="34"/>
      <c r="Q7" s="100"/>
      <c r="R7" s="34"/>
      <c r="S7" s="34"/>
      <c r="T7" s="101"/>
      <c r="U7" s="34"/>
    </row>
    <row r="8" spans="2:21" ht="17" thickBot="1">
      <c r="B8" s="96" t="str">
        <f>'Iteration II Simulation'!$D$50</f>
        <v>Q5</v>
      </c>
      <c r="C8" s="204" t="str">
        <f>'Iteration II Simulation'!$E$50</f>
        <v>On average, how many hours do you usually spend in your car for commuting each week?</v>
      </c>
      <c r="F8" s="2165"/>
      <c r="G8" s="2166"/>
      <c r="H8" s="34"/>
      <c r="I8" s="1869">
        <v>3</v>
      </c>
      <c r="J8" s="2202"/>
      <c r="K8" s="34"/>
      <c r="L8" s="1869">
        <v>7</v>
      </c>
      <c r="M8" s="2202"/>
      <c r="N8" s="34"/>
      <c r="O8" s="34"/>
      <c r="P8" s="1869">
        <v>8</v>
      </c>
      <c r="Q8" s="2202"/>
      <c r="R8" s="34"/>
      <c r="S8" s="232"/>
      <c r="T8" s="101"/>
      <c r="U8" s="34"/>
    </row>
    <row r="9" spans="2:21" ht="17" thickBot="1">
      <c r="B9" s="422" t="str">
        <f>'Iteration II Simulation'!$D$54</f>
        <v>Q6</v>
      </c>
      <c r="C9" s="205" t="str">
        <f>'Iteration II Simulation'!$E$54</f>
        <v>How many people usually travel with you to the same place of work, college or school?</v>
      </c>
      <c r="F9" s="2165"/>
      <c r="G9" s="2166"/>
      <c r="H9" s="34"/>
      <c r="I9" s="254"/>
      <c r="J9" s="34"/>
      <c r="K9" s="34"/>
      <c r="L9" s="254"/>
      <c r="M9" s="43"/>
      <c r="N9" s="34"/>
      <c r="O9" s="34"/>
      <c r="P9" s="34"/>
      <c r="Q9" s="100"/>
      <c r="R9" s="34"/>
      <c r="S9" s="34"/>
      <c r="T9" s="101"/>
      <c r="U9" s="34"/>
    </row>
    <row r="10" spans="2:21" ht="17" thickBot="1">
      <c r="B10" s="441" t="str">
        <f>'Iteration II Simulation'!$L$37</f>
        <v xml:space="preserve">Q7 </v>
      </c>
      <c r="C10" s="535" t="str">
        <f>'Iteration II Simulation'!$M$37</f>
        <v>On average, how many hours do you usually spend on bus for commuting each week?</v>
      </c>
      <c r="F10" s="2165"/>
      <c r="G10" s="2166"/>
      <c r="H10" s="34"/>
      <c r="I10" s="1869">
        <v>4</v>
      </c>
      <c r="J10" s="2202"/>
      <c r="K10" s="34"/>
      <c r="L10" s="259"/>
      <c r="M10" s="232"/>
      <c r="N10" s="34"/>
      <c r="O10" s="34"/>
      <c r="P10" s="1869">
        <v>9</v>
      </c>
      <c r="Q10" s="2202"/>
      <c r="R10" s="34"/>
      <c r="S10" s="34"/>
      <c r="T10" s="101"/>
      <c r="U10" s="34"/>
    </row>
    <row r="11" spans="2:21" ht="17" thickBot="1">
      <c r="B11" s="198" t="str">
        <f>'Iteration II Simulation'!$T$37</f>
        <v xml:space="preserve">Q8 </v>
      </c>
      <c r="C11" s="534" t="str">
        <f>'Iteration II Simulation'!$U$37</f>
        <v>What is your motorbike's engine type and size?</v>
      </c>
      <c r="F11" s="2165"/>
      <c r="G11" s="2166"/>
      <c r="H11" s="34"/>
      <c r="I11" s="254"/>
      <c r="J11" s="34"/>
      <c r="K11" s="34"/>
      <c r="L11" s="259"/>
      <c r="M11" s="43"/>
      <c r="N11" s="34"/>
      <c r="O11" s="34"/>
      <c r="P11" s="34"/>
      <c r="Q11" s="100"/>
      <c r="R11" s="34"/>
      <c r="S11" s="34"/>
      <c r="T11" s="101"/>
      <c r="U11" s="34"/>
    </row>
    <row r="12" spans="2:21" ht="17" thickBot="1">
      <c r="B12" s="96" t="str">
        <f>'Iteration II Simulation'!$T$46</f>
        <v>Q9</v>
      </c>
      <c r="C12" s="204" t="str">
        <f>'Iteration II Simulation'!$U$46</f>
        <v>How old is your motorbike?</v>
      </c>
      <c r="F12" s="2165"/>
      <c r="G12" s="2166"/>
      <c r="H12" s="34"/>
      <c r="I12" s="1869">
        <v>5</v>
      </c>
      <c r="J12" s="2202"/>
      <c r="K12" s="34"/>
      <c r="L12" s="259"/>
      <c r="M12" s="172"/>
      <c r="N12" s="34"/>
      <c r="O12" s="34"/>
      <c r="P12" s="1869">
        <v>10</v>
      </c>
      <c r="Q12" s="2202"/>
      <c r="R12" s="34"/>
      <c r="S12" s="34"/>
      <c r="T12" s="101"/>
      <c r="U12" s="34"/>
    </row>
    <row r="13" spans="2:21" ht="17" thickBot="1">
      <c r="B13" s="199" t="str">
        <f>'Iteration II Simulation'!$T$52</f>
        <v>Q10</v>
      </c>
      <c r="C13" s="205" t="str">
        <f>'Iteration II Simulation'!$U$52</f>
        <v>On average, how many hours do you usually spend on a motorbike for commuting each week?</v>
      </c>
      <c r="F13" s="2165"/>
      <c r="G13" s="2166"/>
      <c r="H13" s="34"/>
      <c r="I13" s="254"/>
      <c r="J13" s="34"/>
      <c r="K13" s="34"/>
      <c r="L13" s="259"/>
      <c r="M13" s="172"/>
      <c r="N13" s="34"/>
      <c r="O13" s="34"/>
      <c r="P13" s="190"/>
      <c r="Q13" s="34"/>
      <c r="R13" s="34"/>
      <c r="S13" s="34"/>
      <c r="T13" s="101"/>
      <c r="U13" s="34"/>
    </row>
    <row r="14" spans="2:21" ht="17" thickBot="1">
      <c r="B14" s="367" t="str">
        <f>'Iteration II Simulation'!$D$79</f>
        <v>Q11</v>
      </c>
      <c r="C14" s="536" t="str">
        <f>'Iteration II Simulation'!$E$79</f>
        <v>Outside of commuting, do you travel by car?</v>
      </c>
      <c r="F14" s="2165"/>
      <c r="G14" s="2166"/>
      <c r="H14" s="34"/>
      <c r="I14" s="1869">
        <v>6</v>
      </c>
      <c r="J14" s="2202"/>
      <c r="K14" s="34"/>
      <c r="L14" s="259"/>
      <c r="M14" s="34"/>
      <c r="N14" s="34"/>
      <c r="O14" s="34"/>
      <c r="P14" s="190"/>
      <c r="Q14" s="34"/>
      <c r="R14" s="34"/>
      <c r="S14" s="34"/>
      <c r="T14" s="101"/>
      <c r="U14" s="34"/>
    </row>
    <row r="15" spans="2:21" ht="17" customHeight="1" thickBot="1">
      <c r="B15" s="484" t="str">
        <f>'Iteration II Simulation'!$D$84</f>
        <v>Q12</v>
      </c>
      <c r="C15" s="537" t="str">
        <f>'Iteration II Simulation'!$E$84</f>
        <v>What type of car do you have?</v>
      </c>
      <c r="F15" s="2167"/>
      <c r="G15" s="2168"/>
      <c r="H15" s="34"/>
      <c r="I15" s="254"/>
      <c r="J15" s="235"/>
      <c r="K15" s="233"/>
      <c r="L15" s="191"/>
      <c r="M15" s="233"/>
      <c r="N15" s="233"/>
      <c r="O15" s="233"/>
      <c r="P15" s="191"/>
      <c r="Q15" s="233"/>
      <c r="R15" s="233"/>
      <c r="S15" s="191"/>
      <c r="T15" s="101"/>
      <c r="U15" s="34"/>
    </row>
    <row r="16" spans="2:21" ht="17" customHeight="1" thickBot="1">
      <c r="B16" s="484" t="str">
        <f>'Iteration II Simulation'!$D$90</f>
        <v>Q13</v>
      </c>
      <c r="C16" s="537" t="str">
        <f>'Iteration II Simulation'!$E$90</f>
        <v>How old is your car?</v>
      </c>
      <c r="F16" s="2190" t="s">
        <v>140</v>
      </c>
      <c r="G16" s="2191"/>
      <c r="H16" s="26"/>
      <c r="I16" s="285"/>
      <c r="J16" s="285"/>
      <c r="K16" s="26"/>
      <c r="L16" s="26"/>
      <c r="M16" s="26"/>
      <c r="N16" s="283"/>
      <c r="O16" s="27"/>
      <c r="P16" s="26"/>
      <c r="Q16" s="26"/>
      <c r="R16" s="26"/>
      <c r="S16" s="26"/>
      <c r="T16" s="26"/>
      <c r="U16" s="26"/>
    </row>
    <row r="17" spans="2:21" ht="17" thickBot="1">
      <c r="B17" s="484" t="str">
        <f>'Iteration II Simulation'!$D$97</f>
        <v>Q14</v>
      </c>
      <c r="C17" s="537" t="str">
        <f>'Iteration II Simulation'!$E$97</f>
        <v>On average, how many hours do you usually spend in your car outside of commuting each week?</v>
      </c>
      <c r="F17" s="2192"/>
      <c r="G17" s="2193"/>
      <c r="H17" s="26"/>
      <c r="I17" s="26"/>
      <c r="J17" s="26"/>
      <c r="K17" s="26"/>
      <c r="L17" s="26"/>
      <c r="M17" s="26"/>
      <c r="N17" s="1881">
        <v>11</v>
      </c>
      <c r="O17" s="1882"/>
      <c r="P17" s="26"/>
      <c r="Q17" s="26"/>
      <c r="R17" s="26"/>
      <c r="S17" s="26"/>
      <c r="T17" s="26"/>
      <c r="U17" s="26"/>
    </row>
    <row r="18" spans="2:21" ht="17" thickBot="1">
      <c r="B18" s="368" t="str">
        <f>'Iteration II Simulation'!$D$101</f>
        <v>Q15</v>
      </c>
      <c r="C18" s="538" t="str">
        <f>'Iteration II Simulation'!$E$101</f>
        <v>How many people are usually with you in the car at the same time?</v>
      </c>
      <c r="F18" s="2192"/>
      <c r="G18" s="2193"/>
      <c r="H18" s="26"/>
      <c r="I18" s="26"/>
      <c r="J18" s="26"/>
      <c r="K18" s="207"/>
      <c r="L18" s="207"/>
      <c r="M18" s="556"/>
      <c r="N18" s="557"/>
      <c r="O18" s="267"/>
      <c r="P18" s="556"/>
      <c r="Q18" s="285"/>
      <c r="R18" s="285"/>
      <c r="S18" s="27"/>
      <c r="T18" s="27"/>
      <c r="U18" s="26"/>
    </row>
    <row r="19" spans="2:21" ht="17" thickBot="1">
      <c r="B19" s="367" t="str">
        <f>'Iteration II Simulation'!$M$79</f>
        <v>Q16</v>
      </c>
      <c r="C19" s="536" t="str">
        <f>'Iteration II Simulation'!$N$79</f>
        <v>Outside of commuting, do you travel by bus?</v>
      </c>
      <c r="F19" s="2192"/>
      <c r="G19" s="2193"/>
      <c r="H19" s="26"/>
      <c r="I19" s="26"/>
      <c r="J19" s="26"/>
      <c r="K19" s="21"/>
      <c r="L19" s="79"/>
      <c r="M19" s="26"/>
      <c r="N19" s="26"/>
      <c r="O19" s="26"/>
      <c r="P19" s="26"/>
      <c r="Q19" s="557"/>
      <c r="R19" s="558"/>
      <c r="S19" s="26"/>
      <c r="T19" s="26"/>
      <c r="U19" s="26"/>
    </row>
    <row r="20" spans="2:21" ht="17" thickBot="1">
      <c r="B20" s="368" t="str">
        <f>'Iteration II Simulation'!$M$84</f>
        <v>Q17</v>
      </c>
      <c r="C20" s="538" t="str">
        <f>'Iteration II Simulation'!$N$84</f>
        <v>On average, how many hours do you usually spend on a bus outside of commuting each week?</v>
      </c>
      <c r="F20" s="2192"/>
      <c r="G20" s="2193"/>
      <c r="H20" s="26"/>
      <c r="I20" s="26"/>
      <c r="J20" s="26"/>
      <c r="K20" s="1881">
        <v>12</v>
      </c>
      <c r="L20" s="1882"/>
      <c r="M20" s="26"/>
      <c r="N20" s="26"/>
      <c r="O20" s="26"/>
      <c r="P20" s="26"/>
      <c r="Q20" s="1881">
        <v>16</v>
      </c>
      <c r="R20" s="1882"/>
      <c r="S20" s="26"/>
      <c r="T20" s="26"/>
      <c r="U20" s="26"/>
    </row>
    <row r="21" spans="2:21" ht="17" thickBot="1">
      <c r="B21" s="526" t="str">
        <f>'Iteration II Simulation'!$D$122</f>
        <v>Q18</v>
      </c>
      <c r="C21" s="539" t="str">
        <f>'Iteration II Simulation'!$E$122</f>
        <v>What is the size of your residence?</v>
      </c>
      <c r="F21" s="2192"/>
      <c r="G21" s="2193"/>
      <c r="H21" s="26"/>
      <c r="I21" s="26"/>
      <c r="J21" s="26"/>
      <c r="K21" s="21"/>
      <c r="L21" s="26"/>
      <c r="M21" s="26"/>
      <c r="N21" s="26"/>
      <c r="O21" s="285"/>
      <c r="P21" s="285"/>
      <c r="Q21" s="557"/>
      <c r="R21" s="267"/>
      <c r="S21" s="285"/>
      <c r="T21" s="285"/>
      <c r="U21" s="26"/>
    </row>
    <row r="22" spans="2:21" ht="17" thickBot="1">
      <c r="B22" s="527" t="str">
        <f>'Iteration II Simulation'!$D$128</f>
        <v>Q19</v>
      </c>
      <c r="C22" s="540" t="str">
        <f>'Iteration II Simulation'!$E$128</f>
        <v>How many adults do you live with?</v>
      </c>
      <c r="F22" s="2192"/>
      <c r="G22" s="2193"/>
      <c r="H22" s="26"/>
      <c r="I22" s="26"/>
      <c r="J22" s="26"/>
      <c r="K22" s="21"/>
      <c r="L22" s="26"/>
      <c r="M22" s="26"/>
      <c r="N22" s="26"/>
      <c r="O22" s="515"/>
      <c r="P22" s="267"/>
      <c r="Q22" s="26"/>
      <c r="R22" s="26"/>
      <c r="S22" s="80"/>
      <c r="T22" s="26"/>
      <c r="U22" s="26"/>
    </row>
    <row r="23" spans="2:21" ht="17" thickBot="1">
      <c r="B23" s="526" t="str">
        <f>'Iteration II Simulation'!$L$122</f>
        <v>Q20</v>
      </c>
      <c r="C23" s="539" t="str">
        <f>'Iteration II Simulation'!$M$122</f>
        <v>Do you use a wood-burning stove at home?</v>
      </c>
      <c r="F23" s="2192"/>
      <c r="G23" s="2193"/>
      <c r="H23" s="26"/>
      <c r="I23" s="26"/>
      <c r="J23" s="26"/>
      <c r="K23" s="1881">
        <v>13</v>
      </c>
      <c r="L23" s="1882"/>
      <c r="M23" s="26"/>
      <c r="N23" s="26"/>
      <c r="O23" s="1881">
        <v>17</v>
      </c>
      <c r="P23" s="1882"/>
      <c r="Q23" s="26"/>
      <c r="R23" s="26"/>
      <c r="S23" s="279"/>
      <c r="T23" s="285"/>
      <c r="U23" s="26"/>
    </row>
    <row r="24" spans="2:21" ht="17" thickBot="1">
      <c r="B24" s="528" t="str">
        <f>'Iteration II Simulation'!$L$127</f>
        <v>Q21</v>
      </c>
      <c r="C24" s="541" t="str">
        <f>'Iteration II Simulation'!$M$127</f>
        <v>What type of wood-burning stove do you have?</v>
      </c>
      <c r="F24" s="2192"/>
      <c r="G24" s="2193"/>
      <c r="H24" s="26"/>
      <c r="I24" s="26"/>
      <c r="J24" s="26"/>
      <c r="K24" s="279"/>
      <c r="L24" s="207"/>
      <c r="M24" s="26"/>
      <c r="N24" s="27"/>
      <c r="O24" s="80"/>
      <c r="P24" s="27"/>
      <c r="Q24" s="27"/>
      <c r="R24" s="27"/>
      <c r="S24" s="21"/>
      <c r="T24" s="27"/>
      <c r="U24" s="27"/>
    </row>
    <row r="25" spans="2:21" ht="17" thickBot="1">
      <c r="B25" s="527" t="str">
        <f>'Iteration II Simulation'!$L$134</f>
        <v>Q22</v>
      </c>
      <c r="C25" s="540" t="str">
        <f>'Iteration II Simulation'!$M$134</f>
        <v>On average, what is the total number of hours you operate your wood burning stove each week?</v>
      </c>
      <c r="F25" s="2192"/>
      <c r="G25" s="2193"/>
      <c r="H25" s="26"/>
      <c r="I25" s="26"/>
      <c r="J25" s="26"/>
      <c r="K25" s="1881">
        <v>14</v>
      </c>
      <c r="L25" s="1882"/>
      <c r="M25" s="26"/>
      <c r="N25" s="27"/>
      <c r="O25" s="21"/>
      <c r="P25" s="285"/>
      <c r="Q25" s="285"/>
      <c r="R25" s="27"/>
      <c r="S25" s="21"/>
      <c r="T25" s="27"/>
      <c r="U25" s="285"/>
    </row>
    <row r="26" spans="2:21" ht="17" thickBot="1">
      <c r="B26" s="526" t="str">
        <f>'Iteration II Simulation'!$S$122</f>
        <v>Q23</v>
      </c>
      <c r="C26" s="539" t="str">
        <f>'Iteration II Simulation'!$T$122</f>
        <v>Do you use a gas boiler at home?</v>
      </c>
      <c r="F26" s="2192"/>
      <c r="G26" s="2193"/>
      <c r="H26" s="26"/>
      <c r="I26" s="26"/>
      <c r="J26" s="26"/>
      <c r="K26" s="279"/>
      <c r="L26" s="207"/>
      <c r="M26" s="26"/>
      <c r="N26" s="27"/>
      <c r="O26" s="21"/>
      <c r="P26" s="27"/>
      <c r="Q26" s="27"/>
      <c r="R26" s="27"/>
      <c r="S26" s="21"/>
      <c r="T26" s="27"/>
      <c r="U26" s="285"/>
    </row>
    <row r="27" spans="2:21" ht="17" thickBot="1">
      <c r="B27" s="527" t="str">
        <f>'Iteration II Simulation'!$S$127</f>
        <v>Q24</v>
      </c>
      <c r="C27" s="540" t="str">
        <f>'Iteration II Simulation'!$T$127</f>
        <v>What is the type of your boiler fuel?</v>
      </c>
      <c r="F27" s="2192"/>
      <c r="G27" s="2193"/>
      <c r="H27" s="26"/>
      <c r="I27" s="26"/>
      <c r="J27" s="26"/>
      <c r="K27" s="1881">
        <v>15</v>
      </c>
      <c r="L27" s="1882"/>
      <c r="M27" s="26"/>
      <c r="N27" s="285"/>
      <c r="O27" s="279"/>
      <c r="P27" s="27"/>
      <c r="Q27" s="27"/>
      <c r="R27" s="285"/>
      <c r="S27" s="279"/>
      <c r="T27" s="27"/>
      <c r="U27" s="27"/>
    </row>
    <row r="28" spans="2:21" ht="17" thickBot="1">
      <c r="B28" s="529" t="str">
        <f>'Iteration II Simulation'!$Y$122</f>
        <v>Q25</v>
      </c>
      <c r="C28" s="542" t="str">
        <f>'Iteration II Simulation'!$Z$122</f>
        <v>Do you use an electric heat pump?</v>
      </c>
      <c r="F28" s="2192"/>
      <c r="G28" s="2193"/>
      <c r="H28" s="26"/>
      <c r="I28" s="26"/>
      <c r="J28" s="26"/>
      <c r="K28" s="279"/>
      <c r="L28" s="207"/>
      <c r="M28" s="26"/>
      <c r="N28" s="285"/>
      <c r="O28" s="279"/>
      <c r="P28" s="27"/>
      <c r="Q28" s="27"/>
      <c r="R28" s="285"/>
      <c r="S28" s="279"/>
      <c r="T28" s="27"/>
      <c r="U28" s="27"/>
    </row>
    <row r="29" spans="2:21" ht="17" thickBot="1">
      <c r="B29" s="530" t="str">
        <f>'Iteration II Simulation'!$D$164</f>
        <v>Q26</v>
      </c>
      <c r="C29" s="543" t="str">
        <f>'Iteration II Simulation'!$E$164</f>
        <v>Excluding food and takeaway deliveries, do you make online purchases (E.g. Clothing, Beauty, Technology, etc.)?</v>
      </c>
      <c r="F29" s="2192"/>
      <c r="G29" s="2193"/>
      <c r="H29" s="26"/>
      <c r="I29" s="26"/>
      <c r="J29" s="26"/>
      <c r="K29" s="1881">
        <v>16</v>
      </c>
      <c r="L29" s="1882"/>
      <c r="M29" s="26"/>
      <c r="N29" s="26"/>
      <c r="O29" s="21"/>
      <c r="P29" s="26"/>
      <c r="Q29" s="26"/>
      <c r="R29" s="26"/>
      <c r="S29" s="21"/>
      <c r="T29" s="26"/>
      <c r="U29" s="26"/>
    </row>
    <row r="30" spans="2:21" ht="17" thickBot="1">
      <c r="B30" s="531" t="str">
        <f>'Iteration II Simulation'!$D$169</f>
        <v>Q27</v>
      </c>
      <c r="C30" s="544" t="str">
        <f>'Iteration II Simulation'!$E$169</f>
        <v>On average, how many online purchases do you make each week?</v>
      </c>
      <c r="F30" s="2192"/>
      <c r="G30" s="2193"/>
      <c r="H30" s="26"/>
      <c r="I30" s="285"/>
      <c r="J30" s="285"/>
      <c r="K30" s="557"/>
      <c r="L30" s="267"/>
      <c r="M30" s="285"/>
      <c r="N30" s="285"/>
      <c r="O30" s="21"/>
      <c r="P30" s="26"/>
      <c r="Q30" s="26"/>
      <c r="R30" s="26"/>
      <c r="S30" s="21"/>
      <c r="T30" s="26"/>
      <c r="U30" s="26"/>
    </row>
    <row r="31" spans="2:21" ht="17" thickBot="1">
      <c r="B31" s="532" t="str">
        <f>'Iteration II Simulation'!$L$164</f>
        <v>Q28</v>
      </c>
      <c r="C31" s="545" t="str">
        <f>'Iteration II Simulation'!$M$164</f>
        <v>Do you shop for grocery online (E.g. Sainsbury, Ocado, Asda, etc.)?</v>
      </c>
      <c r="F31" s="2192"/>
      <c r="G31" s="2193"/>
      <c r="H31" s="26"/>
      <c r="I31" s="515"/>
      <c r="J31" s="267"/>
      <c r="K31" s="26"/>
      <c r="L31" s="26"/>
      <c r="M31" s="80"/>
      <c r="N31" s="26"/>
      <c r="O31" s="21"/>
      <c r="P31" s="26"/>
      <c r="Q31" s="26"/>
      <c r="R31" s="26"/>
      <c r="S31" s="21"/>
      <c r="T31" s="26"/>
      <c r="U31" s="26"/>
    </row>
    <row r="32" spans="2:21" ht="17" thickBot="1">
      <c r="B32" s="531" t="str">
        <f>'Iteration II Simulation'!$L$169</f>
        <v>Q29</v>
      </c>
      <c r="C32" s="544" t="str">
        <f>'Iteration II Simulation'!$M$169</f>
        <v>On average, how many grocery shops delivery do you make each week?</v>
      </c>
      <c r="F32" s="2192"/>
      <c r="G32" s="2193"/>
      <c r="H32" s="26"/>
      <c r="I32" s="1881">
        <v>17</v>
      </c>
      <c r="J32" s="1882"/>
      <c r="K32" s="26"/>
      <c r="L32" s="26"/>
      <c r="M32" s="279"/>
      <c r="N32" s="285"/>
      <c r="O32" s="21"/>
      <c r="P32" s="26"/>
      <c r="Q32" s="26"/>
      <c r="R32" s="26"/>
      <c r="S32" s="21"/>
      <c r="T32" s="26"/>
      <c r="U32" s="26"/>
    </row>
    <row r="33" spans="2:21" ht="17" thickBot="1">
      <c r="F33" s="2194"/>
      <c r="G33" s="2195"/>
      <c r="H33" s="26"/>
      <c r="I33" s="80"/>
      <c r="J33" s="556"/>
      <c r="K33" s="556"/>
      <c r="L33" s="281"/>
      <c r="M33" s="515"/>
      <c r="N33" s="556"/>
      <c r="O33" s="515"/>
      <c r="P33" s="556"/>
      <c r="Q33" s="556"/>
      <c r="R33" s="556"/>
      <c r="S33" s="515"/>
      <c r="T33" s="26"/>
      <c r="U33" s="26"/>
    </row>
    <row r="34" spans="2:21" ht="17" customHeight="1" thickBot="1">
      <c r="B34" s="785"/>
      <c r="C34" s="785"/>
      <c r="F34" s="2178" t="s">
        <v>3270</v>
      </c>
      <c r="G34" s="2179"/>
      <c r="H34" s="192"/>
      <c r="I34" s="192"/>
      <c r="J34" s="192"/>
      <c r="K34" s="192"/>
      <c r="L34" s="217"/>
      <c r="M34" s="217"/>
      <c r="N34" s="311"/>
      <c r="O34" s="217"/>
      <c r="P34" s="192"/>
      <c r="Q34" s="192"/>
      <c r="R34" s="192"/>
      <c r="S34" s="192"/>
      <c r="T34" s="192"/>
      <c r="U34" s="192"/>
    </row>
    <row r="35" spans="2:21" ht="17" thickBot="1">
      <c r="B35" s="8"/>
      <c r="C35" s="782"/>
      <c r="F35" s="2180"/>
      <c r="G35" s="2181"/>
      <c r="H35" s="192"/>
      <c r="I35" s="192"/>
      <c r="J35" s="192"/>
      <c r="K35" s="217"/>
      <c r="L35" s="217"/>
      <c r="M35" s="217"/>
      <c r="N35" s="2200">
        <v>18</v>
      </c>
      <c r="O35" s="2201"/>
      <c r="P35" s="192"/>
      <c r="Q35" s="192"/>
      <c r="R35" s="192"/>
      <c r="S35" s="192"/>
      <c r="T35" s="192"/>
      <c r="U35" s="192"/>
    </row>
    <row r="36" spans="2:21" ht="17" thickBot="1">
      <c r="B36" s="8"/>
      <c r="C36" s="782"/>
      <c r="F36" s="2180"/>
      <c r="G36" s="2181"/>
      <c r="H36" s="192"/>
      <c r="I36" s="192"/>
      <c r="J36" s="192"/>
      <c r="K36" s="289"/>
      <c r="L36" s="217"/>
      <c r="M36" s="217"/>
      <c r="N36" s="311"/>
      <c r="O36" s="217"/>
      <c r="P36" s="192"/>
      <c r="Q36" s="192"/>
      <c r="R36" s="192"/>
      <c r="S36" s="192"/>
      <c r="T36" s="192"/>
      <c r="U36" s="192"/>
    </row>
    <row r="37" spans="2:21" ht="17" thickBot="1">
      <c r="B37" s="8"/>
      <c r="C37" s="782"/>
      <c r="F37" s="2180"/>
      <c r="G37" s="2181"/>
      <c r="H37" s="192"/>
      <c r="I37" s="192"/>
      <c r="J37" s="192"/>
      <c r="K37" s="289"/>
      <c r="L37" s="217"/>
      <c r="M37" s="217"/>
      <c r="N37" s="2200">
        <v>19</v>
      </c>
      <c r="O37" s="2201"/>
      <c r="P37" s="192"/>
      <c r="Q37" s="192"/>
      <c r="R37" s="192"/>
      <c r="S37" s="192"/>
      <c r="T37" s="192"/>
      <c r="U37" s="192"/>
    </row>
    <row r="38" spans="2:21" ht="17" thickBot="1">
      <c r="B38" s="8"/>
      <c r="C38" s="782"/>
      <c r="F38" s="2180"/>
      <c r="G38" s="2181"/>
      <c r="H38" s="192"/>
      <c r="I38" s="192"/>
      <c r="J38" s="192"/>
      <c r="K38" s="192"/>
      <c r="L38" s="192"/>
      <c r="M38" s="192"/>
      <c r="N38" s="311"/>
      <c r="O38" s="217"/>
      <c r="P38" s="192"/>
      <c r="Q38" s="192"/>
      <c r="R38" s="192"/>
      <c r="S38" s="192"/>
      <c r="T38" s="192"/>
      <c r="U38" s="192"/>
    </row>
    <row r="39" spans="2:21" ht="17" thickBot="1">
      <c r="B39" s="8"/>
      <c r="C39" s="782"/>
      <c r="F39" s="2180"/>
      <c r="G39" s="2181"/>
      <c r="H39" s="192"/>
      <c r="I39" s="192"/>
      <c r="J39" s="192"/>
      <c r="K39" s="192"/>
      <c r="L39" s="192"/>
      <c r="M39" s="192"/>
      <c r="N39" s="2200">
        <v>20</v>
      </c>
      <c r="O39" s="2201"/>
      <c r="P39" s="192"/>
      <c r="Q39" s="192"/>
      <c r="R39" s="192"/>
      <c r="S39" s="192"/>
      <c r="T39" s="192"/>
      <c r="U39" s="192"/>
    </row>
    <row r="40" spans="2:21" ht="17" thickBot="1">
      <c r="B40" s="8"/>
      <c r="C40" s="782"/>
      <c r="F40" s="2180"/>
      <c r="G40" s="2181"/>
      <c r="H40" s="192"/>
      <c r="I40" s="192"/>
      <c r="J40" s="192"/>
      <c r="K40" s="192"/>
      <c r="L40" s="192"/>
      <c r="M40" s="559"/>
      <c r="N40" s="551"/>
      <c r="O40" s="550"/>
      <c r="P40" s="559"/>
      <c r="Q40" s="217"/>
      <c r="R40" s="217"/>
      <c r="S40" s="192"/>
      <c r="T40" s="192"/>
      <c r="U40" s="192"/>
    </row>
    <row r="41" spans="2:21" ht="17" thickBot="1">
      <c r="B41" s="8"/>
      <c r="C41" s="782"/>
      <c r="F41" s="2180"/>
      <c r="G41" s="2181"/>
      <c r="H41" s="192"/>
      <c r="I41" s="192"/>
      <c r="J41" s="192"/>
      <c r="K41" s="227"/>
      <c r="L41" s="225"/>
      <c r="M41" s="192"/>
      <c r="N41" s="192"/>
      <c r="O41" s="192"/>
      <c r="P41" s="192"/>
      <c r="Q41" s="551"/>
      <c r="R41" s="224"/>
      <c r="S41" s="192"/>
      <c r="T41" s="192"/>
      <c r="U41" s="192"/>
    </row>
    <row r="42" spans="2:21" ht="17" thickBot="1">
      <c r="B42" s="8"/>
      <c r="C42" s="782"/>
      <c r="F42" s="2180"/>
      <c r="G42" s="2181"/>
      <c r="H42" s="192"/>
      <c r="I42" s="192"/>
      <c r="J42" s="192"/>
      <c r="K42" s="2200">
        <v>21</v>
      </c>
      <c r="L42" s="2201"/>
      <c r="M42" s="192"/>
      <c r="N42" s="192"/>
      <c r="O42" s="192"/>
      <c r="P42" s="192"/>
      <c r="Q42" s="2200">
        <v>23</v>
      </c>
      <c r="R42" s="2201"/>
      <c r="S42" s="192"/>
      <c r="T42" s="192"/>
      <c r="U42" s="192"/>
    </row>
    <row r="43" spans="2:21" ht="17" thickBot="1">
      <c r="B43" s="8"/>
      <c r="C43" s="782"/>
      <c r="F43" s="2180"/>
      <c r="G43" s="2181"/>
      <c r="H43" s="192"/>
      <c r="I43" s="192"/>
      <c r="J43" s="192"/>
      <c r="K43" s="307"/>
      <c r="L43" s="217"/>
      <c r="M43" s="192"/>
      <c r="N43" s="192"/>
      <c r="O43" s="289"/>
      <c r="P43" s="289"/>
      <c r="Q43" s="551"/>
      <c r="R43" s="550"/>
      <c r="S43" s="289"/>
      <c r="T43" s="289"/>
      <c r="U43" s="192"/>
    </row>
    <row r="44" spans="2:21" ht="17" thickBot="1">
      <c r="B44" s="8"/>
      <c r="C44" s="782"/>
      <c r="F44" s="2180"/>
      <c r="G44" s="2181"/>
      <c r="H44" s="192"/>
      <c r="I44" s="192"/>
      <c r="J44" s="192"/>
      <c r="K44" s="227"/>
      <c r="L44" s="217"/>
      <c r="M44" s="192"/>
      <c r="N44" s="192"/>
      <c r="O44" s="560"/>
      <c r="P44" s="550"/>
      <c r="Q44" s="192"/>
      <c r="R44" s="192"/>
      <c r="S44" s="299"/>
      <c r="T44" s="217"/>
      <c r="U44" s="192"/>
    </row>
    <row r="45" spans="2:21" ht="17" thickBot="1">
      <c r="B45" s="8"/>
      <c r="C45" s="782"/>
      <c r="F45" s="2180"/>
      <c r="G45" s="2181"/>
      <c r="H45" s="192"/>
      <c r="I45" s="192"/>
      <c r="J45" s="192"/>
      <c r="K45" s="2200">
        <v>22</v>
      </c>
      <c r="L45" s="2201"/>
      <c r="M45" s="192"/>
      <c r="N45" s="192"/>
      <c r="O45" s="2200">
        <v>24</v>
      </c>
      <c r="P45" s="2201"/>
      <c r="Q45" s="192"/>
      <c r="R45" s="192"/>
      <c r="S45" s="2200">
        <v>25</v>
      </c>
      <c r="T45" s="2201"/>
      <c r="U45" s="192"/>
    </row>
    <row r="46" spans="2:21" ht="17" thickBot="1">
      <c r="B46" s="8"/>
      <c r="C46" s="782"/>
      <c r="F46" s="2180"/>
      <c r="G46" s="2181"/>
      <c r="H46" s="192"/>
      <c r="I46" s="192"/>
      <c r="J46" s="192"/>
      <c r="K46" s="551"/>
      <c r="L46" s="192"/>
      <c r="M46" s="192"/>
      <c r="N46" s="192"/>
      <c r="O46" s="311"/>
      <c r="P46" s="217"/>
      <c r="Q46" s="192"/>
      <c r="R46" s="192"/>
      <c r="S46" s="227"/>
      <c r="T46" s="192"/>
      <c r="U46" s="192"/>
    </row>
    <row r="47" spans="2:21" ht="17" thickBot="1">
      <c r="B47" s="8"/>
      <c r="C47" s="782"/>
      <c r="F47" s="2180"/>
      <c r="G47" s="2181"/>
      <c r="H47" s="192"/>
      <c r="I47" s="192"/>
      <c r="J47" s="192"/>
      <c r="K47" s="2200">
        <v>23</v>
      </c>
      <c r="L47" s="2201"/>
      <c r="M47" s="192"/>
      <c r="N47" s="192"/>
      <c r="O47" s="2200">
        <v>25</v>
      </c>
      <c r="P47" s="2201"/>
      <c r="Q47" s="192"/>
      <c r="R47" s="192"/>
      <c r="S47" s="227"/>
      <c r="T47" s="192"/>
      <c r="U47" s="192"/>
    </row>
    <row r="48" spans="2:21" ht="17" thickBot="1">
      <c r="B48" s="8"/>
      <c r="C48" s="782"/>
      <c r="F48" s="2180"/>
      <c r="G48" s="2181"/>
      <c r="H48" s="192"/>
      <c r="I48" s="289"/>
      <c r="J48" s="289"/>
      <c r="K48" s="551"/>
      <c r="L48" s="550"/>
      <c r="M48" s="289"/>
      <c r="N48" s="289"/>
      <c r="O48" s="227"/>
      <c r="P48" s="192"/>
      <c r="Q48" s="192"/>
      <c r="R48" s="192"/>
      <c r="S48" s="227"/>
      <c r="T48" s="192"/>
      <c r="U48" s="192"/>
    </row>
    <row r="49" spans="2:21" ht="17" thickBot="1">
      <c r="B49" s="8"/>
      <c r="C49" s="782"/>
      <c r="F49" s="2180"/>
      <c r="G49" s="2181"/>
      <c r="H49" s="192"/>
      <c r="I49" s="560"/>
      <c r="J49" s="550"/>
      <c r="K49" s="192"/>
      <c r="L49" s="192"/>
      <c r="M49" s="299"/>
      <c r="N49" s="217"/>
      <c r="O49" s="227"/>
      <c r="P49" s="192"/>
      <c r="Q49" s="192"/>
      <c r="R49" s="192"/>
      <c r="S49" s="227"/>
      <c r="T49" s="192"/>
      <c r="U49" s="192"/>
    </row>
    <row r="50" spans="2:21" ht="17" thickBot="1">
      <c r="B50" s="8"/>
      <c r="C50" s="782"/>
      <c r="F50" s="2180"/>
      <c r="G50" s="2181"/>
      <c r="H50" s="192"/>
      <c r="I50" s="2200">
        <v>24</v>
      </c>
      <c r="J50" s="2201"/>
      <c r="K50" s="192"/>
      <c r="L50" s="192"/>
      <c r="M50" s="2200">
        <v>25</v>
      </c>
      <c r="N50" s="2201"/>
      <c r="O50" s="227"/>
      <c r="P50" s="192"/>
      <c r="Q50" s="192"/>
      <c r="R50" s="192"/>
      <c r="S50" s="227"/>
      <c r="T50" s="192"/>
      <c r="U50" s="192"/>
    </row>
    <row r="51" spans="2:21" ht="17" thickBot="1">
      <c r="B51" s="8"/>
      <c r="C51" s="782"/>
      <c r="F51" s="2180"/>
      <c r="G51" s="2181"/>
      <c r="H51" s="192"/>
      <c r="I51" s="311"/>
      <c r="J51" s="217"/>
      <c r="K51" s="192"/>
      <c r="L51" s="192"/>
      <c r="M51" s="226"/>
      <c r="N51" s="192"/>
      <c r="O51" s="227"/>
      <c r="P51" s="192"/>
      <c r="Q51" s="192"/>
      <c r="R51" s="192"/>
      <c r="S51" s="227"/>
      <c r="T51" s="192"/>
      <c r="U51" s="192"/>
    </row>
    <row r="52" spans="2:21" ht="17" thickBot="1">
      <c r="B52" s="8"/>
      <c r="C52" s="782"/>
      <c r="F52" s="2180"/>
      <c r="G52" s="2181"/>
      <c r="H52" s="192"/>
      <c r="I52" s="2200">
        <v>25</v>
      </c>
      <c r="J52" s="2201"/>
      <c r="K52" s="192"/>
      <c r="L52" s="192"/>
      <c r="M52" s="227"/>
      <c r="N52" s="192"/>
      <c r="O52" s="227"/>
      <c r="P52" s="192"/>
      <c r="Q52" s="192"/>
      <c r="R52" s="192"/>
      <c r="S52" s="227"/>
      <c r="T52" s="192"/>
      <c r="U52" s="192"/>
    </row>
    <row r="53" spans="2:21" ht="17" thickBot="1">
      <c r="B53" s="8"/>
      <c r="C53" s="782"/>
      <c r="F53" s="2182"/>
      <c r="G53" s="2183"/>
      <c r="H53" s="192"/>
      <c r="I53" s="226"/>
      <c r="J53" s="550"/>
      <c r="K53" s="559"/>
      <c r="L53" s="559"/>
      <c r="M53" s="560"/>
      <c r="N53" s="559"/>
      <c r="O53" s="560"/>
      <c r="P53" s="559"/>
      <c r="Q53" s="559"/>
      <c r="R53" s="559"/>
      <c r="S53" s="560"/>
      <c r="T53" s="192"/>
      <c r="U53" s="192"/>
    </row>
    <row r="54" spans="2:21" ht="17" customHeight="1" thickBot="1">
      <c r="B54" s="8"/>
      <c r="C54" s="782"/>
      <c r="F54" s="2184" t="s">
        <v>3287</v>
      </c>
      <c r="G54" s="2185"/>
      <c r="H54" s="561"/>
      <c r="I54" s="561"/>
      <c r="J54" s="561"/>
      <c r="K54" s="561"/>
      <c r="L54" s="561"/>
      <c r="M54" s="561"/>
      <c r="N54" s="562"/>
      <c r="O54" s="512"/>
      <c r="P54" s="561"/>
      <c r="Q54" s="561"/>
      <c r="R54" s="561"/>
      <c r="S54" s="561"/>
      <c r="T54" s="561"/>
      <c r="U54" s="561"/>
    </row>
    <row r="55" spans="2:21" ht="17" thickBot="1">
      <c r="B55" s="8"/>
      <c r="C55" s="782"/>
      <c r="F55" s="2186"/>
      <c r="G55" s="2187"/>
      <c r="H55" s="561"/>
      <c r="I55" s="561"/>
      <c r="J55" s="561"/>
      <c r="K55" s="561"/>
      <c r="L55" s="561"/>
      <c r="M55" s="561"/>
      <c r="N55" s="2198">
        <v>26</v>
      </c>
      <c r="O55" s="2199"/>
      <c r="P55" s="561"/>
      <c r="Q55" s="561"/>
      <c r="R55" s="561"/>
      <c r="S55" s="561"/>
      <c r="T55" s="561"/>
      <c r="U55" s="561"/>
    </row>
    <row r="56" spans="2:21" ht="17" thickBot="1">
      <c r="B56" s="8"/>
      <c r="C56" s="782"/>
      <c r="F56" s="2186"/>
      <c r="G56" s="2187"/>
      <c r="H56" s="561"/>
      <c r="I56" s="561"/>
      <c r="J56" s="561"/>
      <c r="K56" s="561"/>
      <c r="L56" s="561"/>
      <c r="M56" s="563"/>
      <c r="N56" s="511"/>
      <c r="O56" s="554"/>
      <c r="P56" s="563"/>
      <c r="Q56" s="514"/>
      <c r="R56" s="514"/>
      <c r="S56" s="561"/>
      <c r="T56" s="561"/>
      <c r="U56" s="561"/>
    </row>
    <row r="57" spans="2:21" ht="17" thickBot="1">
      <c r="B57" s="8"/>
      <c r="C57" s="782"/>
      <c r="F57" s="2186"/>
      <c r="G57" s="2187"/>
      <c r="H57" s="561"/>
      <c r="I57" s="561"/>
      <c r="J57" s="561"/>
      <c r="K57" s="564"/>
      <c r="L57" s="565"/>
      <c r="M57" s="561"/>
      <c r="N57" s="561"/>
      <c r="O57" s="561"/>
      <c r="P57" s="561"/>
      <c r="Q57" s="553"/>
      <c r="R57" s="566"/>
      <c r="S57" s="561"/>
      <c r="T57" s="561"/>
      <c r="U57" s="561"/>
    </row>
    <row r="58" spans="2:21" ht="17" thickBot="1">
      <c r="B58" s="8"/>
      <c r="C58" s="782"/>
      <c r="F58" s="2186"/>
      <c r="G58" s="2187"/>
      <c r="H58" s="561"/>
      <c r="I58" s="561"/>
      <c r="J58" s="561"/>
      <c r="K58" s="2198">
        <v>27</v>
      </c>
      <c r="L58" s="2199"/>
      <c r="M58" s="561"/>
      <c r="N58" s="561"/>
      <c r="O58" s="561"/>
      <c r="P58" s="561"/>
      <c r="Q58" s="2198">
        <v>28</v>
      </c>
      <c r="R58" s="2199"/>
      <c r="S58" s="561"/>
      <c r="T58" s="512"/>
      <c r="U58" s="561"/>
    </row>
    <row r="59" spans="2:21" ht="17" thickBot="1">
      <c r="B59" s="8"/>
      <c r="C59" s="782"/>
      <c r="F59" s="2186"/>
      <c r="G59" s="2187"/>
      <c r="H59" s="561"/>
      <c r="I59" s="561"/>
      <c r="J59" s="561"/>
      <c r="K59" s="567"/>
      <c r="L59" s="514"/>
      <c r="M59" s="561"/>
      <c r="N59" s="561"/>
      <c r="O59" s="512"/>
      <c r="P59" s="512"/>
      <c r="Q59" s="553"/>
      <c r="R59" s="552"/>
      <c r="S59" s="512"/>
      <c r="T59" s="514"/>
      <c r="U59" s="561"/>
    </row>
    <row r="60" spans="2:21" ht="17" thickBot="1">
      <c r="B60" s="8"/>
      <c r="C60" s="782"/>
      <c r="F60" s="2186"/>
      <c r="G60" s="2187"/>
      <c r="H60" s="561"/>
      <c r="I60" s="561"/>
      <c r="J60" s="561"/>
      <c r="K60" s="568"/>
      <c r="L60" s="561"/>
      <c r="M60" s="561"/>
      <c r="N60" s="561"/>
      <c r="O60" s="568"/>
      <c r="P60" s="552"/>
      <c r="Q60" s="561"/>
      <c r="R60" s="561"/>
      <c r="S60" s="569"/>
      <c r="T60" s="512"/>
      <c r="U60" s="561"/>
    </row>
    <row r="61" spans="2:21" ht="17" thickBot="1">
      <c r="B61" s="8"/>
      <c r="C61" s="782"/>
      <c r="F61" s="2186"/>
      <c r="G61" s="2187"/>
      <c r="H61" s="561"/>
      <c r="I61" s="561"/>
      <c r="J61" s="561"/>
      <c r="K61" s="2198">
        <v>28</v>
      </c>
      <c r="L61" s="2199"/>
      <c r="M61" s="561"/>
      <c r="N61" s="512"/>
      <c r="O61" s="2198">
        <v>29</v>
      </c>
      <c r="P61" s="2199"/>
      <c r="Q61" s="561"/>
      <c r="R61" s="561"/>
      <c r="S61" s="567"/>
      <c r="T61" s="561"/>
      <c r="U61" s="561"/>
    </row>
    <row r="62" spans="2:21" ht="17" thickBot="1">
      <c r="B62" s="8"/>
      <c r="C62" s="782"/>
      <c r="F62" s="2186"/>
      <c r="G62" s="2187"/>
      <c r="H62" s="561"/>
      <c r="I62" s="512"/>
      <c r="J62" s="512"/>
      <c r="K62" s="553"/>
      <c r="L62" s="552"/>
      <c r="M62" s="512"/>
      <c r="N62" s="514"/>
      <c r="O62" s="570"/>
      <c r="P62" s="561"/>
      <c r="Q62" s="561"/>
      <c r="R62" s="561"/>
      <c r="S62" s="564"/>
      <c r="T62" s="561"/>
      <c r="U62" s="561"/>
    </row>
    <row r="63" spans="2:21" ht="17" thickBot="1">
      <c r="B63" s="8"/>
      <c r="C63" s="782"/>
      <c r="F63" s="2186"/>
      <c r="G63" s="2187"/>
      <c r="H63" s="561"/>
      <c r="I63" s="568"/>
      <c r="J63" s="552"/>
      <c r="K63" s="561"/>
      <c r="L63" s="561"/>
      <c r="M63" s="569"/>
      <c r="N63" s="512"/>
      <c r="O63" s="567"/>
      <c r="P63" s="370"/>
      <c r="Q63" s="561"/>
      <c r="R63" s="561"/>
      <c r="S63" s="564"/>
      <c r="T63" s="561"/>
      <c r="U63" s="561"/>
    </row>
    <row r="64" spans="2:21" ht="17" thickBot="1">
      <c r="F64" s="2186"/>
      <c r="G64" s="2187"/>
      <c r="H64" s="561"/>
      <c r="I64" s="2198">
        <v>29</v>
      </c>
      <c r="J64" s="2199"/>
      <c r="K64" s="561"/>
      <c r="L64" s="561"/>
      <c r="M64" s="567"/>
      <c r="N64" s="514"/>
      <c r="O64" s="567"/>
      <c r="P64" s="561"/>
      <c r="Q64" s="561"/>
      <c r="R64" s="561"/>
      <c r="S64" s="564"/>
      <c r="T64" s="561"/>
      <c r="U64" s="561"/>
    </row>
    <row r="65" spans="6:21" ht="17" thickBot="1">
      <c r="F65" s="2188"/>
      <c r="G65" s="2189"/>
      <c r="H65" s="561"/>
      <c r="I65" s="569"/>
      <c r="J65" s="571"/>
      <c r="K65" s="563"/>
      <c r="L65" s="563"/>
      <c r="M65" s="568"/>
      <c r="N65" s="572"/>
      <c r="O65" s="568"/>
      <c r="P65" s="563"/>
      <c r="Q65" s="563"/>
      <c r="R65" s="563"/>
      <c r="S65" s="568"/>
      <c r="T65" s="561"/>
      <c r="U65" s="561"/>
    </row>
    <row r="66" spans="6:21" ht="17" customHeight="1" thickBot="1">
      <c r="F66" s="2159" t="s">
        <v>110</v>
      </c>
      <c r="G66" s="2160"/>
      <c r="H66" s="573"/>
      <c r="I66" s="573"/>
      <c r="J66" s="573"/>
      <c r="K66" s="573"/>
      <c r="L66" s="573"/>
      <c r="M66" s="573"/>
      <c r="N66" s="574"/>
      <c r="O66" s="575"/>
      <c r="P66" s="573"/>
      <c r="Q66" s="573"/>
      <c r="R66" s="573"/>
      <c r="S66" s="573"/>
      <c r="T66" s="573"/>
      <c r="U66" s="573"/>
    </row>
    <row r="67" spans="6:21" ht="17" thickBot="1">
      <c r="F67" s="2161"/>
      <c r="G67" s="2162"/>
      <c r="H67" s="573"/>
      <c r="I67" s="573"/>
      <c r="J67" s="573"/>
      <c r="K67" s="573"/>
      <c r="L67" s="573"/>
      <c r="M67" s="573"/>
      <c r="N67" s="2196" t="s">
        <v>182</v>
      </c>
      <c r="O67" s="2197"/>
      <c r="P67" s="573"/>
      <c r="Q67" s="573"/>
      <c r="R67" s="573"/>
      <c r="S67" s="573"/>
      <c r="T67" s="573"/>
      <c r="U67" s="573"/>
    </row>
  </sheetData>
  <sheetProtection algorithmName="SHA-512" hashValue="UJiC75mcO/J86MBOEAd1msO6HIllx8339IXd8772PllYZWoB82bDKLjyVjqJAUtgaK0TrpTH07eJPI6F6j2KmA==" saltValue="zKPxo5BcAaKx3MCBbPjusw==" spinCount="100000" sheet="1" objects="1" scenarios="1"/>
  <mergeCells count="46">
    <mergeCell ref="N3:O3"/>
    <mergeCell ref="N5:O5"/>
    <mergeCell ref="L8:M8"/>
    <mergeCell ref="I8:J8"/>
    <mergeCell ref="N17:O17"/>
    <mergeCell ref="I14:J14"/>
    <mergeCell ref="P10:Q10"/>
    <mergeCell ref="P12:Q12"/>
    <mergeCell ref="P8:Q8"/>
    <mergeCell ref="I10:J10"/>
    <mergeCell ref="I12:J12"/>
    <mergeCell ref="I32:J32"/>
    <mergeCell ref="Q20:R20"/>
    <mergeCell ref="K42:L42"/>
    <mergeCell ref="Q42:R42"/>
    <mergeCell ref="N39:O39"/>
    <mergeCell ref="K20:L20"/>
    <mergeCell ref="K23:L23"/>
    <mergeCell ref="K25:L25"/>
    <mergeCell ref="K27:L27"/>
    <mergeCell ref="K29:L29"/>
    <mergeCell ref="N35:O35"/>
    <mergeCell ref="N37:O37"/>
    <mergeCell ref="O23:P23"/>
    <mergeCell ref="I50:J50"/>
    <mergeCell ref="I52:J52"/>
    <mergeCell ref="M50:N50"/>
    <mergeCell ref="O45:P45"/>
    <mergeCell ref="S45:T45"/>
    <mergeCell ref="O47:P47"/>
    <mergeCell ref="F66:G67"/>
    <mergeCell ref="F5:G15"/>
    <mergeCell ref="F2:G4"/>
    <mergeCell ref="F1:U1"/>
    <mergeCell ref="F34:G53"/>
    <mergeCell ref="F54:G65"/>
    <mergeCell ref="F16:G33"/>
    <mergeCell ref="N67:O67"/>
    <mergeCell ref="O61:P61"/>
    <mergeCell ref="Q58:R58"/>
    <mergeCell ref="K58:L58"/>
    <mergeCell ref="K61:L61"/>
    <mergeCell ref="I64:J64"/>
    <mergeCell ref="N55:O55"/>
    <mergeCell ref="K45:L45"/>
    <mergeCell ref="K47:L47"/>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7DD52-EF8C-1341-9C9E-E0FE90FB9B6D}">
  <sheetPr codeName="Sheet10">
    <tabColor theme="1"/>
  </sheetPr>
  <dimension ref="B3:Q25"/>
  <sheetViews>
    <sheetView topLeftCell="A12" workbookViewId="0">
      <selection activeCell="C16" sqref="C16"/>
    </sheetView>
  </sheetViews>
  <sheetFormatPr baseColWidth="10" defaultRowHeight="16"/>
  <cols>
    <col min="1" max="2" width="10.83203125" style="106"/>
    <col min="3" max="3" width="32.83203125" style="106" customWidth="1"/>
    <col min="4" max="4" width="16.1640625" style="106" customWidth="1"/>
    <col min="5" max="5" width="20.83203125" style="106" bestFit="1" customWidth="1"/>
    <col min="6" max="6" width="6" style="411" bestFit="1" customWidth="1"/>
    <col min="7" max="8" width="10.83203125" style="106"/>
    <col min="9" max="9" width="14" style="106" customWidth="1"/>
    <col min="10" max="10" width="10.83203125" style="106"/>
    <col min="11" max="11" width="18" style="106" customWidth="1"/>
    <col min="12" max="12" width="19.83203125" style="106" customWidth="1"/>
    <col min="13" max="13" width="21.1640625" style="106" customWidth="1"/>
    <col min="14" max="16384" width="10.83203125" style="106"/>
  </cols>
  <sheetData>
    <row r="3" spans="2:17" ht="19">
      <c r="O3" s="1045"/>
      <c r="P3" s="1046"/>
      <c r="Q3" s="1045"/>
    </row>
    <row r="4" spans="2:17" ht="19">
      <c r="O4" s="1045"/>
      <c r="P4" s="1046"/>
      <c r="Q4" s="1045"/>
    </row>
    <row r="5" spans="2:17" ht="17" thickBot="1"/>
    <row r="6" spans="2:17" ht="18" customHeight="1" thickBot="1">
      <c r="B6" s="1269" t="s">
        <v>185</v>
      </c>
      <c r="C6" s="1269" t="s">
        <v>186</v>
      </c>
      <c r="D6" s="1985" t="s">
        <v>187</v>
      </c>
      <c r="E6" s="1986"/>
      <c r="F6" s="1269" t="s">
        <v>3407</v>
      </c>
      <c r="G6" s="1987" t="s">
        <v>188</v>
      </c>
      <c r="H6" s="1988"/>
      <c r="I6" s="1988"/>
      <c r="J6" s="1989"/>
      <c r="K6" s="1269" t="s">
        <v>189</v>
      </c>
      <c r="L6" s="1268" t="s">
        <v>190</v>
      </c>
      <c r="M6" s="1300" t="s">
        <v>191</v>
      </c>
      <c r="N6" s="1269" t="s">
        <v>192</v>
      </c>
      <c r="O6" s="1311" t="s">
        <v>3628</v>
      </c>
      <c r="P6" s="176"/>
    </row>
    <row r="7" spans="2:17" ht="34">
      <c r="B7" s="1270" t="s">
        <v>193</v>
      </c>
      <c r="C7" s="1279" t="s">
        <v>129</v>
      </c>
      <c r="D7" s="1252" t="s">
        <v>3417</v>
      </c>
      <c r="E7" s="1288" t="s">
        <v>48</v>
      </c>
      <c r="F7" s="1270" t="s">
        <v>136</v>
      </c>
      <c r="G7" s="1252" t="s">
        <v>194</v>
      </c>
      <c r="H7" s="1253" t="s">
        <v>195</v>
      </c>
      <c r="I7" s="1253" t="s">
        <v>196</v>
      </c>
      <c r="J7" s="1288" t="s">
        <v>197</v>
      </c>
      <c r="K7" s="1270" t="s">
        <v>3368</v>
      </c>
      <c r="L7" s="1252" t="s">
        <v>198</v>
      </c>
      <c r="M7" s="1301" t="s">
        <v>199</v>
      </c>
      <c r="N7" s="1319" t="s">
        <v>200</v>
      </c>
      <c r="O7" s="1312" t="s">
        <v>193</v>
      </c>
      <c r="P7" s="997" t="s">
        <v>3602</v>
      </c>
    </row>
    <row r="8" spans="2:17" ht="17" customHeight="1">
      <c r="B8" s="1990" t="s">
        <v>201</v>
      </c>
      <c r="C8" s="1991" t="s">
        <v>115</v>
      </c>
      <c r="D8" s="1992" t="s">
        <v>3418</v>
      </c>
      <c r="E8" s="1993" t="s">
        <v>3410</v>
      </c>
      <c r="F8" s="1997" t="s">
        <v>3408</v>
      </c>
      <c r="G8" s="1992" t="s">
        <v>3364</v>
      </c>
      <c r="H8" s="1994" t="s">
        <v>197</v>
      </c>
      <c r="I8" s="1995"/>
      <c r="J8" s="1996"/>
      <c r="K8" s="1329" t="s">
        <v>202</v>
      </c>
      <c r="L8" s="1975" t="s">
        <v>206</v>
      </c>
      <c r="M8" s="1977" t="s">
        <v>206</v>
      </c>
      <c r="N8" s="1979" t="s">
        <v>200</v>
      </c>
      <c r="O8" s="1980" t="s">
        <v>201</v>
      </c>
      <c r="P8" s="176"/>
    </row>
    <row r="9" spans="2:17" ht="17" customHeight="1">
      <c r="B9" s="1990"/>
      <c r="C9" s="1991"/>
      <c r="D9" s="1992"/>
      <c r="E9" s="1993"/>
      <c r="F9" s="1998"/>
      <c r="G9" s="1992"/>
      <c r="H9" s="1994"/>
      <c r="I9" s="1995"/>
      <c r="J9" s="1996"/>
      <c r="K9" s="1330" t="s">
        <v>203</v>
      </c>
      <c r="L9" s="1976"/>
      <c r="M9" s="1978"/>
      <c r="N9" s="1979"/>
      <c r="O9" s="1980"/>
      <c r="P9" s="176"/>
    </row>
    <row r="10" spans="2:17" ht="17" customHeight="1">
      <c r="B10" s="1990"/>
      <c r="C10" s="1991"/>
      <c r="D10" s="1992"/>
      <c r="E10" s="1993"/>
      <c r="F10" s="1998"/>
      <c r="G10" s="1992"/>
      <c r="H10" s="1994"/>
      <c r="I10" s="1995"/>
      <c r="J10" s="1996"/>
      <c r="K10" s="1330" t="s">
        <v>204</v>
      </c>
      <c r="L10" s="1981" t="s">
        <v>207</v>
      </c>
      <c r="M10" s="1983" t="s">
        <v>208</v>
      </c>
      <c r="N10" s="1979"/>
      <c r="O10" s="1980"/>
      <c r="P10" s="176"/>
    </row>
    <row r="11" spans="2:17" ht="18" customHeight="1">
      <c r="B11" s="1990"/>
      <c r="C11" s="1991"/>
      <c r="D11" s="1992"/>
      <c r="E11" s="1993"/>
      <c r="F11" s="1999"/>
      <c r="G11" s="1992"/>
      <c r="H11" s="1994"/>
      <c r="I11" s="1995"/>
      <c r="J11" s="1996"/>
      <c r="K11" s="1328" t="s">
        <v>205</v>
      </c>
      <c r="L11" s="1982"/>
      <c r="M11" s="1984"/>
      <c r="N11" s="1979"/>
      <c r="O11" s="1980"/>
      <c r="P11" s="176"/>
    </row>
    <row r="12" spans="2:17" ht="34">
      <c r="B12" s="1271" t="s">
        <v>209</v>
      </c>
      <c r="C12" s="1280" t="s">
        <v>210</v>
      </c>
      <c r="D12" s="1254" t="s">
        <v>3419</v>
      </c>
      <c r="E12" s="1289" t="s">
        <v>3411</v>
      </c>
      <c r="F12" s="1271" t="s">
        <v>44</v>
      </c>
      <c r="G12" s="1254" t="s">
        <v>3364</v>
      </c>
      <c r="H12" s="1248"/>
      <c r="I12" s="1248"/>
      <c r="J12" s="1297"/>
      <c r="K12" s="1271" t="s">
        <v>211</v>
      </c>
      <c r="L12" s="1254" t="s">
        <v>212</v>
      </c>
      <c r="M12" s="1302" t="s">
        <v>213</v>
      </c>
      <c r="N12" s="1320" t="s">
        <v>200</v>
      </c>
      <c r="O12" s="1313" t="s">
        <v>209</v>
      </c>
      <c r="P12" s="176"/>
    </row>
    <row r="13" spans="2:17" ht="34">
      <c r="B13" s="1271" t="s">
        <v>214</v>
      </c>
      <c r="C13" s="1280" t="s">
        <v>128</v>
      </c>
      <c r="D13" s="1254" t="s">
        <v>3420</v>
      </c>
      <c r="E13" s="1289" t="s">
        <v>49</v>
      </c>
      <c r="F13" s="1271" t="s">
        <v>44</v>
      </c>
      <c r="G13" s="1254" t="s">
        <v>3364</v>
      </c>
      <c r="H13" s="1248"/>
      <c r="I13" s="1248"/>
      <c r="J13" s="1297"/>
      <c r="K13" s="1271" t="s">
        <v>211</v>
      </c>
      <c r="L13" s="1254" t="s">
        <v>215</v>
      </c>
      <c r="M13" s="1302" t="s">
        <v>216</v>
      </c>
      <c r="N13" s="1320" t="s">
        <v>200</v>
      </c>
      <c r="O13" s="1313" t="s">
        <v>214</v>
      </c>
      <c r="P13" s="176"/>
    </row>
    <row r="14" spans="2:17" ht="34">
      <c r="B14" s="1271" t="s">
        <v>220</v>
      </c>
      <c r="C14" s="1280" t="s">
        <v>221</v>
      </c>
      <c r="D14" s="1254" t="s">
        <v>3417</v>
      </c>
      <c r="E14" s="1289" t="s">
        <v>49</v>
      </c>
      <c r="F14" s="1271" t="s">
        <v>136</v>
      </c>
      <c r="G14" s="1254" t="s">
        <v>197</v>
      </c>
      <c r="H14" s="1248"/>
      <c r="I14" s="1248"/>
      <c r="J14" s="1297"/>
      <c r="K14" s="1271" t="s">
        <v>222</v>
      </c>
      <c r="L14" s="1254" t="s">
        <v>3442</v>
      </c>
      <c r="M14" s="1302" t="s">
        <v>41</v>
      </c>
      <c r="N14" s="1320" t="s">
        <v>200</v>
      </c>
      <c r="O14" s="1313" t="s">
        <v>3603</v>
      </c>
      <c r="P14" s="1041" t="s">
        <v>3604</v>
      </c>
    </row>
    <row r="15" spans="2:17" ht="35" thickBot="1">
      <c r="B15" s="1272" t="s">
        <v>223</v>
      </c>
      <c r="C15" s="1281" t="s">
        <v>224</v>
      </c>
      <c r="D15" s="1255" t="s">
        <v>3417</v>
      </c>
      <c r="E15" s="1290" t="s">
        <v>50</v>
      </c>
      <c r="F15" s="1272" t="s">
        <v>136</v>
      </c>
      <c r="G15" s="1255" t="s">
        <v>225</v>
      </c>
      <c r="H15" s="1256" t="s">
        <v>226</v>
      </c>
      <c r="I15" s="1256" t="s">
        <v>196</v>
      </c>
      <c r="J15" s="1290" t="s">
        <v>197</v>
      </c>
      <c r="K15" s="1272" t="s">
        <v>3363</v>
      </c>
      <c r="L15" s="1255" t="s">
        <v>198</v>
      </c>
      <c r="M15" s="1303" t="s">
        <v>199</v>
      </c>
      <c r="N15" s="1321" t="s">
        <v>200</v>
      </c>
      <c r="O15" s="1314" t="s">
        <v>223</v>
      </c>
      <c r="P15" s="1040" t="s">
        <v>3605</v>
      </c>
    </row>
    <row r="16" spans="2:17" ht="51">
      <c r="B16" s="1273" t="s">
        <v>217</v>
      </c>
      <c r="C16" s="1282" t="s">
        <v>3403</v>
      </c>
      <c r="D16" s="1262" t="s">
        <v>3417</v>
      </c>
      <c r="E16" s="1291" t="s">
        <v>3412</v>
      </c>
      <c r="F16" s="1273" t="s">
        <v>3244</v>
      </c>
      <c r="G16" s="1262" t="s">
        <v>218</v>
      </c>
      <c r="H16" s="1263" t="s">
        <v>197</v>
      </c>
      <c r="I16" s="1264"/>
      <c r="J16" s="1298"/>
      <c r="K16" s="1273" t="s">
        <v>3445</v>
      </c>
      <c r="L16" s="1262" t="s">
        <v>3440</v>
      </c>
      <c r="M16" s="1304" t="s">
        <v>3441</v>
      </c>
      <c r="N16" s="1322" t="s">
        <v>200</v>
      </c>
      <c r="O16" s="1315" t="s">
        <v>217</v>
      </c>
      <c r="P16" s="1040"/>
    </row>
    <row r="17" spans="2:16" ht="34">
      <c r="B17" s="1274" t="s">
        <v>219</v>
      </c>
      <c r="C17" s="1283" t="s">
        <v>3351</v>
      </c>
      <c r="D17" s="1265" t="s">
        <v>3418</v>
      </c>
      <c r="E17" s="1292" t="s">
        <v>3339</v>
      </c>
      <c r="F17" s="1274" t="s">
        <v>3409</v>
      </c>
      <c r="G17" s="1265" t="s">
        <v>197</v>
      </c>
      <c r="H17" s="1250"/>
      <c r="I17" s="1250"/>
      <c r="J17" s="1299"/>
      <c r="K17" s="1274" t="s">
        <v>206</v>
      </c>
      <c r="L17" s="1265" t="s">
        <v>3633</v>
      </c>
      <c r="M17" s="1305" t="s">
        <v>41</v>
      </c>
      <c r="N17" s="1323" t="s">
        <v>200</v>
      </c>
      <c r="O17" s="1313" t="s">
        <v>3609</v>
      </c>
      <c r="P17" s="1041" t="s">
        <v>3604</v>
      </c>
    </row>
    <row r="18" spans="2:16" ht="34">
      <c r="B18" s="1274" t="s">
        <v>3301</v>
      </c>
      <c r="C18" s="1283" t="s">
        <v>3345</v>
      </c>
      <c r="D18" s="1265" t="s">
        <v>3240</v>
      </c>
      <c r="E18" s="1292" t="s">
        <v>3412</v>
      </c>
      <c r="F18" s="1274" t="s">
        <v>3242</v>
      </c>
      <c r="G18" s="1265" t="s">
        <v>218</v>
      </c>
      <c r="H18" s="1249"/>
      <c r="I18" s="1249"/>
      <c r="J18" s="1292"/>
      <c r="K18" s="1274" t="s">
        <v>3356</v>
      </c>
      <c r="L18" s="1265" t="s">
        <v>3438</v>
      </c>
      <c r="M18" s="1306"/>
      <c r="N18" s="1323" t="s">
        <v>200</v>
      </c>
      <c r="O18" s="1316" t="s">
        <v>3301</v>
      </c>
      <c r="P18" s="176"/>
    </row>
    <row r="19" spans="2:16" ht="34">
      <c r="B19" s="1274" t="s">
        <v>3302</v>
      </c>
      <c r="C19" s="1283" t="s">
        <v>3346</v>
      </c>
      <c r="D19" s="1265" t="s">
        <v>3417</v>
      </c>
      <c r="E19" s="1292" t="s">
        <v>3413</v>
      </c>
      <c r="F19" s="1274" t="s">
        <v>3244</v>
      </c>
      <c r="G19" s="1265" t="s">
        <v>3361</v>
      </c>
      <c r="H19" s="1249" t="s">
        <v>197</v>
      </c>
      <c r="I19" s="1249"/>
      <c r="J19" s="1292"/>
      <c r="K19" s="1274" t="s">
        <v>3359</v>
      </c>
      <c r="L19" s="1265" t="s">
        <v>3438</v>
      </c>
      <c r="M19" s="1305"/>
      <c r="N19" s="1323" t="s">
        <v>200</v>
      </c>
      <c r="O19" s="1316" t="s">
        <v>3302</v>
      </c>
      <c r="P19" s="176"/>
    </row>
    <row r="20" spans="2:16" ht="34">
      <c r="B20" s="1274" t="s">
        <v>3303</v>
      </c>
      <c r="C20" s="1283" t="s">
        <v>3761</v>
      </c>
      <c r="D20" s="1265" t="s">
        <v>3240</v>
      </c>
      <c r="E20" s="1292" t="s">
        <v>3413</v>
      </c>
      <c r="F20" s="1274" t="s">
        <v>3242</v>
      </c>
      <c r="G20" s="1265" t="s">
        <v>3362</v>
      </c>
      <c r="H20" s="1249"/>
      <c r="I20" s="1249"/>
      <c r="J20" s="1292"/>
      <c r="K20" s="1274" t="s">
        <v>3360</v>
      </c>
      <c r="L20" s="1265" t="s">
        <v>3438</v>
      </c>
      <c r="M20" s="1305"/>
      <c r="N20" s="1323" t="s">
        <v>200</v>
      </c>
      <c r="O20" s="1317" t="s">
        <v>3303</v>
      </c>
      <c r="P20" s="176"/>
    </row>
    <row r="21" spans="2:16" ht="34">
      <c r="B21" s="1274" t="s">
        <v>3304</v>
      </c>
      <c r="C21" s="1283" t="s">
        <v>3348</v>
      </c>
      <c r="D21" s="1265" t="s">
        <v>3417</v>
      </c>
      <c r="E21" s="1292" t="s">
        <v>3414</v>
      </c>
      <c r="F21" s="1274" t="s">
        <v>3244</v>
      </c>
      <c r="G21" s="1265" t="s">
        <v>197</v>
      </c>
      <c r="H21" s="1249"/>
      <c r="I21" s="1249"/>
      <c r="J21" s="1292"/>
      <c r="K21" s="1274" t="s">
        <v>3357</v>
      </c>
      <c r="L21" s="1265" t="s">
        <v>3438</v>
      </c>
      <c r="M21" s="1305"/>
      <c r="N21" s="1323" t="s">
        <v>200</v>
      </c>
      <c r="O21" s="1316" t="s">
        <v>3304</v>
      </c>
      <c r="P21" s="176"/>
    </row>
    <row r="22" spans="2:16" ht="35" thickBot="1">
      <c r="B22" s="1275" t="s">
        <v>3305</v>
      </c>
      <c r="C22" s="1284" t="s">
        <v>3762</v>
      </c>
      <c r="D22" s="1266" t="s">
        <v>3240</v>
      </c>
      <c r="E22" s="1293" t="s">
        <v>3414</v>
      </c>
      <c r="F22" s="1275" t="s">
        <v>3242</v>
      </c>
      <c r="G22" s="1266" t="s">
        <v>3362</v>
      </c>
      <c r="H22" s="1267"/>
      <c r="I22" s="1267"/>
      <c r="J22" s="1293"/>
      <c r="K22" s="1275" t="s">
        <v>3360</v>
      </c>
      <c r="L22" s="1266" t="s">
        <v>3438</v>
      </c>
      <c r="M22" s="1307"/>
      <c r="N22" s="1324" t="s">
        <v>200</v>
      </c>
      <c r="O22" s="1318" t="s">
        <v>3305</v>
      </c>
      <c r="P22" s="176"/>
    </row>
    <row r="23" spans="2:16" ht="34">
      <c r="B23" s="1276" t="s">
        <v>3306</v>
      </c>
      <c r="C23" s="1285" t="s">
        <v>3350</v>
      </c>
      <c r="D23" s="1257" t="s">
        <v>3421</v>
      </c>
      <c r="E23" s="1294" t="s">
        <v>3415</v>
      </c>
      <c r="F23" s="1276" t="s">
        <v>144</v>
      </c>
      <c r="G23" s="1257" t="s">
        <v>197</v>
      </c>
      <c r="H23" s="1258"/>
      <c r="I23" s="1258"/>
      <c r="J23" s="1294"/>
      <c r="K23" s="1276" t="s">
        <v>265</v>
      </c>
      <c r="L23" s="1257" t="s">
        <v>3438</v>
      </c>
      <c r="M23" s="1308"/>
      <c r="N23" s="1325" t="s">
        <v>200</v>
      </c>
      <c r="O23" s="1315" t="s">
        <v>3306</v>
      </c>
      <c r="P23" s="176"/>
    </row>
    <row r="24" spans="2:16" ht="34">
      <c r="B24" s="1277" t="s">
        <v>3307</v>
      </c>
      <c r="C24" s="1286" t="s">
        <v>3406</v>
      </c>
      <c r="D24" s="1259" t="s">
        <v>3421</v>
      </c>
      <c r="E24" s="1295" t="s">
        <v>3416</v>
      </c>
      <c r="F24" s="1277" t="s">
        <v>144</v>
      </c>
      <c r="G24" s="1259" t="s">
        <v>197</v>
      </c>
      <c r="H24" s="1251"/>
      <c r="I24" s="1251"/>
      <c r="J24" s="1295"/>
      <c r="K24" s="1277" t="s">
        <v>3358</v>
      </c>
      <c r="L24" s="1259" t="s">
        <v>3438</v>
      </c>
      <c r="M24" s="1309"/>
      <c r="N24" s="1326" t="s">
        <v>200</v>
      </c>
      <c r="O24" s="1316" t="s">
        <v>3307</v>
      </c>
      <c r="P24" s="176"/>
    </row>
    <row r="25" spans="2:16" ht="35" thickBot="1">
      <c r="B25" s="1278" t="s">
        <v>3308</v>
      </c>
      <c r="C25" s="1287" t="s">
        <v>3352</v>
      </c>
      <c r="D25" s="1260" t="s">
        <v>3418</v>
      </c>
      <c r="E25" s="1296" t="s">
        <v>3439</v>
      </c>
      <c r="F25" s="1278" t="s">
        <v>3409</v>
      </c>
      <c r="G25" s="1260" t="s">
        <v>197</v>
      </c>
      <c r="H25" s="1261"/>
      <c r="I25" s="1261"/>
      <c r="J25" s="1296"/>
      <c r="K25" s="1278" t="s">
        <v>206</v>
      </c>
      <c r="L25" s="1260" t="s">
        <v>3438</v>
      </c>
      <c r="M25" s="1310"/>
      <c r="N25" s="1327" t="s">
        <v>200</v>
      </c>
      <c r="O25" s="1318" t="s">
        <v>3308</v>
      </c>
      <c r="P25" s="176"/>
    </row>
  </sheetData>
  <sheetProtection algorithmName="SHA-512" hashValue="ZmQSuWBslEVLwrJnBC8FF6anY0C+zyAkGQfQGB5EZLklO9BCbJMaZAnlW41ha9uxZDb+tgUhG9qdJL+L4raRMw==" saltValue="az2C4H84UKG1xzjclszxhw==" spinCount="100000" sheet="1" objects="1" scenarios="1"/>
  <mergeCells count="17">
    <mergeCell ref="D6:E6"/>
    <mergeCell ref="G6:J6"/>
    <mergeCell ref="B8:B11"/>
    <mergeCell ref="C8:C11"/>
    <mergeCell ref="E8:E11"/>
    <mergeCell ref="G8:G11"/>
    <mergeCell ref="H8:H11"/>
    <mergeCell ref="I8:I11"/>
    <mergeCell ref="J8:J11"/>
    <mergeCell ref="D8:D11"/>
    <mergeCell ref="O8:O11"/>
    <mergeCell ref="F8:F11"/>
    <mergeCell ref="N8:N11"/>
    <mergeCell ref="L10:L11"/>
    <mergeCell ref="M10:M11"/>
    <mergeCell ref="M8:M9"/>
    <mergeCell ref="L8:L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42134-511B-CF4B-908F-4861976F343D}">
  <sheetPr codeName="Sheet11">
    <tabColor theme="6"/>
  </sheetPr>
  <dimension ref="B1:F2983"/>
  <sheetViews>
    <sheetView topLeftCell="A2933" workbookViewId="0">
      <selection activeCell="G2961" sqref="G2961"/>
    </sheetView>
  </sheetViews>
  <sheetFormatPr baseColWidth="10" defaultRowHeight="16"/>
  <cols>
    <col min="2" max="2" width="16.33203125" style="177" bestFit="1" customWidth="1"/>
  </cols>
  <sheetData>
    <row r="1" spans="2:6">
      <c r="B1" s="7" t="s">
        <v>3364</v>
      </c>
      <c r="D1">
        <v>0</v>
      </c>
    </row>
    <row r="2" spans="2:6">
      <c r="B2" s="177" t="s">
        <v>266</v>
      </c>
      <c r="D2">
        <v>1</v>
      </c>
    </row>
    <row r="3" spans="2:6">
      <c r="B3" s="177" t="s">
        <v>267</v>
      </c>
      <c r="D3">
        <v>2</v>
      </c>
      <c r="F3">
        <f>24*7</f>
        <v>168</v>
      </c>
    </row>
    <row r="4" spans="2:6">
      <c r="B4" s="177" t="s">
        <v>268</v>
      </c>
      <c r="D4">
        <v>3</v>
      </c>
    </row>
    <row r="5" spans="2:6">
      <c r="B5" s="177" t="s">
        <v>269</v>
      </c>
      <c r="D5">
        <v>4</v>
      </c>
    </row>
    <row r="6" spans="2:6">
      <c r="B6" s="177" t="s">
        <v>270</v>
      </c>
      <c r="D6">
        <v>5</v>
      </c>
    </row>
    <row r="7" spans="2:6">
      <c r="B7" s="177" t="s">
        <v>271</v>
      </c>
      <c r="D7">
        <v>6</v>
      </c>
    </row>
    <row r="8" spans="2:6">
      <c r="B8" s="177" t="s">
        <v>272</v>
      </c>
      <c r="D8">
        <v>7</v>
      </c>
    </row>
    <row r="9" spans="2:6">
      <c r="B9" s="177" t="s">
        <v>273</v>
      </c>
      <c r="D9">
        <v>8</v>
      </c>
    </row>
    <row r="10" spans="2:6">
      <c r="B10" s="177" t="s">
        <v>274</v>
      </c>
      <c r="D10">
        <v>9</v>
      </c>
    </row>
    <row r="11" spans="2:6">
      <c r="B11" s="177" t="s">
        <v>275</v>
      </c>
      <c r="D11">
        <v>10</v>
      </c>
    </row>
    <row r="12" spans="2:6">
      <c r="B12" s="177" t="s">
        <v>276</v>
      </c>
      <c r="D12">
        <v>11</v>
      </c>
    </row>
    <row r="13" spans="2:6">
      <c r="B13" s="177" t="s">
        <v>277</v>
      </c>
      <c r="D13">
        <v>12</v>
      </c>
    </row>
    <row r="14" spans="2:6">
      <c r="B14" s="177" t="s">
        <v>278</v>
      </c>
      <c r="D14">
        <v>13</v>
      </c>
    </row>
    <row r="15" spans="2:6">
      <c r="B15" s="177" t="s">
        <v>279</v>
      </c>
      <c r="D15">
        <v>14</v>
      </c>
    </row>
    <row r="16" spans="2:6">
      <c r="B16" s="177" t="s">
        <v>280</v>
      </c>
      <c r="D16">
        <v>15</v>
      </c>
    </row>
    <row r="17" spans="2:4">
      <c r="B17" s="177" t="s">
        <v>281</v>
      </c>
      <c r="D17">
        <v>16</v>
      </c>
    </row>
    <row r="18" spans="2:4">
      <c r="B18" s="177" t="s">
        <v>282</v>
      </c>
      <c r="D18">
        <v>17</v>
      </c>
    </row>
    <row r="19" spans="2:4">
      <c r="B19" s="177" t="s">
        <v>283</v>
      </c>
      <c r="D19">
        <v>18</v>
      </c>
    </row>
    <row r="20" spans="2:4">
      <c r="B20" s="177" t="s">
        <v>284</v>
      </c>
      <c r="D20">
        <v>19</v>
      </c>
    </row>
    <row r="21" spans="2:4">
      <c r="B21" s="177" t="s">
        <v>285</v>
      </c>
      <c r="D21">
        <v>20</v>
      </c>
    </row>
    <row r="22" spans="2:4">
      <c r="B22" s="177" t="s">
        <v>286</v>
      </c>
      <c r="D22">
        <v>21</v>
      </c>
    </row>
    <row r="23" spans="2:4">
      <c r="B23" s="177" t="s">
        <v>287</v>
      </c>
      <c r="D23">
        <v>22</v>
      </c>
    </row>
    <row r="24" spans="2:4">
      <c r="B24" s="177" t="s">
        <v>288</v>
      </c>
      <c r="D24">
        <v>23</v>
      </c>
    </row>
    <row r="25" spans="2:4">
      <c r="B25" s="177" t="s">
        <v>289</v>
      </c>
      <c r="D25">
        <v>24</v>
      </c>
    </row>
    <row r="26" spans="2:4">
      <c r="B26" s="177" t="s">
        <v>290</v>
      </c>
      <c r="D26">
        <v>25</v>
      </c>
    </row>
    <row r="27" spans="2:4">
      <c r="B27" s="177" t="s">
        <v>291</v>
      </c>
      <c r="D27">
        <v>26</v>
      </c>
    </row>
    <row r="28" spans="2:4">
      <c r="B28" s="177" t="s">
        <v>292</v>
      </c>
      <c r="D28">
        <v>27</v>
      </c>
    </row>
    <row r="29" spans="2:4">
      <c r="B29" s="177" t="s">
        <v>293</v>
      </c>
      <c r="D29">
        <v>28</v>
      </c>
    </row>
    <row r="30" spans="2:4">
      <c r="B30" s="177" t="s">
        <v>294</v>
      </c>
      <c r="D30">
        <v>29</v>
      </c>
    </row>
    <row r="31" spans="2:4">
      <c r="B31" s="177" t="s">
        <v>295</v>
      </c>
      <c r="D31">
        <v>30</v>
      </c>
    </row>
    <row r="32" spans="2:4">
      <c r="B32" s="177" t="s">
        <v>296</v>
      </c>
      <c r="D32">
        <v>31</v>
      </c>
    </row>
    <row r="33" spans="2:4">
      <c r="B33" s="177" t="s">
        <v>297</v>
      </c>
      <c r="D33">
        <v>32</v>
      </c>
    </row>
    <row r="34" spans="2:4">
      <c r="B34" s="177" t="s">
        <v>298</v>
      </c>
      <c r="D34">
        <v>33</v>
      </c>
    </row>
    <row r="35" spans="2:4">
      <c r="B35" s="177" t="s">
        <v>299</v>
      </c>
      <c r="D35">
        <v>34</v>
      </c>
    </row>
    <row r="36" spans="2:4">
      <c r="B36" s="177" t="s">
        <v>300</v>
      </c>
      <c r="D36">
        <v>35</v>
      </c>
    </row>
    <row r="37" spans="2:4">
      <c r="B37" s="177" t="s">
        <v>301</v>
      </c>
      <c r="D37">
        <v>36</v>
      </c>
    </row>
    <row r="38" spans="2:4">
      <c r="B38" s="177" t="s">
        <v>302</v>
      </c>
      <c r="D38">
        <v>37</v>
      </c>
    </row>
    <row r="39" spans="2:4">
      <c r="B39" s="177" t="s">
        <v>303</v>
      </c>
      <c r="D39">
        <v>38</v>
      </c>
    </row>
    <row r="40" spans="2:4">
      <c r="B40" s="177" t="s">
        <v>304</v>
      </c>
      <c r="D40">
        <v>39</v>
      </c>
    </row>
    <row r="41" spans="2:4">
      <c r="B41" s="177" t="s">
        <v>305</v>
      </c>
      <c r="D41">
        <v>40</v>
      </c>
    </row>
    <row r="42" spans="2:4">
      <c r="B42" s="177" t="s">
        <v>306</v>
      </c>
      <c r="D42">
        <v>41</v>
      </c>
    </row>
    <row r="43" spans="2:4">
      <c r="B43" s="177" t="s">
        <v>307</v>
      </c>
      <c r="D43">
        <v>42</v>
      </c>
    </row>
    <row r="44" spans="2:4">
      <c r="B44" s="177" t="s">
        <v>308</v>
      </c>
      <c r="D44">
        <v>43</v>
      </c>
    </row>
    <row r="45" spans="2:4">
      <c r="B45" s="177" t="s">
        <v>309</v>
      </c>
      <c r="D45">
        <v>44</v>
      </c>
    </row>
    <row r="46" spans="2:4">
      <c r="B46" s="177" t="s">
        <v>310</v>
      </c>
      <c r="D46">
        <v>45</v>
      </c>
    </row>
    <row r="47" spans="2:4">
      <c r="B47" s="177" t="s">
        <v>311</v>
      </c>
      <c r="D47">
        <v>46</v>
      </c>
    </row>
    <row r="48" spans="2:4">
      <c r="B48" s="177" t="s">
        <v>312</v>
      </c>
      <c r="D48">
        <v>47</v>
      </c>
    </row>
    <row r="49" spans="2:4">
      <c r="B49" s="177" t="s">
        <v>313</v>
      </c>
      <c r="D49">
        <v>48</v>
      </c>
    </row>
    <row r="50" spans="2:4">
      <c r="B50" s="177" t="s">
        <v>314</v>
      </c>
      <c r="D50">
        <v>49</v>
      </c>
    </row>
    <row r="51" spans="2:4">
      <c r="B51" s="177" t="s">
        <v>315</v>
      </c>
      <c r="D51">
        <v>50</v>
      </c>
    </row>
    <row r="52" spans="2:4">
      <c r="B52" s="177" t="s">
        <v>316</v>
      </c>
      <c r="D52">
        <v>51</v>
      </c>
    </row>
    <row r="53" spans="2:4">
      <c r="B53" s="177" t="s">
        <v>317</v>
      </c>
      <c r="D53">
        <v>52</v>
      </c>
    </row>
    <row r="54" spans="2:4">
      <c r="B54" s="177" t="s">
        <v>318</v>
      </c>
      <c r="D54">
        <v>53</v>
      </c>
    </row>
    <row r="55" spans="2:4">
      <c r="B55" s="177" t="s">
        <v>319</v>
      </c>
      <c r="D55">
        <v>54</v>
      </c>
    </row>
    <row r="56" spans="2:4">
      <c r="B56" s="177" t="s">
        <v>320</v>
      </c>
      <c r="D56">
        <v>55</v>
      </c>
    </row>
    <row r="57" spans="2:4">
      <c r="B57" s="177" t="s">
        <v>321</v>
      </c>
      <c r="D57">
        <v>56</v>
      </c>
    </row>
    <row r="58" spans="2:4">
      <c r="B58" s="177" t="s">
        <v>322</v>
      </c>
      <c r="D58">
        <v>57</v>
      </c>
    </row>
    <row r="59" spans="2:4">
      <c r="B59" s="177" t="s">
        <v>323</v>
      </c>
      <c r="D59">
        <v>58</v>
      </c>
    </row>
    <row r="60" spans="2:4">
      <c r="B60" s="177" t="s">
        <v>324</v>
      </c>
      <c r="D60">
        <v>59</v>
      </c>
    </row>
    <row r="61" spans="2:4">
      <c r="B61" s="177" t="s">
        <v>325</v>
      </c>
      <c r="D61">
        <v>60</v>
      </c>
    </row>
    <row r="62" spans="2:4">
      <c r="B62" s="177" t="s">
        <v>326</v>
      </c>
      <c r="D62">
        <v>61</v>
      </c>
    </row>
    <row r="63" spans="2:4">
      <c r="B63" s="177" t="s">
        <v>327</v>
      </c>
      <c r="D63">
        <v>62</v>
      </c>
    </row>
    <row r="64" spans="2:4">
      <c r="B64" s="177" t="s">
        <v>328</v>
      </c>
      <c r="D64">
        <v>63</v>
      </c>
    </row>
    <row r="65" spans="2:4">
      <c r="B65" s="177" t="s">
        <v>329</v>
      </c>
      <c r="D65">
        <v>64</v>
      </c>
    </row>
    <row r="66" spans="2:4">
      <c r="B66" s="177" t="s">
        <v>330</v>
      </c>
      <c r="D66">
        <v>65</v>
      </c>
    </row>
    <row r="67" spans="2:4">
      <c r="B67" s="177" t="s">
        <v>331</v>
      </c>
      <c r="D67">
        <v>66</v>
      </c>
    </row>
    <row r="68" spans="2:4">
      <c r="B68" s="177" t="s">
        <v>332</v>
      </c>
      <c r="D68">
        <v>67</v>
      </c>
    </row>
    <row r="69" spans="2:4">
      <c r="B69" s="177" t="s">
        <v>333</v>
      </c>
      <c r="D69">
        <v>68</v>
      </c>
    </row>
    <row r="70" spans="2:4">
      <c r="B70" s="177" t="s">
        <v>334</v>
      </c>
      <c r="D70">
        <v>69</v>
      </c>
    </row>
    <row r="71" spans="2:4">
      <c r="B71" s="177" t="s">
        <v>335</v>
      </c>
      <c r="D71">
        <v>70</v>
      </c>
    </row>
    <row r="72" spans="2:4">
      <c r="B72" s="177" t="s">
        <v>336</v>
      </c>
      <c r="D72">
        <v>71</v>
      </c>
    </row>
    <row r="73" spans="2:4">
      <c r="B73" s="177" t="s">
        <v>337</v>
      </c>
      <c r="D73">
        <v>72</v>
      </c>
    </row>
    <row r="74" spans="2:4">
      <c r="B74" s="177" t="s">
        <v>338</v>
      </c>
      <c r="D74">
        <v>73</v>
      </c>
    </row>
    <row r="75" spans="2:4">
      <c r="B75" s="177" t="s">
        <v>339</v>
      </c>
      <c r="D75">
        <v>74</v>
      </c>
    </row>
    <row r="76" spans="2:4">
      <c r="B76" s="177" t="s">
        <v>340</v>
      </c>
      <c r="D76">
        <v>75</v>
      </c>
    </row>
    <row r="77" spans="2:4">
      <c r="B77" s="177" t="s">
        <v>341</v>
      </c>
      <c r="D77">
        <v>76</v>
      </c>
    </row>
    <row r="78" spans="2:4">
      <c r="B78" s="177" t="s">
        <v>342</v>
      </c>
      <c r="D78">
        <v>77</v>
      </c>
    </row>
    <row r="79" spans="2:4">
      <c r="B79" s="177" t="s">
        <v>343</v>
      </c>
      <c r="D79">
        <v>78</v>
      </c>
    </row>
    <row r="80" spans="2:4">
      <c r="B80" s="177" t="s">
        <v>344</v>
      </c>
      <c r="D80">
        <v>79</v>
      </c>
    </row>
    <row r="81" spans="2:4">
      <c r="B81" s="177" t="s">
        <v>345</v>
      </c>
      <c r="D81">
        <v>80</v>
      </c>
    </row>
    <row r="82" spans="2:4">
      <c r="B82" s="177" t="s">
        <v>346</v>
      </c>
      <c r="D82">
        <v>81</v>
      </c>
    </row>
    <row r="83" spans="2:4">
      <c r="B83" s="177" t="s">
        <v>347</v>
      </c>
      <c r="D83">
        <v>82</v>
      </c>
    </row>
    <row r="84" spans="2:4">
      <c r="B84" s="177" t="s">
        <v>348</v>
      </c>
      <c r="D84">
        <v>83</v>
      </c>
    </row>
    <row r="85" spans="2:4">
      <c r="B85" s="177" t="s">
        <v>349</v>
      </c>
      <c r="D85">
        <v>84</v>
      </c>
    </row>
    <row r="86" spans="2:4">
      <c r="B86" s="177" t="s">
        <v>350</v>
      </c>
      <c r="D86">
        <v>85</v>
      </c>
    </row>
    <row r="87" spans="2:4">
      <c r="B87" s="177" t="s">
        <v>351</v>
      </c>
      <c r="D87">
        <v>86</v>
      </c>
    </row>
    <row r="88" spans="2:4">
      <c r="B88" s="177" t="s">
        <v>352</v>
      </c>
      <c r="D88">
        <v>87</v>
      </c>
    </row>
    <row r="89" spans="2:4">
      <c r="B89" s="177" t="s">
        <v>353</v>
      </c>
      <c r="D89">
        <v>88</v>
      </c>
    </row>
    <row r="90" spans="2:4">
      <c r="B90" s="177" t="s">
        <v>354</v>
      </c>
      <c r="D90">
        <v>89</v>
      </c>
    </row>
    <row r="91" spans="2:4">
      <c r="B91" s="177" t="s">
        <v>355</v>
      </c>
      <c r="D91">
        <v>90</v>
      </c>
    </row>
    <row r="92" spans="2:4">
      <c r="B92" s="177" t="s">
        <v>356</v>
      </c>
      <c r="D92">
        <v>91</v>
      </c>
    </row>
    <row r="93" spans="2:4">
      <c r="B93" s="177" t="s">
        <v>357</v>
      </c>
      <c r="D93">
        <v>92</v>
      </c>
    </row>
    <row r="94" spans="2:4">
      <c r="B94" s="177" t="s">
        <v>358</v>
      </c>
      <c r="D94">
        <v>93</v>
      </c>
    </row>
    <row r="95" spans="2:4">
      <c r="B95" s="177" t="s">
        <v>359</v>
      </c>
      <c r="D95">
        <v>94</v>
      </c>
    </row>
    <row r="96" spans="2:4">
      <c r="B96" s="177" t="s">
        <v>360</v>
      </c>
      <c r="D96">
        <v>95</v>
      </c>
    </row>
    <row r="97" spans="2:4">
      <c r="B97" s="177" t="s">
        <v>361</v>
      </c>
      <c r="D97">
        <v>96</v>
      </c>
    </row>
    <row r="98" spans="2:4">
      <c r="B98" s="177" t="s">
        <v>362</v>
      </c>
      <c r="D98">
        <v>97</v>
      </c>
    </row>
    <row r="99" spans="2:4">
      <c r="B99" s="177" t="s">
        <v>363</v>
      </c>
      <c r="D99">
        <v>98</v>
      </c>
    </row>
    <row r="100" spans="2:4">
      <c r="B100" s="177" t="s">
        <v>364</v>
      </c>
      <c r="D100">
        <v>99</v>
      </c>
    </row>
    <row r="101" spans="2:4">
      <c r="B101" s="177" t="s">
        <v>365</v>
      </c>
      <c r="D101">
        <v>100</v>
      </c>
    </row>
    <row r="102" spans="2:4">
      <c r="B102" s="177" t="s">
        <v>366</v>
      </c>
      <c r="D102">
        <v>101</v>
      </c>
    </row>
    <row r="103" spans="2:4">
      <c r="B103" s="177" t="s">
        <v>367</v>
      </c>
      <c r="D103">
        <v>102</v>
      </c>
    </row>
    <row r="104" spans="2:4">
      <c r="B104" s="177" t="s">
        <v>368</v>
      </c>
      <c r="D104">
        <v>103</v>
      </c>
    </row>
    <row r="105" spans="2:4">
      <c r="B105" s="177" t="s">
        <v>369</v>
      </c>
      <c r="D105">
        <v>104</v>
      </c>
    </row>
    <row r="106" spans="2:4">
      <c r="B106" s="177" t="s">
        <v>370</v>
      </c>
      <c r="D106">
        <v>105</v>
      </c>
    </row>
    <row r="107" spans="2:4">
      <c r="B107" s="177" t="s">
        <v>371</v>
      </c>
      <c r="D107">
        <v>106</v>
      </c>
    </row>
    <row r="108" spans="2:4">
      <c r="B108" s="177" t="s">
        <v>372</v>
      </c>
      <c r="D108">
        <v>107</v>
      </c>
    </row>
    <row r="109" spans="2:4">
      <c r="B109" s="177" t="s">
        <v>373</v>
      </c>
      <c r="D109">
        <v>108</v>
      </c>
    </row>
    <row r="110" spans="2:4">
      <c r="B110" s="177" t="s">
        <v>374</v>
      </c>
      <c r="D110">
        <v>109</v>
      </c>
    </row>
    <row r="111" spans="2:4">
      <c r="B111" s="177" t="s">
        <v>375</v>
      </c>
      <c r="D111">
        <v>110</v>
      </c>
    </row>
    <row r="112" spans="2:4">
      <c r="B112" s="177" t="s">
        <v>376</v>
      </c>
      <c r="D112">
        <v>111</v>
      </c>
    </row>
    <row r="113" spans="2:4">
      <c r="B113" s="177" t="s">
        <v>377</v>
      </c>
      <c r="D113">
        <v>112</v>
      </c>
    </row>
    <row r="114" spans="2:4">
      <c r="B114" s="177" t="s">
        <v>378</v>
      </c>
      <c r="D114">
        <v>113</v>
      </c>
    </row>
    <row r="115" spans="2:4">
      <c r="B115" s="177" t="s">
        <v>379</v>
      </c>
      <c r="D115">
        <v>114</v>
      </c>
    </row>
    <row r="116" spans="2:4">
      <c r="B116" s="177" t="s">
        <v>380</v>
      </c>
      <c r="D116">
        <v>115</v>
      </c>
    </row>
    <row r="117" spans="2:4">
      <c r="B117" s="177" t="s">
        <v>381</v>
      </c>
      <c r="D117">
        <v>116</v>
      </c>
    </row>
    <row r="118" spans="2:4">
      <c r="B118" s="177" t="s">
        <v>382</v>
      </c>
      <c r="D118">
        <v>117</v>
      </c>
    </row>
    <row r="119" spans="2:4">
      <c r="B119" s="177" t="s">
        <v>383</v>
      </c>
      <c r="D119">
        <v>118</v>
      </c>
    </row>
    <row r="120" spans="2:4">
      <c r="B120" s="177" t="s">
        <v>384</v>
      </c>
      <c r="D120">
        <v>119</v>
      </c>
    </row>
    <row r="121" spans="2:4">
      <c r="B121" s="177" t="s">
        <v>385</v>
      </c>
      <c r="D121">
        <v>120</v>
      </c>
    </row>
    <row r="122" spans="2:4">
      <c r="B122" s="177" t="s">
        <v>386</v>
      </c>
      <c r="D122">
        <v>121</v>
      </c>
    </row>
    <row r="123" spans="2:4">
      <c r="B123" s="177" t="s">
        <v>387</v>
      </c>
      <c r="D123">
        <v>122</v>
      </c>
    </row>
    <row r="124" spans="2:4">
      <c r="B124" s="177" t="s">
        <v>388</v>
      </c>
      <c r="D124">
        <v>123</v>
      </c>
    </row>
    <row r="125" spans="2:4">
      <c r="B125" s="177" t="s">
        <v>389</v>
      </c>
      <c r="D125">
        <v>124</v>
      </c>
    </row>
    <row r="126" spans="2:4">
      <c r="B126" s="177" t="s">
        <v>390</v>
      </c>
      <c r="D126">
        <v>125</v>
      </c>
    </row>
    <row r="127" spans="2:4">
      <c r="B127" s="177" t="s">
        <v>391</v>
      </c>
      <c r="D127">
        <v>126</v>
      </c>
    </row>
    <row r="128" spans="2:4">
      <c r="B128" s="177" t="s">
        <v>392</v>
      </c>
      <c r="D128">
        <v>127</v>
      </c>
    </row>
    <row r="129" spans="2:4">
      <c r="B129" s="177" t="s">
        <v>393</v>
      </c>
      <c r="D129">
        <v>128</v>
      </c>
    </row>
    <row r="130" spans="2:4">
      <c r="B130" s="177" t="s">
        <v>394</v>
      </c>
      <c r="D130">
        <v>129</v>
      </c>
    </row>
    <row r="131" spans="2:4">
      <c r="B131" s="177" t="s">
        <v>395</v>
      </c>
      <c r="D131">
        <v>130</v>
      </c>
    </row>
    <row r="132" spans="2:4">
      <c r="B132" s="177" t="s">
        <v>396</v>
      </c>
      <c r="D132">
        <v>131</v>
      </c>
    </row>
    <row r="133" spans="2:4">
      <c r="B133" s="177" t="s">
        <v>397</v>
      </c>
      <c r="D133">
        <v>132</v>
      </c>
    </row>
    <row r="134" spans="2:4">
      <c r="B134" s="177" t="s">
        <v>398</v>
      </c>
      <c r="D134">
        <v>133</v>
      </c>
    </row>
    <row r="135" spans="2:4">
      <c r="B135" s="177" t="s">
        <v>399</v>
      </c>
      <c r="D135">
        <v>134</v>
      </c>
    </row>
    <row r="136" spans="2:4">
      <c r="B136" s="177" t="s">
        <v>400</v>
      </c>
      <c r="D136">
        <v>135</v>
      </c>
    </row>
    <row r="137" spans="2:4">
      <c r="B137" s="177" t="s">
        <v>401</v>
      </c>
      <c r="D137">
        <v>136</v>
      </c>
    </row>
    <row r="138" spans="2:4">
      <c r="B138" s="177" t="s">
        <v>402</v>
      </c>
      <c r="D138">
        <v>137</v>
      </c>
    </row>
    <row r="139" spans="2:4">
      <c r="B139" s="177" t="s">
        <v>403</v>
      </c>
      <c r="D139">
        <v>138</v>
      </c>
    </row>
    <row r="140" spans="2:4">
      <c r="B140" s="177" t="s">
        <v>404</v>
      </c>
      <c r="D140">
        <v>139</v>
      </c>
    </row>
    <row r="141" spans="2:4">
      <c r="B141" s="177" t="s">
        <v>405</v>
      </c>
      <c r="D141">
        <v>140</v>
      </c>
    </row>
    <row r="142" spans="2:4">
      <c r="B142" s="177" t="s">
        <v>406</v>
      </c>
      <c r="D142">
        <v>141</v>
      </c>
    </row>
    <row r="143" spans="2:4">
      <c r="B143" s="177" t="s">
        <v>407</v>
      </c>
      <c r="D143">
        <v>142</v>
      </c>
    </row>
    <row r="144" spans="2:4">
      <c r="B144" s="177" t="s">
        <v>408</v>
      </c>
      <c r="D144">
        <v>143</v>
      </c>
    </row>
    <row r="145" spans="2:4">
      <c r="B145" s="177" t="s">
        <v>409</v>
      </c>
      <c r="D145">
        <v>144</v>
      </c>
    </row>
    <row r="146" spans="2:4">
      <c r="B146" s="177" t="s">
        <v>410</v>
      </c>
      <c r="D146">
        <v>145</v>
      </c>
    </row>
    <row r="147" spans="2:4">
      <c r="B147" s="177" t="s">
        <v>411</v>
      </c>
      <c r="D147">
        <v>146</v>
      </c>
    </row>
    <row r="148" spans="2:4">
      <c r="B148" s="177" t="s">
        <v>412</v>
      </c>
      <c r="D148">
        <v>147</v>
      </c>
    </row>
    <row r="149" spans="2:4">
      <c r="B149" s="177" t="s">
        <v>413</v>
      </c>
      <c r="D149">
        <v>148</v>
      </c>
    </row>
    <row r="150" spans="2:4">
      <c r="B150" s="177" t="s">
        <v>414</v>
      </c>
      <c r="D150">
        <v>149</v>
      </c>
    </row>
    <row r="151" spans="2:4">
      <c r="B151" s="177" t="s">
        <v>415</v>
      </c>
      <c r="D151">
        <v>150</v>
      </c>
    </row>
    <row r="152" spans="2:4">
      <c r="B152" s="177" t="s">
        <v>416</v>
      </c>
      <c r="D152">
        <v>151</v>
      </c>
    </row>
    <row r="153" spans="2:4">
      <c r="B153" s="177" t="s">
        <v>417</v>
      </c>
      <c r="D153">
        <v>152</v>
      </c>
    </row>
    <row r="154" spans="2:4">
      <c r="B154" s="177" t="s">
        <v>418</v>
      </c>
      <c r="D154">
        <v>153</v>
      </c>
    </row>
    <row r="155" spans="2:4">
      <c r="B155" s="177" t="s">
        <v>419</v>
      </c>
      <c r="D155">
        <v>154</v>
      </c>
    </row>
    <row r="156" spans="2:4">
      <c r="B156" s="177" t="s">
        <v>420</v>
      </c>
      <c r="D156">
        <v>155</v>
      </c>
    </row>
    <row r="157" spans="2:4">
      <c r="B157" s="177" t="s">
        <v>421</v>
      </c>
      <c r="D157">
        <v>156</v>
      </c>
    </row>
    <row r="158" spans="2:4">
      <c r="B158" s="177" t="s">
        <v>422</v>
      </c>
      <c r="D158">
        <v>157</v>
      </c>
    </row>
    <row r="159" spans="2:4">
      <c r="B159" s="177" t="s">
        <v>423</v>
      </c>
      <c r="D159">
        <v>158</v>
      </c>
    </row>
    <row r="160" spans="2:4">
      <c r="B160" s="177" t="s">
        <v>424</v>
      </c>
      <c r="D160">
        <v>159</v>
      </c>
    </row>
    <row r="161" spans="2:4">
      <c r="B161" s="177" t="s">
        <v>425</v>
      </c>
      <c r="D161">
        <v>160</v>
      </c>
    </row>
    <row r="162" spans="2:4">
      <c r="B162" s="177" t="s">
        <v>426</v>
      </c>
      <c r="D162">
        <v>161</v>
      </c>
    </row>
    <row r="163" spans="2:4">
      <c r="B163" s="177" t="s">
        <v>427</v>
      </c>
      <c r="D163">
        <v>162</v>
      </c>
    </row>
    <row r="164" spans="2:4">
      <c r="B164" s="177" t="s">
        <v>428</v>
      </c>
      <c r="D164">
        <v>163</v>
      </c>
    </row>
    <row r="165" spans="2:4">
      <c r="B165" s="177" t="s">
        <v>429</v>
      </c>
      <c r="D165">
        <v>164</v>
      </c>
    </row>
    <row r="166" spans="2:4">
      <c r="B166" s="177" t="s">
        <v>430</v>
      </c>
      <c r="D166">
        <v>165</v>
      </c>
    </row>
    <row r="167" spans="2:4">
      <c r="B167" s="177" t="s">
        <v>431</v>
      </c>
      <c r="D167">
        <v>166</v>
      </c>
    </row>
    <row r="168" spans="2:4">
      <c r="B168" s="177" t="s">
        <v>432</v>
      </c>
      <c r="D168">
        <v>167</v>
      </c>
    </row>
    <row r="169" spans="2:4">
      <c r="B169" s="177" t="s">
        <v>433</v>
      </c>
      <c r="D169">
        <v>168</v>
      </c>
    </row>
    <row r="170" spans="2:4">
      <c r="B170" s="177" t="s">
        <v>434</v>
      </c>
      <c r="D170">
        <v>169</v>
      </c>
    </row>
    <row r="171" spans="2:4">
      <c r="B171" s="177" t="s">
        <v>435</v>
      </c>
      <c r="D171">
        <v>170</v>
      </c>
    </row>
    <row r="172" spans="2:4">
      <c r="B172" s="177" t="s">
        <v>436</v>
      </c>
      <c r="D172">
        <v>171</v>
      </c>
    </row>
    <row r="173" spans="2:4">
      <c r="B173" s="177" t="s">
        <v>437</v>
      </c>
      <c r="D173">
        <v>172</v>
      </c>
    </row>
    <row r="174" spans="2:4">
      <c r="B174" s="177" t="s">
        <v>438</v>
      </c>
      <c r="D174">
        <v>173</v>
      </c>
    </row>
    <row r="175" spans="2:4">
      <c r="B175" s="177" t="s">
        <v>439</v>
      </c>
      <c r="D175">
        <v>174</v>
      </c>
    </row>
    <row r="176" spans="2:4">
      <c r="B176" s="177" t="s">
        <v>440</v>
      </c>
      <c r="D176">
        <v>175</v>
      </c>
    </row>
    <row r="177" spans="2:4">
      <c r="B177" s="177" t="s">
        <v>441</v>
      </c>
      <c r="D177">
        <v>176</v>
      </c>
    </row>
    <row r="178" spans="2:4">
      <c r="B178" s="177" t="s">
        <v>442</v>
      </c>
      <c r="D178">
        <v>177</v>
      </c>
    </row>
    <row r="179" spans="2:4">
      <c r="B179" s="177" t="s">
        <v>443</v>
      </c>
      <c r="D179">
        <v>178</v>
      </c>
    </row>
    <row r="180" spans="2:4">
      <c r="B180" s="177" t="s">
        <v>444</v>
      </c>
      <c r="D180">
        <v>179</v>
      </c>
    </row>
    <row r="181" spans="2:4">
      <c r="B181" s="177" t="s">
        <v>445</v>
      </c>
      <c r="D181">
        <v>180</v>
      </c>
    </row>
    <row r="182" spans="2:4">
      <c r="B182" s="177" t="s">
        <v>446</v>
      </c>
      <c r="D182">
        <v>181</v>
      </c>
    </row>
    <row r="183" spans="2:4">
      <c r="B183" s="177" t="s">
        <v>447</v>
      </c>
      <c r="D183">
        <v>182</v>
      </c>
    </row>
    <row r="184" spans="2:4">
      <c r="B184" s="177" t="s">
        <v>448</v>
      </c>
      <c r="D184">
        <v>183</v>
      </c>
    </row>
    <row r="185" spans="2:4">
      <c r="B185" s="177" t="s">
        <v>449</v>
      </c>
      <c r="D185">
        <v>184</v>
      </c>
    </row>
    <row r="186" spans="2:4">
      <c r="B186" s="177" t="s">
        <v>450</v>
      </c>
      <c r="D186">
        <v>185</v>
      </c>
    </row>
    <row r="187" spans="2:4">
      <c r="B187" s="177" t="s">
        <v>451</v>
      </c>
      <c r="D187">
        <v>186</v>
      </c>
    </row>
    <row r="188" spans="2:4">
      <c r="B188" s="177" t="s">
        <v>452</v>
      </c>
      <c r="D188">
        <v>187</v>
      </c>
    </row>
    <row r="189" spans="2:4">
      <c r="B189" s="177" t="s">
        <v>453</v>
      </c>
      <c r="D189">
        <v>188</v>
      </c>
    </row>
    <row r="190" spans="2:4">
      <c r="B190" s="177" t="s">
        <v>454</v>
      </c>
      <c r="D190">
        <v>189</v>
      </c>
    </row>
    <row r="191" spans="2:4">
      <c r="B191" s="177" t="s">
        <v>455</v>
      </c>
      <c r="D191">
        <v>190</v>
      </c>
    </row>
    <row r="192" spans="2:4">
      <c r="B192" s="177" t="s">
        <v>456</v>
      </c>
      <c r="D192">
        <v>191</v>
      </c>
    </row>
    <row r="193" spans="2:4">
      <c r="B193" s="177" t="s">
        <v>457</v>
      </c>
      <c r="D193">
        <v>192</v>
      </c>
    </row>
    <row r="194" spans="2:4">
      <c r="B194" s="177" t="s">
        <v>458</v>
      </c>
      <c r="D194">
        <v>193</v>
      </c>
    </row>
    <row r="195" spans="2:4">
      <c r="B195" s="177" t="s">
        <v>459</v>
      </c>
      <c r="D195">
        <v>194</v>
      </c>
    </row>
    <row r="196" spans="2:4">
      <c r="B196" s="177" t="s">
        <v>460</v>
      </c>
      <c r="D196">
        <v>195</v>
      </c>
    </row>
    <row r="197" spans="2:4">
      <c r="B197" s="177" t="s">
        <v>461</v>
      </c>
      <c r="D197">
        <v>196</v>
      </c>
    </row>
    <row r="198" spans="2:4">
      <c r="B198" s="177" t="s">
        <v>462</v>
      </c>
      <c r="D198">
        <v>197</v>
      </c>
    </row>
    <row r="199" spans="2:4">
      <c r="B199" s="177" t="s">
        <v>463</v>
      </c>
      <c r="D199">
        <v>198</v>
      </c>
    </row>
    <row r="200" spans="2:4">
      <c r="B200" s="177" t="s">
        <v>464</v>
      </c>
      <c r="D200">
        <v>199</v>
      </c>
    </row>
    <row r="201" spans="2:4">
      <c r="B201" s="177" t="s">
        <v>465</v>
      </c>
      <c r="D201">
        <v>200</v>
      </c>
    </row>
    <row r="202" spans="2:4">
      <c r="B202" s="177" t="s">
        <v>466</v>
      </c>
    </row>
    <row r="203" spans="2:4">
      <c r="B203" s="177" t="s">
        <v>467</v>
      </c>
    </row>
    <row r="204" spans="2:4">
      <c r="B204" s="177" t="s">
        <v>468</v>
      </c>
    </row>
    <row r="205" spans="2:4">
      <c r="B205" s="177" t="s">
        <v>469</v>
      </c>
    </row>
    <row r="206" spans="2:4">
      <c r="B206" s="177" t="s">
        <v>470</v>
      </c>
    </row>
    <row r="207" spans="2:4">
      <c r="B207" s="177" t="s">
        <v>471</v>
      </c>
    </row>
    <row r="208" spans="2:4">
      <c r="B208" s="177" t="s">
        <v>472</v>
      </c>
    </row>
    <row r="209" spans="2:2">
      <c r="B209" s="177" t="s">
        <v>473</v>
      </c>
    </row>
    <row r="210" spans="2:2">
      <c r="B210" s="177" t="s">
        <v>474</v>
      </c>
    </row>
    <row r="211" spans="2:2">
      <c r="B211" s="177" t="s">
        <v>475</v>
      </c>
    </row>
    <row r="212" spans="2:2">
      <c r="B212" s="177" t="s">
        <v>476</v>
      </c>
    </row>
    <row r="213" spans="2:2">
      <c r="B213" s="177" t="s">
        <v>477</v>
      </c>
    </row>
    <row r="214" spans="2:2">
      <c r="B214" s="177" t="s">
        <v>478</v>
      </c>
    </row>
    <row r="215" spans="2:2">
      <c r="B215" s="177" t="s">
        <v>479</v>
      </c>
    </row>
    <row r="216" spans="2:2">
      <c r="B216" s="177" t="s">
        <v>480</v>
      </c>
    </row>
    <row r="217" spans="2:2">
      <c r="B217" s="177" t="s">
        <v>481</v>
      </c>
    </row>
    <row r="218" spans="2:2">
      <c r="B218" s="177" t="s">
        <v>482</v>
      </c>
    </row>
    <row r="219" spans="2:2">
      <c r="B219" s="177" t="s">
        <v>483</v>
      </c>
    </row>
    <row r="220" spans="2:2">
      <c r="B220" s="177" t="s">
        <v>484</v>
      </c>
    </row>
    <row r="221" spans="2:2">
      <c r="B221" s="177" t="s">
        <v>485</v>
      </c>
    </row>
    <row r="222" spans="2:2">
      <c r="B222" s="177" t="s">
        <v>486</v>
      </c>
    </row>
    <row r="223" spans="2:2">
      <c r="B223" s="177" t="s">
        <v>487</v>
      </c>
    </row>
    <row r="224" spans="2:2">
      <c r="B224" s="177" t="s">
        <v>488</v>
      </c>
    </row>
    <row r="225" spans="2:2">
      <c r="B225" s="177" t="s">
        <v>489</v>
      </c>
    </row>
    <row r="226" spans="2:2">
      <c r="B226" s="177" t="s">
        <v>490</v>
      </c>
    </row>
    <row r="227" spans="2:2">
      <c r="B227" s="177" t="s">
        <v>491</v>
      </c>
    </row>
    <row r="228" spans="2:2">
      <c r="B228" s="177" t="s">
        <v>492</v>
      </c>
    </row>
    <row r="229" spans="2:2">
      <c r="B229" s="177" t="s">
        <v>493</v>
      </c>
    </row>
    <row r="230" spans="2:2">
      <c r="B230" s="177" t="s">
        <v>494</v>
      </c>
    </row>
    <row r="231" spans="2:2">
      <c r="B231" s="177" t="s">
        <v>495</v>
      </c>
    </row>
    <row r="232" spans="2:2">
      <c r="B232" s="177" t="s">
        <v>496</v>
      </c>
    </row>
    <row r="233" spans="2:2">
      <c r="B233" s="177" t="s">
        <v>497</v>
      </c>
    </row>
    <row r="234" spans="2:2">
      <c r="B234" s="177" t="s">
        <v>498</v>
      </c>
    </row>
    <row r="235" spans="2:2">
      <c r="B235" s="177" t="s">
        <v>499</v>
      </c>
    </row>
    <row r="236" spans="2:2">
      <c r="B236" s="177" t="s">
        <v>500</v>
      </c>
    </row>
    <row r="237" spans="2:2">
      <c r="B237" s="177" t="s">
        <v>501</v>
      </c>
    </row>
    <row r="238" spans="2:2">
      <c r="B238" s="177" t="s">
        <v>502</v>
      </c>
    </row>
    <row r="239" spans="2:2">
      <c r="B239" s="177" t="s">
        <v>503</v>
      </c>
    </row>
    <row r="240" spans="2:2">
      <c r="B240" s="177" t="s">
        <v>504</v>
      </c>
    </row>
    <row r="241" spans="2:2">
      <c r="B241" s="177" t="s">
        <v>505</v>
      </c>
    </row>
    <row r="242" spans="2:2">
      <c r="B242" s="177" t="s">
        <v>506</v>
      </c>
    </row>
    <row r="243" spans="2:2">
      <c r="B243" s="177" t="s">
        <v>507</v>
      </c>
    </row>
    <row r="244" spans="2:2">
      <c r="B244" s="177" t="s">
        <v>508</v>
      </c>
    </row>
    <row r="245" spans="2:2">
      <c r="B245" s="177" t="s">
        <v>509</v>
      </c>
    </row>
    <row r="246" spans="2:2">
      <c r="B246" s="177" t="s">
        <v>510</v>
      </c>
    </row>
    <row r="247" spans="2:2">
      <c r="B247" s="177" t="s">
        <v>511</v>
      </c>
    </row>
    <row r="248" spans="2:2">
      <c r="B248" s="177" t="s">
        <v>512</v>
      </c>
    </row>
    <row r="249" spans="2:2">
      <c r="B249" s="177" t="s">
        <v>513</v>
      </c>
    </row>
    <row r="250" spans="2:2">
      <c r="B250" s="177" t="s">
        <v>514</v>
      </c>
    </row>
    <row r="251" spans="2:2">
      <c r="B251" s="177" t="s">
        <v>515</v>
      </c>
    </row>
    <row r="252" spans="2:2">
      <c r="B252" s="177" t="s">
        <v>516</v>
      </c>
    </row>
    <row r="253" spans="2:2">
      <c r="B253" s="177" t="s">
        <v>517</v>
      </c>
    </row>
    <row r="254" spans="2:2">
      <c r="B254" s="177" t="s">
        <v>518</v>
      </c>
    </row>
    <row r="255" spans="2:2">
      <c r="B255" s="177" t="s">
        <v>519</v>
      </c>
    </row>
    <row r="256" spans="2:2">
      <c r="B256" s="177" t="s">
        <v>520</v>
      </c>
    </row>
    <row r="257" spans="2:2">
      <c r="B257" s="177" t="s">
        <v>521</v>
      </c>
    </row>
    <row r="258" spans="2:2">
      <c r="B258" s="177" t="s">
        <v>522</v>
      </c>
    </row>
    <row r="259" spans="2:2">
      <c r="B259" s="177" t="s">
        <v>523</v>
      </c>
    </row>
    <row r="260" spans="2:2">
      <c r="B260" s="177" t="s">
        <v>524</v>
      </c>
    </row>
    <row r="261" spans="2:2">
      <c r="B261" s="177" t="s">
        <v>525</v>
      </c>
    </row>
    <row r="262" spans="2:2">
      <c r="B262" s="177" t="s">
        <v>526</v>
      </c>
    </row>
    <row r="263" spans="2:2">
      <c r="B263" s="177" t="s">
        <v>527</v>
      </c>
    </row>
    <row r="264" spans="2:2">
      <c r="B264" s="177" t="s">
        <v>528</v>
      </c>
    </row>
    <row r="265" spans="2:2">
      <c r="B265" s="177" t="s">
        <v>529</v>
      </c>
    </row>
    <row r="266" spans="2:2">
      <c r="B266" s="177" t="s">
        <v>530</v>
      </c>
    </row>
    <row r="267" spans="2:2">
      <c r="B267" s="177" t="s">
        <v>531</v>
      </c>
    </row>
    <row r="268" spans="2:2">
      <c r="B268" s="177" t="s">
        <v>532</v>
      </c>
    </row>
    <row r="269" spans="2:2">
      <c r="B269" s="177" t="s">
        <v>533</v>
      </c>
    </row>
    <row r="270" spans="2:2">
      <c r="B270" s="177" t="s">
        <v>534</v>
      </c>
    </row>
    <row r="271" spans="2:2">
      <c r="B271" s="177" t="s">
        <v>535</v>
      </c>
    </row>
    <row r="272" spans="2:2">
      <c r="B272" s="177" t="s">
        <v>536</v>
      </c>
    </row>
    <row r="273" spans="2:2">
      <c r="B273" s="177" t="s">
        <v>537</v>
      </c>
    </row>
    <row r="274" spans="2:2">
      <c r="B274" s="177" t="s">
        <v>538</v>
      </c>
    </row>
    <row r="275" spans="2:2">
      <c r="B275" s="177" t="s">
        <v>539</v>
      </c>
    </row>
    <row r="276" spans="2:2">
      <c r="B276" s="177" t="s">
        <v>540</v>
      </c>
    </row>
    <row r="277" spans="2:2">
      <c r="B277" s="177" t="s">
        <v>541</v>
      </c>
    </row>
    <row r="278" spans="2:2">
      <c r="B278" s="177" t="s">
        <v>542</v>
      </c>
    </row>
    <row r="279" spans="2:2">
      <c r="B279" s="177" t="s">
        <v>543</v>
      </c>
    </row>
    <row r="280" spans="2:2">
      <c r="B280" s="177" t="s">
        <v>544</v>
      </c>
    </row>
    <row r="281" spans="2:2">
      <c r="B281" s="177" t="s">
        <v>545</v>
      </c>
    </row>
    <row r="282" spans="2:2">
      <c r="B282" s="177" t="s">
        <v>546</v>
      </c>
    </row>
    <row r="283" spans="2:2">
      <c r="B283" s="177" t="s">
        <v>547</v>
      </c>
    </row>
    <row r="284" spans="2:2">
      <c r="B284" s="177" t="s">
        <v>548</v>
      </c>
    </row>
    <row r="285" spans="2:2">
      <c r="B285" s="177" t="s">
        <v>549</v>
      </c>
    </row>
    <row r="286" spans="2:2">
      <c r="B286" s="177" t="s">
        <v>550</v>
      </c>
    </row>
    <row r="287" spans="2:2">
      <c r="B287" s="177" t="s">
        <v>551</v>
      </c>
    </row>
    <row r="288" spans="2:2">
      <c r="B288" s="177" t="s">
        <v>552</v>
      </c>
    </row>
    <row r="289" spans="2:2">
      <c r="B289" s="177" t="s">
        <v>553</v>
      </c>
    </row>
    <row r="290" spans="2:2">
      <c r="B290" s="177" t="s">
        <v>554</v>
      </c>
    </row>
    <row r="291" spans="2:2">
      <c r="B291" s="177" t="s">
        <v>555</v>
      </c>
    </row>
    <row r="292" spans="2:2">
      <c r="B292" s="177" t="s">
        <v>556</v>
      </c>
    </row>
    <row r="293" spans="2:2">
      <c r="B293" s="177" t="s">
        <v>557</v>
      </c>
    </row>
    <row r="294" spans="2:2">
      <c r="B294" s="177" t="s">
        <v>558</v>
      </c>
    </row>
    <row r="295" spans="2:2">
      <c r="B295" s="177" t="s">
        <v>559</v>
      </c>
    </row>
    <row r="296" spans="2:2">
      <c r="B296" s="177" t="s">
        <v>560</v>
      </c>
    </row>
    <row r="297" spans="2:2">
      <c r="B297" s="177" t="s">
        <v>561</v>
      </c>
    </row>
    <row r="298" spans="2:2">
      <c r="B298" s="177" t="s">
        <v>562</v>
      </c>
    </row>
    <row r="299" spans="2:2">
      <c r="B299" s="177" t="s">
        <v>563</v>
      </c>
    </row>
    <row r="300" spans="2:2">
      <c r="B300" s="177" t="s">
        <v>564</v>
      </c>
    </row>
    <row r="301" spans="2:2">
      <c r="B301" s="177" t="s">
        <v>565</v>
      </c>
    </row>
    <row r="302" spans="2:2">
      <c r="B302" s="177" t="s">
        <v>566</v>
      </c>
    </row>
    <row r="303" spans="2:2">
      <c r="B303" s="177" t="s">
        <v>567</v>
      </c>
    </row>
    <row r="304" spans="2:2">
      <c r="B304" s="177" t="s">
        <v>568</v>
      </c>
    </row>
    <row r="305" spans="2:2">
      <c r="B305" s="177" t="s">
        <v>569</v>
      </c>
    </row>
    <row r="306" spans="2:2">
      <c r="B306" s="177" t="s">
        <v>570</v>
      </c>
    </row>
    <row r="307" spans="2:2">
      <c r="B307" s="177" t="s">
        <v>571</v>
      </c>
    </row>
    <row r="308" spans="2:2">
      <c r="B308" s="177" t="s">
        <v>572</v>
      </c>
    </row>
    <row r="309" spans="2:2">
      <c r="B309" s="177" t="s">
        <v>573</v>
      </c>
    </row>
    <row r="310" spans="2:2">
      <c r="B310" s="177" t="s">
        <v>574</v>
      </c>
    </row>
    <row r="311" spans="2:2">
      <c r="B311" s="177" t="s">
        <v>575</v>
      </c>
    </row>
    <row r="312" spans="2:2">
      <c r="B312" s="177" t="s">
        <v>576</v>
      </c>
    </row>
    <row r="313" spans="2:2">
      <c r="B313" s="177" t="s">
        <v>577</v>
      </c>
    </row>
    <row r="314" spans="2:2">
      <c r="B314" s="177" t="s">
        <v>578</v>
      </c>
    </row>
    <row r="315" spans="2:2">
      <c r="B315" s="177" t="s">
        <v>579</v>
      </c>
    </row>
    <row r="316" spans="2:2">
      <c r="B316" s="177" t="s">
        <v>580</v>
      </c>
    </row>
    <row r="317" spans="2:2">
      <c r="B317" s="177" t="s">
        <v>581</v>
      </c>
    </row>
    <row r="318" spans="2:2">
      <c r="B318" s="177" t="s">
        <v>582</v>
      </c>
    </row>
    <row r="319" spans="2:2">
      <c r="B319" s="177" t="s">
        <v>583</v>
      </c>
    </row>
    <row r="320" spans="2:2">
      <c r="B320" s="177" t="s">
        <v>584</v>
      </c>
    </row>
    <row r="321" spans="2:2">
      <c r="B321" s="177" t="s">
        <v>585</v>
      </c>
    </row>
    <row r="322" spans="2:2">
      <c r="B322" s="177" t="s">
        <v>586</v>
      </c>
    </row>
    <row r="323" spans="2:2">
      <c r="B323" s="177" t="s">
        <v>587</v>
      </c>
    </row>
    <row r="324" spans="2:2">
      <c r="B324" s="177" t="s">
        <v>588</v>
      </c>
    </row>
    <row r="325" spans="2:2">
      <c r="B325" s="177" t="s">
        <v>589</v>
      </c>
    </row>
    <row r="326" spans="2:2">
      <c r="B326" s="177" t="s">
        <v>590</v>
      </c>
    </row>
    <row r="327" spans="2:2">
      <c r="B327" s="177" t="s">
        <v>591</v>
      </c>
    </row>
    <row r="328" spans="2:2">
      <c r="B328" s="177" t="s">
        <v>592</v>
      </c>
    </row>
    <row r="329" spans="2:2">
      <c r="B329" s="177" t="s">
        <v>593</v>
      </c>
    </row>
    <row r="330" spans="2:2">
      <c r="B330" s="177" t="s">
        <v>594</v>
      </c>
    </row>
    <row r="331" spans="2:2">
      <c r="B331" s="177" t="s">
        <v>595</v>
      </c>
    </row>
    <row r="332" spans="2:2">
      <c r="B332" s="177" t="s">
        <v>596</v>
      </c>
    </row>
    <row r="333" spans="2:2">
      <c r="B333" s="177" t="s">
        <v>597</v>
      </c>
    </row>
    <row r="334" spans="2:2">
      <c r="B334" s="177" t="s">
        <v>598</v>
      </c>
    </row>
    <row r="335" spans="2:2">
      <c r="B335" s="177" t="s">
        <v>599</v>
      </c>
    </row>
    <row r="336" spans="2:2">
      <c r="B336" s="177" t="s">
        <v>600</v>
      </c>
    </row>
    <row r="337" spans="2:2">
      <c r="B337" s="177" t="s">
        <v>601</v>
      </c>
    </row>
    <row r="338" spans="2:2">
      <c r="B338" s="177" t="s">
        <v>602</v>
      </c>
    </row>
    <row r="339" spans="2:2">
      <c r="B339" s="177" t="s">
        <v>603</v>
      </c>
    </row>
    <row r="340" spans="2:2">
      <c r="B340" s="177" t="s">
        <v>604</v>
      </c>
    </row>
    <row r="341" spans="2:2">
      <c r="B341" s="177" t="s">
        <v>605</v>
      </c>
    </row>
    <row r="342" spans="2:2">
      <c r="B342" s="177" t="s">
        <v>606</v>
      </c>
    </row>
    <row r="343" spans="2:2">
      <c r="B343" s="177" t="s">
        <v>607</v>
      </c>
    </row>
    <row r="344" spans="2:2">
      <c r="B344" s="177" t="s">
        <v>608</v>
      </c>
    </row>
    <row r="345" spans="2:2">
      <c r="B345" s="177" t="s">
        <v>609</v>
      </c>
    </row>
    <row r="346" spans="2:2">
      <c r="B346" s="177" t="s">
        <v>610</v>
      </c>
    </row>
    <row r="347" spans="2:2">
      <c r="B347" s="177" t="s">
        <v>611</v>
      </c>
    </row>
    <row r="348" spans="2:2">
      <c r="B348" s="177" t="s">
        <v>612</v>
      </c>
    </row>
    <row r="349" spans="2:2">
      <c r="B349" s="177" t="s">
        <v>613</v>
      </c>
    </row>
    <row r="350" spans="2:2">
      <c r="B350" s="177" t="s">
        <v>614</v>
      </c>
    </row>
    <row r="351" spans="2:2">
      <c r="B351" s="177" t="s">
        <v>615</v>
      </c>
    </row>
    <row r="352" spans="2:2">
      <c r="B352" s="177" t="s">
        <v>616</v>
      </c>
    </row>
    <row r="353" spans="2:2">
      <c r="B353" s="177" t="s">
        <v>617</v>
      </c>
    </row>
    <row r="354" spans="2:2">
      <c r="B354" s="177" t="s">
        <v>618</v>
      </c>
    </row>
    <row r="355" spans="2:2">
      <c r="B355" s="177" t="s">
        <v>619</v>
      </c>
    </row>
    <row r="356" spans="2:2">
      <c r="B356" s="177" t="s">
        <v>620</v>
      </c>
    </row>
    <row r="357" spans="2:2">
      <c r="B357" s="177" t="s">
        <v>621</v>
      </c>
    </row>
    <row r="358" spans="2:2">
      <c r="B358" s="177" t="s">
        <v>622</v>
      </c>
    </row>
    <row r="359" spans="2:2">
      <c r="B359" s="177" t="s">
        <v>623</v>
      </c>
    </row>
    <row r="360" spans="2:2">
      <c r="B360" s="177" t="s">
        <v>624</v>
      </c>
    </row>
    <row r="361" spans="2:2">
      <c r="B361" s="177" t="s">
        <v>625</v>
      </c>
    </row>
    <row r="362" spans="2:2">
      <c r="B362" s="177" t="s">
        <v>626</v>
      </c>
    </row>
    <row r="363" spans="2:2">
      <c r="B363" s="177" t="s">
        <v>627</v>
      </c>
    </row>
    <row r="364" spans="2:2">
      <c r="B364" s="177" t="s">
        <v>628</v>
      </c>
    </row>
    <row r="365" spans="2:2">
      <c r="B365" s="177" t="s">
        <v>629</v>
      </c>
    </row>
    <row r="366" spans="2:2">
      <c r="B366" s="177" t="s">
        <v>630</v>
      </c>
    </row>
    <row r="367" spans="2:2">
      <c r="B367" s="177" t="s">
        <v>631</v>
      </c>
    </row>
    <row r="368" spans="2:2">
      <c r="B368" s="177" t="s">
        <v>632</v>
      </c>
    </row>
    <row r="369" spans="2:2">
      <c r="B369" s="177" t="s">
        <v>633</v>
      </c>
    </row>
    <row r="370" spans="2:2">
      <c r="B370" s="177" t="s">
        <v>634</v>
      </c>
    </row>
    <row r="371" spans="2:2">
      <c r="B371" s="177" t="s">
        <v>635</v>
      </c>
    </row>
    <row r="372" spans="2:2">
      <c r="B372" s="177" t="s">
        <v>636</v>
      </c>
    </row>
    <row r="373" spans="2:2">
      <c r="B373" s="177" t="s">
        <v>637</v>
      </c>
    </row>
    <row r="374" spans="2:2">
      <c r="B374" s="177" t="s">
        <v>638</v>
      </c>
    </row>
    <row r="375" spans="2:2">
      <c r="B375" s="177" t="s">
        <v>639</v>
      </c>
    </row>
    <row r="376" spans="2:2">
      <c r="B376" s="177" t="s">
        <v>640</v>
      </c>
    </row>
    <row r="377" spans="2:2">
      <c r="B377" s="177" t="s">
        <v>641</v>
      </c>
    </row>
    <row r="378" spans="2:2">
      <c r="B378" s="177" t="s">
        <v>642</v>
      </c>
    </row>
    <row r="379" spans="2:2">
      <c r="B379" s="177" t="s">
        <v>643</v>
      </c>
    </row>
    <row r="380" spans="2:2">
      <c r="B380" s="177" t="s">
        <v>644</v>
      </c>
    </row>
    <row r="381" spans="2:2">
      <c r="B381" s="177" t="s">
        <v>645</v>
      </c>
    </row>
    <row r="382" spans="2:2">
      <c r="B382" s="177" t="s">
        <v>646</v>
      </c>
    </row>
    <row r="383" spans="2:2">
      <c r="B383" s="177" t="s">
        <v>647</v>
      </c>
    </row>
    <row r="384" spans="2:2">
      <c r="B384" s="177" t="s">
        <v>648</v>
      </c>
    </row>
    <row r="385" spans="2:2">
      <c r="B385" s="177" t="s">
        <v>649</v>
      </c>
    </row>
    <row r="386" spans="2:2">
      <c r="B386" s="177" t="s">
        <v>650</v>
      </c>
    </row>
    <row r="387" spans="2:2">
      <c r="B387" s="177" t="s">
        <v>651</v>
      </c>
    </row>
    <row r="388" spans="2:2">
      <c r="B388" s="177" t="s">
        <v>652</v>
      </c>
    </row>
    <row r="389" spans="2:2">
      <c r="B389" s="177" t="s">
        <v>653</v>
      </c>
    </row>
    <row r="390" spans="2:2">
      <c r="B390" s="177" t="s">
        <v>654</v>
      </c>
    </row>
    <row r="391" spans="2:2">
      <c r="B391" s="177" t="s">
        <v>655</v>
      </c>
    </row>
    <row r="392" spans="2:2">
      <c r="B392" s="177" t="s">
        <v>656</v>
      </c>
    </row>
    <row r="393" spans="2:2">
      <c r="B393" s="177" t="s">
        <v>657</v>
      </c>
    </row>
    <row r="394" spans="2:2">
      <c r="B394" s="177" t="s">
        <v>658</v>
      </c>
    </row>
    <row r="395" spans="2:2">
      <c r="B395" s="177" t="s">
        <v>659</v>
      </c>
    </row>
    <row r="396" spans="2:2">
      <c r="B396" s="177" t="s">
        <v>660</v>
      </c>
    </row>
    <row r="397" spans="2:2">
      <c r="B397" s="177" t="s">
        <v>661</v>
      </c>
    </row>
    <row r="398" spans="2:2">
      <c r="B398" s="177" t="s">
        <v>662</v>
      </c>
    </row>
    <row r="399" spans="2:2">
      <c r="B399" s="177" t="s">
        <v>663</v>
      </c>
    </row>
    <row r="400" spans="2:2">
      <c r="B400" s="177" t="s">
        <v>664</v>
      </c>
    </row>
    <row r="401" spans="2:2">
      <c r="B401" s="177" t="s">
        <v>665</v>
      </c>
    </row>
    <row r="402" spans="2:2">
      <c r="B402" s="177" t="s">
        <v>666</v>
      </c>
    </row>
    <row r="403" spans="2:2">
      <c r="B403" s="177" t="s">
        <v>667</v>
      </c>
    </row>
    <row r="404" spans="2:2">
      <c r="B404" s="177" t="s">
        <v>668</v>
      </c>
    </row>
    <row r="405" spans="2:2">
      <c r="B405" s="177" t="s">
        <v>669</v>
      </c>
    </row>
    <row r="406" spans="2:2">
      <c r="B406" s="177" t="s">
        <v>670</v>
      </c>
    </row>
    <row r="407" spans="2:2">
      <c r="B407" s="177" t="s">
        <v>671</v>
      </c>
    </row>
    <row r="408" spans="2:2">
      <c r="B408" s="177" t="s">
        <v>672</v>
      </c>
    </row>
    <row r="409" spans="2:2">
      <c r="B409" s="177" t="s">
        <v>673</v>
      </c>
    </row>
    <row r="410" spans="2:2">
      <c r="B410" s="177" t="s">
        <v>674</v>
      </c>
    </row>
    <row r="411" spans="2:2">
      <c r="B411" s="177" t="s">
        <v>675</v>
      </c>
    </row>
    <row r="412" spans="2:2">
      <c r="B412" s="177" t="s">
        <v>676</v>
      </c>
    </row>
    <row r="413" spans="2:2">
      <c r="B413" s="177" t="s">
        <v>677</v>
      </c>
    </row>
    <row r="414" spans="2:2">
      <c r="B414" s="177" t="s">
        <v>678</v>
      </c>
    </row>
    <row r="415" spans="2:2">
      <c r="B415" s="177" t="s">
        <v>679</v>
      </c>
    </row>
    <row r="416" spans="2:2">
      <c r="B416" s="177" t="s">
        <v>680</v>
      </c>
    </row>
    <row r="417" spans="2:2">
      <c r="B417" s="177" t="s">
        <v>681</v>
      </c>
    </row>
    <row r="418" spans="2:2">
      <c r="B418" s="177" t="s">
        <v>682</v>
      </c>
    </row>
    <row r="419" spans="2:2">
      <c r="B419" s="177" t="s">
        <v>683</v>
      </c>
    </row>
    <row r="420" spans="2:2">
      <c r="B420" s="177" t="s">
        <v>684</v>
      </c>
    </row>
    <row r="421" spans="2:2">
      <c r="B421" s="177" t="s">
        <v>685</v>
      </c>
    </row>
    <row r="422" spans="2:2">
      <c r="B422" s="177" t="s">
        <v>686</v>
      </c>
    </row>
    <row r="423" spans="2:2">
      <c r="B423" s="177" t="s">
        <v>687</v>
      </c>
    </row>
    <row r="424" spans="2:2">
      <c r="B424" s="177" t="s">
        <v>688</v>
      </c>
    </row>
    <row r="425" spans="2:2">
      <c r="B425" s="177" t="s">
        <v>689</v>
      </c>
    </row>
    <row r="426" spans="2:2">
      <c r="B426" s="177" t="s">
        <v>690</v>
      </c>
    </row>
    <row r="427" spans="2:2">
      <c r="B427" s="177" t="s">
        <v>691</v>
      </c>
    </row>
    <row r="428" spans="2:2">
      <c r="B428" s="177" t="s">
        <v>692</v>
      </c>
    </row>
    <row r="429" spans="2:2">
      <c r="B429" s="177" t="s">
        <v>693</v>
      </c>
    </row>
    <row r="430" spans="2:2">
      <c r="B430" s="177" t="s">
        <v>694</v>
      </c>
    </row>
    <row r="431" spans="2:2">
      <c r="B431" s="177" t="s">
        <v>695</v>
      </c>
    </row>
    <row r="432" spans="2:2">
      <c r="B432" s="177" t="s">
        <v>696</v>
      </c>
    </row>
    <row r="433" spans="2:2">
      <c r="B433" s="177" t="s">
        <v>697</v>
      </c>
    </row>
    <row r="434" spans="2:2">
      <c r="B434" s="177" t="s">
        <v>698</v>
      </c>
    </row>
    <row r="435" spans="2:2">
      <c r="B435" s="177" t="s">
        <v>699</v>
      </c>
    </row>
    <row r="436" spans="2:2">
      <c r="B436" s="177" t="s">
        <v>700</v>
      </c>
    </row>
    <row r="437" spans="2:2">
      <c r="B437" s="177" t="s">
        <v>701</v>
      </c>
    </row>
    <row r="438" spans="2:2">
      <c r="B438" s="177" t="s">
        <v>702</v>
      </c>
    </row>
    <row r="439" spans="2:2">
      <c r="B439" s="177" t="s">
        <v>703</v>
      </c>
    </row>
    <row r="440" spans="2:2">
      <c r="B440" s="177" t="s">
        <v>704</v>
      </c>
    </row>
    <row r="441" spans="2:2">
      <c r="B441" s="177" t="s">
        <v>705</v>
      </c>
    </row>
    <row r="442" spans="2:2">
      <c r="B442" s="177" t="s">
        <v>706</v>
      </c>
    </row>
    <row r="443" spans="2:2">
      <c r="B443" s="177" t="s">
        <v>707</v>
      </c>
    </row>
    <row r="444" spans="2:2">
      <c r="B444" s="177" t="s">
        <v>708</v>
      </c>
    </row>
    <row r="445" spans="2:2">
      <c r="B445" s="177" t="s">
        <v>709</v>
      </c>
    </row>
    <row r="446" spans="2:2">
      <c r="B446" s="177" t="s">
        <v>710</v>
      </c>
    </row>
    <row r="447" spans="2:2">
      <c r="B447" s="177" t="s">
        <v>711</v>
      </c>
    </row>
    <row r="448" spans="2:2">
      <c r="B448" s="177" t="s">
        <v>712</v>
      </c>
    </row>
    <row r="449" spans="2:2">
      <c r="B449" s="177" t="s">
        <v>713</v>
      </c>
    </row>
    <row r="450" spans="2:2">
      <c r="B450" s="177" t="s">
        <v>714</v>
      </c>
    </row>
    <row r="451" spans="2:2">
      <c r="B451" s="177" t="s">
        <v>715</v>
      </c>
    </row>
    <row r="452" spans="2:2">
      <c r="B452" s="177" t="s">
        <v>716</v>
      </c>
    </row>
    <row r="453" spans="2:2">
      <c r="B453" s="177" t="s">
        <v>717</v>
      </c>
    </row>
    <row r="454" spans="2:2">
      <c r="B454" s="177" t="s">
        <v>718</v>
      </c>
    </row>
    <row r="455" spans="2:2">
      <c r="B455" s="177" t="s">
        <v>719</v>
      </c>
    </row>
    <row r="456" spans="2:2">
      <c r="B456" s="177" t="s">
        <v>720</v>
      </c>
    </row>
    <row r="457" spans="2:2">
      <c r="B457" s="177" t="s">
        <v>721</v>
      </c>
    </row>
    <row r="458" spans="2:2">
      <c r="B458" s="177" t="s">
        <v>722</v>
      </c>
    </row>
    <row r="459" spans="2:2">
      <c r="B459" s="177" t="s">
        <v>723</v>
      </c>
    </row>
    <row r="460" spans="2:2">
      <c r="B460" s="177" t="s">
        <v>724</v>
      </c>
    </row>
    <row r="461" spans="2:2">
      <c r="B461" s="177" t="s">
        <v>725</v>
      </c>
    </row>
    <row r="462" spans="2:2">
      <c r="B462" s="177" t="s">
        <v>726</v>
      </c>
    </row>
    <row r="463" spans="2:2">
      <c r="B463" s="177" t="s">
        <v>727</v>
      </c>
    </row>
    <row r="464" spans="2:2">
      <c r="B464" s="177" t="s">
        <v>728</v>
      </c>
    </row>
    <row r="465" spans="2:2">
      <c r="B465" s="177" t="s">
        <v>729</v>
      </c>
    </row>
    <row r="466" spans="2:2">
      <c r="B466" s="177" t="s">
        <v>730</v>
      </c>
    </row>
    <row r="467" spans="2:2">
      <c r="B467" s="177" t="s">
        <v>731</v>
      </c>
    </row>
    <row r="468" spans="2:2">
      <c r="B468" s="177" t="s">
        <v>732</v>
      </c>
    </row>
    <row r="469" spans="2:2">
      <c r="B469" s="177" t="s">
        <v>733</v>
      </c>
    </row>
    <row r="470" spans="2:2">
      <c r="B470" s="177" t="s">
        <v>734</v>
      </c>
    </row>
    <row r="471" spans="2:2">
      <c r="B471" s="177" t="s">
        <v>735</v>
      </c>
    </row>
    <row r="472" spans="2:2">
      <c r="B472" s="177" t="s">
        <v>736</v>
      </c>
    </row>
    <row r="473" spans="2:2">
      <c r="B473" s="177" t="s">
        <v>737</v>
      </c>
    </row>
    <row r="474" spans="2:2">
      <c r="B474" s="177" t="s">
        <v>738</v>
      </c>
    </row>
    <row r="475" spans="2:2">
      <c r="B475" s="177" t="s">
        <v>739</v>
      </c>
    </row>
    <row r="476" spans="2:2">
      <c r="B476" s="177" t="s">
        <v>740</v>
      </c>
    </row>
    <row r="477" spans="2:2">
      <c r="B477" s="177" t="s">
        <v>741</v>
      </c>
    </row>
    <row r="478" spans="2:2">
      <c r="B478" s="177" t="s">
        <v>742</v>
      </c>
    </row>
    <row r="479" spans="2:2">
      <c r="B479" s="177" t="s">
        <v>743</v>
      </c>
    </row>
    <row r="480" spans="2:2">
      <c r="B480" s="177" t="s">
        <v>744</v>
      </c>
    </row>
    <row r="481" spans="2:2">
      <c r="B481" s="177" t="s">
        <v>745</v>
      </c>
    </row>
    <row r="482" spans="2:2">
      <c r="B482" s="177" t="s">
        <v>746</v>
      </c>
    </row>
    <row r="483" spans="2:2">
      <c r="B483" s="177" t="s">
        <v>747</v>
      </c>
    </row>
    <row r="484" spans="2:2">
      <c r="B484" s="177" t="s">
        <v>748</v>
      </c>
    </row>
    <row r="485" spans="2:2">
      <c r="B485" s="177" t="s">
        <v>749</v>
      </c>
    </row>
    <row r="486" spans="2:2">
      <c r="B486" s="177" t="s">
        <v>750</v>
      </c>
    </row>
    <row r="487" spans="2:2">
      <c r="B487" s="177" t="s">
        <v>751</v>
      </c>
    </row>
    <row r="488" spans="2:2">
      <c r="B488" s="177" t="s">
        <v>752</v>
      </c>
    </row>
    <row r="489" spans="2:2">
      <c r="B489" s="177" t="s">
        <v>753</v>
      </c>
    </row>
    <row r="490" spans="2:2">
      <c r="B490" s="177" t="s">
        <v>754</v>
      </c>
    </row>
    <row r="491" spans="2:2">
      <c r="B491" s="177" t="s">
        <v>755</v>
      </c>
    </row>
    <row r="492" spans="2:2">
      <c r="B492" s="177" t="s">
        <v>756</v>
      </c>
    </row>
    <row r="493" spans="2:2">
      <c r="B493" s="177" t="s">
        <v>757</v>
      </c>
    </row>
    <row r="494" spans="2:2">
      <c r="B494" s="177" t="s">
        <v>758</v>
      </c>
    </row>
    <row r="495" spans="2:2">
      <c r="B495" s="177" t="s">
        <v>759</v>
      </c>
    </row>
    <row r="496" spans="2:2">
      <c r="B496" s="177" t="s">
        <v>760</v>
      </c>
    </row>
    <row r="497" spans="2:2">
      <c r="B497" s="177" t="s">
        <v>761</v>
      </c>
    </row>
    <row r="498" spans="2:2">
      <c r="B498" s="177" t="s">
        <v>762</v>
      </c>
    </row>
    <row r="499" spans="2:2">
      <c r="B499" s="177" t="s">
        <v>763</v>
      </c>
    </row>
    <row r="500" spans="2:2">
      <c r="B500" s="177" t="s">
        <v>764</v>
      </c>
    </row>
    <row r="501" spans="2:2">
      <c r="B501" s="177" t="s">
        <v>765</v>
      </c>
    </row>
    <row r="502" spans="2:2">
      <c r="B502" s="177" t="s">
        <v>766</v>
      </c>
    </row>
    <row r="503" spans="2:2">
      <c r="B503" s="177" t="s">
        <v>767</v>
      </c>
    </row>
    <row r="504" spans="2:2">
      <c r="B504" s="177" t="s">
        <v>768</v>
      </c>
    </row>
    <row r="505" spans="2:2">
      <c r="B505" s="177" t="s">
        <v>769</v>
      </c>
    </row>
    <row r="506" spans="2:2">
      <c r="B506" s="177" t="s">
        <v>770</v>
      </c>
    </row>
    <row r="507" spans="2:2">
      <c r="B507" s="177" t="s">
        <v>771</v>
      </c>
    </row>
    <row r="508" spans="2:2">
      <c r="B508" s="177" t="s">
        <v>772</v>
      </c>
    </row>
    <row r="509" spans="2:2">
      <c r="B509" s="177" t="s">
        <v>773</v>
      </c>
    </row>
    <row r="510" spans="2:2">
      <c r="B510" s="177" t="s">
        <v>774</v>
      </c>
    </row>
    <row r="511" spans="2:2">
      <c r="B511" s="177" t="s">
        <v>775</v>
      </c>
    </row>
    <row r="512" spans="2:2">
      <c r="B512" s="177" t="s">
        <v>776</v>
      </c>
    </row>
    <row r="513" spans="2:2">
      <c r="B513" s="177" t="s">
        <v>777</v>
      </c>
    </row>
    <row r="514" spans="2:2">
      <c r="B514" s="177" t="s">
        <v>778</v>
      </c>
    </row>
    <row r="515" spans="2:2">
      <c r="B515" s="177" t="s">
        <v>779</v>
      </c>
    </row>
    <row r="516" spans="2:2">
      <c r="B516" s="177" t="s">
        <v>780</v>
      </c>
    </row>
    <row r="517" spans="2:2">
      <c r="B517" s="177" t="s">
        <v>781</v>
      </c>
    </row>
    <row r="518" spans="2:2">
      <c r="B518" s="177" t="s">
        <v>782</v>
      </c>
    </row>
    <row r="519" spans="2:2">
      <c r="B519" s="177" t="s">
        <v>783</v>
      </c>
    </row>
    <row r="520" spans="2:2">
      <c r="B520" s="177" t="s">
        <v>784</v>
      </c>
    </row>
    <row r="521" spans="2:2">
      <c r="B521" s="177" t="s">
        <v>785</v>
      </c>
    </row>
    <row r="522" spans="2:2">
      <c r="B522" s="177" t="s">
        <v>786</v>
      </c>
    </row>
    <row r="523" spans="2:2">
      <c r="B523" s="177" t="s">
        <v>787</v>
      </c>
    </row>
    <row r="524" spans="2:2">
      <c r="B524" s="177" t="s">
        <v>788</v>
      </c>
    </row>
    <row r="525" spans="2:2">
      <c r="B525" s="177" t="s">
        <v>789</v>
      </c>
    </row>
    <row r="526" spans="2:2">
      <c r="B526" s="177" t="s">
        <v>790</v>
      </c>
    </row>
    <row r="527" spans="2:2">
      <c r="B527" s="177" t="s">
        <v>791</v>
      </c>
    </row>
    <row r="528" spans="2:2">
      <c r="B528" s="177" t="s">
        <v>792</v>
      </c>
    </row>
    <row r="529" spans="2:2">
      <c r="B529" s="177" t="s">
        <v>793</v>
      </c>
    </row>
    <row r="530" spans="2:2">
      <c r="B530" s="177" t="s">
        <v>794</v>
      </c>
    </row>
    <row r="531" spans="2:2">
      <c r="B531" s="177" t="s">
        <v>795</v>
      </c>
    </row>
    <row r="532" spans="2:2">
      <c r="B532" s="177" t="s">
        <v>796</v>
      </c>
    </row>
    <row r="533" spans="2:2">
      <c r="B533" s="177" t="s">
        <v>797</v>
      </c>
    </row>
    <row r="534" spans="2:2">
      <c r="B534" s="177" t="s">
        <v>798</v>
      </c>
    </row>
    <row r="535" spans="2:2">
      <c r="B535" s="177" t="s">
        <v>799</v>
      </c>
    </row>
    <row r="536" spans="2:2">
      <c r="B536" s="177" t="s">
        <v>800</v>
      </c>
    </row>
    <row r="537" spans="2:2">
      <c r="B537" s="177" t="s">
        <v>801</v>
      </c>
    </row>
    <row r="538" spans="2:2">
      <c r="B538" s="177" t="s">
        <v>802</v>
      </c>
    </row>
    <row r="539" spans="2:2">
      <c r="B539" s="177" t="s">
        <v>803</v>
      </c>
    </row>
    <row r="540" spans="2:2">
      <c r="B540" s="177" t="s">
        <v>804</v>
      </c>
    </row>
    <row r="541" spans="2:2">
      <c r="B541" s="177" t="s">
        <v>805</v>
      </c>
    </row>
    <row r="542" spans="2:2">
      <c r="B542" s="177" t="s">
        <v>806</v>
      </c>
    </row>
    <row r="543" spans="2:2">
      <c r="B543" s="177" t="s">
        <v>807</v>
      </c>
    </row>
    <row r="544" spans="2:2">
      <c r="B544" s="177" t="s">
        <v>808</v>
      </c>
    </row>
    <row r="545" spans="2:2">
      <c r="B545" s="177" t="s">
        <v>809</v>
      </c>
    </row>
    <row r="546" spans="2:2">
      <c r="B546" s="177" t="s">
        <v>810</v>
      </c>
    </row>
    <row r="547" spans="2:2">
      <c r="B547" s="177" t="s">
        <v>811</v>
      </c>
    </row>
    <row r="548" spans="2:2">
      <c r="B548" s="177" t="s">
        <v>812</v>
      </c>
    </row>
    <row r="549" spans="2:2">
      <c r="B549" s="177" t="s">
        <v>813</v>
      </c>
    </row>
    <row r="550" spans="2:2">
      <c r="B550" s="177" t="s">
        <v>814</v>
      </c>
    </row>
    <row r="551" spans="2:2">
      <c r="B551" s="177" t="s">
        <v>815</v>
      </c>
    </row>
    <row r="552" spans="2:2">
      <c r="B552" s="177" t="s">
        <v>816</v>
      </c>
    </row>
    <row r="553" spans="2:2">
      <c r="B553" s="177" t="s">
        <v>817</v>
      </c>
    </row>
    <row r="554" spans="2:2">
      <c r="B554" s="177" t="s">
        <v>818</v>
      </c>
    </row>
    <row r="555" spans="2:2">
      <c r="B555" s="177" t="s">
        <v>819</v>
      </c>
    </row>
    <row r="556" spans="2:2">
      <c r="B556" s="177" t="s">
        <v>820</v>
      </c>
    </row>
    <row r="557" spans="2:2">
      <c r="B557" s="177" t="s">
        <v>821</v>
      </c>
    </row>
    <row r="558" spans="2:2">
      <c r="B558" s="177" t="s">
        <v>822</v>
      </c>
    </row>
    <row r="559" spans="2:2">
      <c r="B559" s="177" t="s">
        <v>823</v>
      </c>
    </row>
    <row r="560" spans="2:2">
      <c r="B560" s="177" t="s">
        <v>824</v>
      </c>
    </row>
    <row r="561" spans="2:2">
      <c r="B561" s="177" t="s">
        <v>825</v>
      </c>
    </row>
    <row r="562" spans="2:2">
      <c r="B562" s="177" t="s">
        <v>826</v>
      </c>
    </row>
    <row r="563" spans="2:2">
      <c r="B563" s="177" t="s">
        <v>827</v>
      </c>
    </row>
    <row r="564" spans="2:2">
      <c r="B564" s="177" t="s">
        <v>828</v>
      </c>
    </row>
    <row r="565" spans="2:2">
      <c r="B565" s="177" t="s">
        <v>829</v>
      </c>
    </row>
    <row r="566" spans="2:2">
      <c r="B566" s="177" t="s">
        <v>830</v>
      </c>
    </row>
    <row r="567" spans="2:2">
      <c r="B567" s="177" t="s">
        <v>831</v>
      </c>
    </row>
    <row r="568" spans="2:2">
      <c r="B568" s="177" t="s">
        <v>832</v>
      </c>
    </row>
    <row r="569" spans="2:2">
      <c r="B569" s="177" t="s">
        <v>833</v>
      </c>
    </row>
    <row r="570" spans="2:2">
      <c r="B570" s="177" t="s">
        <v>834</v>
      </c>
    </row>
    <row r="571" spans="2:2">
      <c r="B571" s="177" t="s">
        <v>835</v>
      </c>
    </row>
    <row r="572" spans="2:2">
      <c r="B572" s="177" t="s">
        <v>836</v>
      </c>
    </row>
    <row r="573" spans="2:2">
      <c r="B573" s="177" t="s">
        <v>837</v>
      </c>
    </row>
    <row r="574" spans="2:2">
      <c r="B574" s="177" t="s">
        <v>838</v>
      </c>
    </row>
    <row r="575" spans="2:2">
      <c r="B575" s="177" t="s">
        <v>839</v>
      </c>
    </row>
    <row r="576" spans="2:2">
      <c r="B576" s="177" t="s">
        <v>840</v>
      </c>
    </row>
    <row r="577" spans="2:2">
      <c r="B577" s="177" t="s">
        <v>841</v>
      </c>
    </row>
    <row r="578" spans="2:2">
      <c r="B578" s="177" t="s">
        <v>842</v>
      </c>
    </row>
    <row r="579" spans="2:2">
      <c r="B579" s="177" t="s">
        <v>843</v>
      </c>
    </row>
    <row r="580" spans="2:2">
      <c r="B580" s="177" t="s">
        <v>844</v>
      </c>
    </row>
    <row r="581" spans="2:2">
      <c r="B581" s="177" t="s">
        <v>845</v>
      </c>
    </row>
    <row r="582" spans="2:2">
      <c r="B582" s="177" t="s">
        <v>846</v>
      </c>
    </row>
    <row r="583" spans="2:2">
      <c r="B583" s="177" t="s">
        <v>847</v>
      </c>
    </row>
    <row r="584" spans="2:2">
      <c r="B584" s="177" t="s">
        <v>848</v>
      </c>
    </row>
    <row r="585" spans="2:2">
      <c r="B585" s="177" t="s">
        <v>849</v>
      </c>
    </row>
    <row r="586" spans="2:2">
      <c r="B586" s="177" t="s">
        <v>850</v>
      </c>
    </row>
    <row r="587" spans="2:2">
      <c r="B587" s="177" t="s">
        <v>851</v>
      </c>
    </row>
    <row r="588" spans="2:2">
      <c r="B588" s="177" t="s">
        <v>852</v>
      </c>
    </row>
    <row r="589" spans="2:2">
      <c r="B589" s="177" t="s">
        <v>853</v>
      </c>
    </row>
    <row r="590" spans="2:2">
      <c r="B590" s="177" t="s">
        <v>854</v>
      </c>
    </row>
    <row r="591" spans="2:2">
      <c r="B591" s="177" t="s">
        <v>855</v>
      </c>
    </row>
    <row r="592" spans="2:2">
      <c r="B592" s="177" t="s">
        <v>856</v>
      </c>
    </row>
    <row r="593" spans="2:2">
      <c r="B593" s="177" t="s">
        <v>857</v>
      </c>
    </row>
    <row r="594" spans="2:2">
      <c r="B594" s="177" t="s">
        <v>858</v>
      </c>
    </row>
    <row r="595" spans="2:2">
      <c r="B595" s="177" t="s">
        <v>859</v>
      </c>
    </row>
    <row r="596" spans="2:2">
      <c r="B596" s="177" t="s">
        <v>860</v>
      </c>
    </row>
    <row r="597" spans="2:2">
      <c r="B597" s="177" t="s">
        <v>861</v>
      </c>
    </row>
    <row r="598" spans="2:2">
      <c r="B598" s="177" t="s">
        <v>862</v>
      </c>
    </row>
    <row r="599" spans="2:2">
      <c r="B599" s="177" t="s">
        <v>863</v>
      </c>
    </row>
    <row r="600" spans="2:2">
      <c r="B600" s="177" t="s">
        <v>864</v>
      </c>
    </row>
    <row r="601" spans="2:2">
      <c r="B601" s="177" t="s">
        <v>865</v>
      </c>
    </row>
    <row r="602" spans="2:2">
      <c r="B602" s="177" t="s">
        <v>866</v>
      </c>
    </row>
    <row r="603" spans="2:2">
      <c r="B603" s="177" t="s">
        <v>867</v>
      </c>
    </row>
    <row r="604" spans="2:2">
      <c r="B604" s="177" t="s">
        <v>868</v>
      </c>
    </row>
    <row r="605" spans="2:2">
      <c r="B605" s="177" t="s">
        <v>869</v>
      </c>
    </row>
    <row r="606" spans="2:2">
      <c r="B606" s="177" t="s">
        <v>870</v>
      </c>
    </row>
    <row r="607" spans="2:2">
      <c r="B607" s="177" t="s">
        <v>871</v>
      </c>
    </row>
    <row r="608" spans="2:2">
      <c r="B608" s="177" t="s">
        <v>872</v>
      </c>
    </row>
    <row r="609" spans="2:2">
      <c r="B609" s="177" t="s">
        <v>873</v>
      </c>
    </row>
    <row r="610" spans="2:2">
      <c r="B610" s="177" t="s">
        <v>874</v>
      </c>
    </row>
    <row r="611" spans="2:2">
      <c r="B611" s="177" t="s">
        <v>875</v>
      </c>
    </row>
    <row r="612" spans="2:2">
      <c r="B612" s="177" t="s">
        <v>876</v>
      </c>
    </row>
    <row r="613" spans="2:2">
      <c r="B613" s="177" t="s">
        <v>877</v>
      </c>
    </row>
    <row r="614" spans="2:2">
      <c r="B614" s="177" t="s">
        <v>878</v>
      </c>
    </row>
    <row r="615" spans="2:2">
      <c r="B615" s="177" t="s">
        <v>879</v>
      </c>
    </row>
    <row r="616" spans="2:2">
      <c r="B616" s="177" t="s">
        <v>880</v>
      </c>
    </row>
    <row r="617" spans="2:2">
      <c r="B617" s="177" t="s">
        <v>881</v>
      </c>
    </row>
    <row r="618" spans="2:2">
      <c r="B618" s="177" t="s">
        <v>882</v>
      </c>
    </row>
    <row r="619" spans="2:2">
      <c r="B619" s="177" t="s">
        <v>883</v>
      </c>
    </row>
    <row r="620" spans="2:2">
      <c r="B620" s="177" t="s">
        <v>884</v>
      </c>
    </row>
    <row r="621" spans="2:2">
      <c r="B621" s="177" t="s">
        <v>885</v>
      </c>
    </row>
    <row r="622" spans="2:2">
      <c r="B622" s="177" t="s">
        <v>886</v>
      </c>
    </row>
    <row r="623" spans="2:2">
      <c r="B623" s="177" t="s">
        <v>887</v>
      </c>
    </row>
    <row r="624" spans="2:2">
      <c r="B624" s="177" t="s">
        <v>888</v>
      </c>
    </row>
    <row r="625" spans="2:2">
      <c r="B625" s="177" t="s">
        <v>889</v>
      </c>
    </row>
    <row r="626" spans="2:2">
      <c r="B626" s="177" t="s">
        <v>890</v>
      </c>
    </row>
    <row r="627" spans="2:2">
      <c r="B627" s="177" t="s">
        <v>891</v>
      </c>
    </row>
    <row r="628" spans="2:2">
      <c r="B628" s="177" t="s">
        <v>892</v>
      </c>
    </row>
    <row r="629" spans="2:2">
      <c r="B629" s="177" t="s">
        <v>893</v>
      </c>
    </row>
    <row r="630" spans="2:2">
      <c r="B630" s="177" t="s">
        <v>894</v>
      </c>
    </row>
    <row r="631" spans="2:2">
      <c r="B631" s="177" t="s">
        <v>895</v>
      </c>
    </row>
    <row r="632" spans="2:2">
      <c r="B632" s="177" t="s">
        <v>896</v>
      </c>
    </row>
    <row r="633" spans="2:2">
      <c r="B633" s="177" t="s">
        <v>897</v>
      </c>
    </row>
    <row r="634" spans="2:2">
      <c r="B634" s="177" t="s">
        <v>898</v>
      </c>
    </row>
    <row r="635" spans="2:2">
      <c r="B635" s="177" t="s">
        <v>899</v>
      </c>
    </row>
    <row r="636" spans="2:2">
      <c r="B636" s="177" t="s">
        <v>900</v>
      </c>
    </row>
    <row r="637" spans="2:2">
      <c r="B637" s="177" t="s">
        <v>901</v>
      </c>
    </row>
    <row r="638" spans="2:2">
      <c r="B638" s="177" t="s">
        <v>902</v>
      </c>
    </row>
    <row r="639" spans="2:2">
      <c r="B639" s="177" t="s">
        <v>903</v>
      </c>
    </row>
    <row r="640" spans="2:2">
      <c r="B640" s="177" t="s">
        <v>904</v>
      </c>
    </row>
    <row r="641" spans="2:2">
      <c r="B641" s="177" t="s">
        <v>905</v>
      </c>
    </row>
    <row r="642" spans="2:2">
      <c r="B642" s="177" t="s">
        <v>906</v>
      </c>
    </row>
    <row r="643" spans="2:2">
      <c r="B643" s="177" t="s">
        <v>907</v>
      </c>
    </row>
    <row r="644" spans="2:2">
      <c r="B644" s="177" t="s">
        <v>908</v>
      </c>
    </row>
    <row r="645" spans="2:2">
      <c r="B645" s="177" t="s">
        <v>909</v>
      </c>
    </row>
    <row r="646" spans="2:2">
      <c r="B646" s="177" t="s">
        <v>910</v>
      </c>
    </row>
    <row r="647" spans="2:2">
      <c r="B647" s="177" t="s">
        <v>911</v>
      </c>
    </row>
    <row r="648" spans="2:2">
      <c r="B648" s="177" t="s">
        <v>912</v>
      </c>
    </row>
    <row r="649" spans="2:2">
      <c r="B649" s="177" t="s">
        <v>913</v>
      </c>
    </row>
    <row r="650" spans="2:2">
      <c r="B650" s="177" t="s">
        <v>914</v>
      </c>
    </row>
    <row r="651" spans="2:2">
      <c r="B651" s="177" t="s">
        <v>915</v>
      </c>
    </row>
    <row r="652" spans="2:2">
      <c r="B652" s="177" t="s">
        <v>916</v>
      </c>
    </row>
    <row r="653" spans="2:2">
      <c r="B653" s="177" t="s">
        <v>917</v>
      </c>
    </row>
    <row r="654" spans="2:2">
      <c r="B654" s="177" t="s">
        <v>918</v>
      </c>
    </row>
    <row r="655" spans="2:2">
      <c r="B655" s="177" t="s">
        <v>919</v>
      </c>
    </row>
    <row r="656" spans="2:2">
      <c r="B656" s="177" t="s">
        <v>920</v>
      </c>
    </row>
    <row r="657" spans="2:2">
      <c r="B657" s="177" t="s">
        <v>921</v>
      </c>
    </row>
    <row r="658" spans="2:2">
      <c r="B658" s="177" t="s">
        <v>922</v>
      </c>
    </row>
    <row r="659" spans="2:2">
      <c r="B659" s="177" t="s">
        <v>923</v>
      </c>
    </row>
    <row r="660" spans="2:2">
      <c r="B660" s="177" t="s">
        <v>924</v>
      </c>
    </row>
    <row r="661" spans="2:2">
      <c r="B661" s="177" t="s">
        <v>925</v>
      </c>
    </row>
    <row r="662" spans="2:2">
      <c r="B662" s="177" t="s">
        <v>926</v>
      </c>
    </row>
    <row r="663" spans="2:2">
      <c r="B663" s="177" t="s">
        <v>927</v>
      </c>
    </row>
    <row r="664" spans="2:2">
      <c r="B664" s="177" t="s">
        <v>928</v>
      </c>
    </row>
    <row r="665" spans="2:2">
      <c r="B665" s="177" t="s">
        <v>929</v>
      </c>
    </row>
    <row r="666" spans="2:2">
      <c r="B666" s="177" t="s">
        <v>930</v>
      </c>
    </row>
    <row r="667" spans="2:2">
      <c r="B667" s="177" t="s">
        <v>931</v>
      </c>
    </row>
    <row r="668" spans="2:2">
      <c r="B668" s="177" t="s">
        <v>932</v>
      </c>
    </row>
    <row r="669" spans="2:2">
      <c r="B669" s="177" t="s">
        <v>933</v>
      </c>
    </row>
    <row r="670" spans="2:2">
      <c r="B670" s="177" t="s">
        <v>934</v>
      </c>
    </row>
    <row r="671" spans="2:2">
      <c r="B671" s="177" t="s">
        <v>935</v>
      </c>
    </row>
    <row r="672" spans="2:2">
      <c r="B672" s="177" t="s">
        <v>936</v>
      </c>
    </row>
    <row r="673" spans="2:2">
      <c r="B673" s="177" t="s">
        <v>937</v>
      </c>
    </row>
    <row r="674" spans="2:2">
      <c r="B674" s="177" t="s">
        <v>938</v>
      </c>
    </row>
    <row r="675" spans="2:2">
      <c r="B675" s="177" t="s">
        <v>939</v>
      </c>
    </row>
    <row r="676" spans="2:2">
      <c r="B676" s="177" t="s">
        <v>940</v>
      </c>
    </row>
    <row r="677" spans="2:2">
      <c r="B677" s="177" t="s">
        <v>941</v>
      </c>
    </row>
    <row r="678" spans="2:2">
      <c r="B678" s="177" t="s">
        <v>942</v>
      </c>
    </row>
    <row r="679" spans="2:2">
      <c r="B679" s="177" t="s">
        <v>943</v>
      </c>
    </row>
    <row r="680" spans="2:2">
      <c r="B680" s="177" t="s">
        <v>944</v>
      </c>
    </row>
    <row r="681" spans="2:2">
      <c r="B681" s="177" t="s">
        <v>945</v>
      </c>
    </row>
    <row r="682" spans="2:2">
      <c r="B682" s="177" t="s">
        <v>946</v>
      </c>
    </row>
    <row r="683" spans="2:2">
      <c r="B683" s="177" t="s">
        <v>947</v>
      </c>
    </row>
    <row r="684" spans="2:2">
      <c r="B684" s="177" t="s">
        <v>948</v>
      </c>
    </row>
    <row r="685" spans="2:2">
      <c r="B685" s="177" t="s">
        <v>949</v>
      </c>
    </row>
    <row r="686" spans="2:2">
      <c r="B686" s="177" t="s">
        <v>950</v>
      </c>
    </row>
    <row r="687" spans="2:2">
      <c r="B687" s="177" t="s">
        <v>951</v>
      </c>
    </row>
    <row r="688" spans="2:2">
      <c r="B688" s="177" t="s">
        <v>952</v>
      </c>
    </row>
    <row r="689" spans="2:2">
      <c r="B689" s="177" t="s">
        <v>953</v>
      </c>
    </row>
    <row r="690" spans="2:2">
      <c r="B690" s="177" t="s">
        <v>954</v>
      </c>
    </row>
    <row r="691" spans="2:2">
      <c r="B691" s="177" t="s">
        <v>955</v>
      </c>
    </row>
    <row r="692" spans="2:2">
      <c r="B692" s="177" t="s">
        <v>956</v>
      </c>
    </row>
    <row r="693" spans="2:2">
      <c r="B693" s="177" t="s">
        <v>957</v>
      </c>
    </row>
    <row r="694" spans="2:2">
      <c r="B694" s="177" t="s">
        <v>958</v>
      </c>
    </row>
    <row r="695" spans="2:2">
      <c r="B695" s="177" t="s">
        <v>959</v>
      </c>
    </row>
    <row r="696" spans="2:2">
      <c r="B696" s="177" t="s">
        <v>960</v>
      </c>
    </row>
    <row r="697" spans="2:2">
      <c r="B697" s="177" t="s">
        <v>961</v>
      </c>
    </row>
    <row r="698" spans="2:2">
      <c r="B698" s="177" t="s">
        <v>962</v>
      </c>
    </row>
    <row r="699" spans="2:2">
      <c r="B699" s="177" t="s">
        <v>963</v>
      </c>
    </row>
    <row r="700" spans="2:2">
      <c r="B700" s="177" t="s">
        <v>964</v>
      </c>
    </row>
    <row r="701" spans="2:2">
      <c r="B701" s="177" t="s">
        <v>965</v>
      </c>
    </row>
    <row r="702" spans="2:2">
      <c r="B702" s="177" t="s">
        <v>966</v>
      </c>
    </row>
    <row r="703" spans="2:2">
      <c r="B703" s="177" t="s">
        <v>967</v>
      </c>
    </row>
    <row r="704" spans="2:2">
      <c r="B704" s="177" t="s">
        <v>968</v>
      </c>
    </row>
    <row r="705" spans="2:2">
      <c r="B705" s="177" t="s">
        <v>969</v>
      </c>
    </row>
    <row r="706" spans="2:2">
      <c r="B706" s="177" t="s">
        <v>970</v>
      </c>
    </row>
    <row r="707" spans="2:2">
      <c r="B707" s="177" t="s">
        <v>971</v>
      </c>
    </row>
    <row r="708" spans="2:2">
      <c r="B708" s="177" t="s">
        <v>972</v>
      </c>
    </row>
    <row r="709" spans="2:2">
      <c r="B709" s="177" t="s">
        <v>973</v>
      </c>
    </row>
    <row r="710" spans="2:2">
      <c r="B710" s="177" t="s">
        <v>974</v>
      </c>
    </row>
    <row r="711" spans="2:2">
      <c r="B711" s="177" t="s">
        <v>975</v>
      </c>
    </row>
    <row r="712" spans="2:2">
      <c r="B712" s="177" t="s">
        <v>976</v>
      </c>
    </row>
    <row r="713" spans="2:2">
      <c r="B713" s="177" t="s">
        <v>977</v>
      </c>
    </row>
    <row r="714" spans="2:2">
      <c r="B714" s="177" t="s">
        <v>978</v>
      </c>
    </row>
    <row r="715" spans="2:2">
      <c r="B715" s="177" t="s">
        <v>979</v>
      </c>
    </row>
    <row r="716" spans="2:2">
      <c r="B716" s="177" t="s">
        <v>980</v>
      </c>
    </row>
    <row r="717" spans="2:2">
      <c r="B717" s="177" t="s">
        <v>981</v>
      </c>
    </row>
    <row r="718" spans="2:2">
      <c r="B718" s="177" t="s">
        <v>982</v>
      </c>
    </row>
    <row r="719" spans="2:2">
      <c r="B719" s="177" t="s">
        <v>983</v>
      </c>
    </row>
    <row r="720" spans="2:2">
      <c r="B720" s="177" t="s">
        <v>984</v>
      </c>
    </row>
    <row r="721" spans="2:2">
      <c r="B721" s="177" t="s">
        <v>985</v>
      </c>
    </row>
    <row r="722" spans="2:2">
      <c r="B722" s="177" t="s">
        <v>986</v>
      </c>
    </row>
    <row r="723" spans="2:2">
      <c r="B723" s="177" t="s">
        <v>987</v>
      </c>
    </row>
    <row r="724" spans="2:2">
      <c r="B724" s="177" t="s">
        <v>988</v>
      </c>
    </row>
    <row r="725" spans="2:2">
      <c r="B725" s="177" t="s">
        <v>989</v>
      </c>
    </row>
    <row r="726" spans="2:2">
      <c r="B726" s="177" t="s">
        <v>990</v>
      </c>
    </row>
    <row r="727" spans="2:2">
      <c r="B727" s="177" t="s">
        <v>991</v>
      </c>
    </row>
    <row r="728" spans="2:2">
      <c r="B728" s="177" t="s">
        <v>992</v>
      </c>
    </row>
    <row r="729" spans="2:2">
      <c r="B729" s="177" t="s">
        <v>993</v>
      </c>
    </row>
    <row r="730" spans="2:2">
      <c r="B730" s="177" t="s">
        <v>994</v>
      </c>
    </row>
    <row r="731" spans="2:2">
      <c r="B731" s="177" t="s">
        <v>995</v>
      </c>
    </row>
    <row r="732" spans="2:2">
      <c r="B732" s="177" t="s">
        <v>996</v>
      </c>
    </row>
    <row r="733" spans="2:2">
      <c r="B733" s="177" t="s">
        <v>997</v>
      </c>
    </row>
    <row r="734" spans="2:2">
      <c r="B734" s="177" t="s">
        <v>998</v>
      </c>
    </row>
    <row r="735" spans="2:2">
      <c r="B735" s="177" t="s">
        <v>999</v>
      </c>
    </row>
    <row r="736" spans="2:2">
      <c r="B736" s="177" t="s">
        <v>1000</v>
      </c>
    </row>
    <row r="737" spans="2:2">
      <c r="B737" s="177" t="s">
        <v>1001</v>
      </c>
    </row>
    <row r="738" spans="2:2">
      <c r="B738" s="177" t="s">
        <v>1002</v>
      </c>
    </row>
    <row r="739" spans="2:2">
      <c r="B739" s="177" t="s">
        <v>1003</v>
      </c>
    </row>
    <row r="740" spans="2:2">
      <c r="B740" s="177" t="s">
        <v>1004</v>
      </c>
    </row>
    <row r="741" spans="2:2">
      <c r="B741" s="177" t="s">
        <v>1005</v>
      </c>
    </row>
    <row r="742" spans="2:2">
      <c r="B742" s="177" t="s">
        <v>1006</v>
      </c>
    </row>
    <row r="743" spans="2:2">
      <c r="B743" s="177" t="s">
        <v>1007</v>
      </c>
    </row>
    <row r="744" spans="2:2">
      <c r="B744" s="177" t="s">
        <v>1008</v>
      </c>
    </row>
    <row r="745" spans="2:2">
      <c r="B745" s="177" t="s">
        <v>1009</v>
      </c>
    </row>
    <row r="746" spans="2:2">
      <c r="B746" s="177" t="s">
        <v>1010</v>
      </c>
    </row>
    <row r="747" spans="2:2">
      <c r="B747" s="177" t="s">
        <v>1011</v>
      </c>
    </row>
    <row r="748" spans="2:2">
      <c r="B748" s="177" t="s">
        <v>1012</v>
      </c>
    </row>
    <row r="749" spans="2:2">
      <c r="B749" s="177" t="s">
        <v>1013</v>
      </c>
    </row>
    <row r="750" spans="2:2">
      <c r="B750" s="177" t="s">
        <v>1014</v>
      </c>
    </row>
    <row r="751" spans="2:2">
      <c r="B751" s="177" t="s">
        <v>1015</v>
      </c>
    </row>
    <row r="752" spans="2:2">
      <c r="B752" s="177" t="s">
        <v>1016</v>
      </c>
    </row>
    <row r="753" spans="2:2">
      <c r="B753" s="177" t="s">
        <v>1017</v>
      </c>
    </row>
    <row r="754" spans="2:2">
      <c r="B754" s="177" t="s">
        <v>1018</v>
      </c>
    </row>
    <row r="755" spans="2:2">
      <c r="B755" s="177" t="s">
        <v>1019</v>
      </c>
    </row>
    <row r="756" spans="2:2">
      <c r="B756" s="177" t="s">
        <v>1020</v>
      </c>
    </row>
    <row r="757" spans="2:2">
      <c r="B757" s="177" t="s">
        <v>1021</v>
      </c>
    </row>
    <row r="758" spans="2:2">
      <c r="B758" s="177" t="s">
        <v>1022</v>
      </c>
    </row>
    <row r="759" spans="2:2">
      <c r="B759" s="177" t="s">
        <v>1023</v>
      </c>
    </row>
    <row r="760" spans="2:2">
      <c r="B760" s="177" t="s">
        <v>1024</v>
      </c>
    </row>
    <row r="761" spans="2:2">
      <c r="B761" s="177" t="s">
        <v>1025</v>
      </c>
    </row>
    <row r="762" spans="2:2">
      <c r="B762" s="177" t="s">
        <v>1026</v>
      </c>
    </row>
    <row r="763" spans="2:2">
      <c r="B763" s="177" t="s">
        <v>1027</v>
      </c>
    </row>
    <row r="764" spans="2:2">
      <c r="B764" s="177" t="s">
        <v>1028</v>
      </c>
    </row>
    <row r="765" spans="2:2">
      <c r="B765" s="177" t="s">
        <v>1029</v>
      </c>
    </row>
    <row r="766" spans="2:2">
      <c r="B766" s="177" t="s">
        <v>1030</v>
      </c>
    </row>
    <row r="767" spans="2:2">
      <c r="B767" s="177" t="s">
        <v>1031</v>
      </c>
    </row>
    <row r="768" spans="2:2">
      <c r="B768" s="177" t="s">
        <v>1032</v>
      </c>
    </row>
    <row r="769" spans="2:2">
      <c r="B769" s="177" t="s">
        <v>1033</v>
      </c>
    </row>
    <row r="770" spans="2:2">
      <c r="B770" s="177" t="s">
        <v>1034</v>
      </c>
    </row>
    <row r="771" spans="2:2">
      <c r="B771" s="177" t="s">
        <v>1035</v>
      </c>
    </row>
    <row r="772" spans="2:2">
      <c r="B772" s="177" t="s">
        <v>1036</v>
      </c>
    </row>
    <row r="773" spans="2:2">
      <c r="B773" s="177" t="s">
        <v>1037</v>
      </c>
    </row>
    <row r="774" spans="2:2">
      <c r="B774" s="177" t="s">
        <v>1038</v>
      </c>
    </row>
    <row r="775" spans="2:2">
      <c r="B775" s="177" t="s">
        <v>1039</v>
      </c>
    </row>
    <row r="776" spans="2:2">
      <c r="B776" s="177" t="s">
        <v>1040</v>
      </c>
    </row>
    <row r="777" spans="2:2">
      <c r="B777" s="177" t="s">
        <v>1041</v>
      </c>
    </row>
    <row r="778" spans="2:2">
      <c r="B778" s="177" t="s">
        <v>1042</v>
      </c>
    </row>
    <row r="779" spans="2:2">
      <c r="B779" s="177" t="s">
        <v>1043</v>
      </c>
    </row>
    <row r="780" spans="2:2">
      <c r="B780" s="177" t="s">
        <v>1044</v>
      </c>
    </row>
    <row r="781" spans="2:2">
      <c r="B781" s="177" t="s">
        <v>1045</v>
      </c>
    </row>
    <row r="782" spans="2:2">
      <c r="B782" s="177" t="s">
        <v>1046</v>
      </c>
    </row>
    <row r="783" spans="2:2">
      <c r="B783" s="177" t="s">
        <v>1047</v>
      </c>
    </row>
    <row r="784" spans="2:2">
      <c r="B784" s="177" t="s">
        <v>1048</v>
      </c>
    </row>
    <row r="785" spans="2:2">
      <c r="B785" s="177" t="s">
        <v>1049</v>
      </c>
    </row>
    <row r="786" spans="2:2">
      <c r="B786" s="177" t="s">
        <v>1050</v>
      </c>
    </row>
    <row r="787" spans="2:2">
      <c r="B787" s="177" t="s">
        <v>1051</v>
      </c>
    </row>
    <row r="788" spans="2:2">
      <c r="B788" s="177" t="s">
        <v>1052</v>
      </c>
    </row>
    <row r="789" spans="2:2">
      <c r="B789" s="177" t="s">
        <v>1053</v>
      </c>
    </row>
    <row r="790" spans="2:2">
      <c r="B790" s="177" t="s">
        <v>1054</v>
      </c>
    </row>
    <row r="791" spans="2:2">
      <c r="B791" s="177" t="s">
        <v>1055</v>
      </c>
    </row>
    <row r="792" spans="2:2">
      <c r="B792" s="177" t="s">
        <v>1056</v>
      </c>
    </row>
    <row r="793" spans="2:2">
      <c r="B793" s="177" t="s">
        <v>1057</v>
      </c>
    </row>
    <row r="794" spans="2:2">
      <c r="B794" s="177" t="s">
        <v>1058</v>
      </c>
    </row>
    <row r="795" spans="2:2">
      <c r="B795" s="177" t="s">
        <v>1059</v>
      </c>
    </row>
    <row r="796" spans="2:2">
      <c r="B796" s="177" t="s">
        <v>1060</v>
      </c>
    </row>
    <row r="797" spans="2:2">
      <c r="B797" s="177" t="s">
        <v>1061</v>
      </c>
    </row>
    <row r="798" spans="2:2">
      <c r="B798" s="177" t="s">
        <v>1062</v>
      </c>
    </row>
    <row r="799" spans="2:2">
      <c r="B799" s="177" t="s">
        <v>1063</v>
      </c>
    </row>
    <row r="800" spans="2:2">
      <c r="B800" s="177" t="s">
        <v>1064</v>
      </c>
    </row>
    <row r="801" spans="2:2">
      <c r="B801" s="177" t="s">
        <v>1065</v>
      </c>
    </row>
    <row r="802" spans="2:2">
      <c r="B802" s="177" t="s">
        <v>1066</v>
      </c>
    </row>
    <row r="803" spans="2:2">
      <c r="B803" s="177" t="s">
        <v>1067</v>
      </c>
    </row>
    <row r="804" spans="2:2">
      <c r="B804" s="177" t="s">
        <v>1068</v>
      </c>
    </row>
    <row r="805" spans="2:2">
      <c r="B805" s="177" t="s">
        <v>1069</v>
      </c>
    </row>
    <row r="806" spans="2:2">
      <c r="B806" s="177" t="s">
        <v>1070</v>
      </c>
    </row>
    <row r="807" spans="2:2">
      <c r="B807" s="177" t="s">
        <v>1071</v>
      </c>
    </row>
    <row r="808" spans="2:2">
      <c r="B808" s="177" t="s">
        <v>1072</v>
      </c>
    </row>
    <row r="809" spans="2:2">
      <c r="B809" s="177" t="s">
        <v>1073</v>
      </c>
    </row>
    <row r="810" spans="2:2">
      <c r="B810" s="177" t="s">
        <v>1074</v>
      </c>
    </row>
    <row r="811" spans="2:2">
      <c r="B811" s="177" t="s">
        <v>1075</v>
      </c>
    </row>
    <row r="812" spans="2:2">
      <c r="B812" s="177" t="s">
        <v>1076</v>
      </c>
    </row>
    <row r="813" spans="2:2">
      <c r="B813" s="177" t="s">
        <v>1077</v>
      </c>
    </row>
    <row r="814" spans="2:2">
      <c r="B814" s="177" t="s">
        <v>1078</v>
      </c>
    </row>
    <row r="815" spans="2:2">
      <c r="B815" s="177" t="s">
        <v>1079</v>
      </c>
    </row>
    <row r="816" spans="2:2">
      <c r="B816" s="177" t="s">
        <v>1080</v>
      </c>
    </row>
    <row r="817" spans="2:2">
      <c r="B817" s="177" t="s">
        <v>1081</v>
      </c>
    </row>
    <row r="818" spans="2:2">
      <c r="B818" s="177" t="s">
        <v>1082</v>
      </c>
    </row>
    <row r="819" spans="2:2">
      <c r="B819" s="177" t="s">
        <v>1083</v>
      </c>
    </row>
    <row r="820" spans="2:2">
      <c r="B820" s="177" t="s">
        <v>1084</v>
      </c>
    </row>
    <row r="821" spans="2:2">
      <c r="B821" s="177" t="s">
        <v>1085</v>
      </c>
    </row>
    <row r="822" spans="2:2">
      <c r="B822" s="177" t="s">
        <v>1086</v>
      </c>
    </row>
    <row r="823" spans="2:2">
      <c r="B823" s="177" t="s">
        <v>1087</v>
      </c>
    </row>
    <row r="824" spans="2:2">
      <c r="B824" s="177" t="s">
        <v>1088</v>
      </c>
    </row>
    <row r="825" spans="2:2">
      <c r="B825" s="177" t="s">
        <v>1089</v>
      </c>
    </row>
    <row r="826" spans="2:2">
      <c r="B826" s="177" t="s">
        <v>1090</v>
      </c>
    </row>
    <row r="827" spans="2:2">
      <c r="B827" s="177" t="s">
        <v>1091</v>
      </c>
    </row>
    <row r="828" spans="2:2">
      <c r="B828" s="177" t="s">
        <v>1092</v>
      </c>
    </row>
    <row r="829" spans="2:2">
      <c r="B829" s="177" t="s">
        <v>1093</v>
      </c>
    </row>
    <row r="830" spans="2:2">
      <c r="B830" s="177" t="s">
        <v>1094</v>
      </c>
    </row>
    <row r="831" spans="2:2">
      <c r="B831" s="177" t="s">
        <v>1095</v>
      </c>
    </row>
    <row r="832" spans="2:2">
      <c r="B832" s="177" t="s">
        <v>1096</v>
      </c>
    </row>
    <row r="833" spans="2:2">
      <c r="B833" s="177" t="s">
        <v>1097</v>
      </c>
    </row>
    <row r="834" spans="2:2">
      <c r="B834" s="177" t="s">
        <v>1098</v>
      </c>
    </row>
    <row r="835" spans="2:2">
      <c r="B835" s="177" t="s">
        <v>1099</v>
      </c>
    </row>
    <row r="836" spans="2:2">
      <c r="B836" s="177" t="s">
        <v>1100</v>
      </c>
    </row>
    <row r="837" spans="2:2">
      <c r="B837" s="177" t="s">
        <v>1101</v>
      </c>
    </row>
    <row r="838" spans="2:2">
      <c r="B838" s="177" t="s">
        <v>1102</v>
      </c>
    </row>
    <row r="839" spans="2:2">
      <c r="B839" s="177" t="s">
        <v>1103</v>
      </c>
    </row>
    <row r="840" spans="2:2">
      <c r="B840" s="177" t="s">
        <v>1104</v>
      </c>
    </row>
    <row r="841" spans="2:2">
      <c r="B841" s="177" t="s">
        <v>1105</v>
      </c>
    </row>
    <row r="842" spans="2:2">
      <c r="B842" s="177" t="s">
        <v>1106</v>
      </c>
    </row>
    <row r="843" spans="2:2">
      <c r="B843" s="177" t="s">
        <v>1107</v>
      </c>
    </row>
    <row r="844" spans="2:2">
      <c r="B844" s="177" t="s">
        <v>1108</v>
      </c>
    </row>
    <row r="845" spans="2:2">
      <c r="B845" s="177" t="s">
        <v>1109</v>
      </c>
    </row>
    <row r="846" spans="2:2">
      <c r="B846" s="177" t="s">
        <v>1110</v>
      </c>
    </row>
    <row r="847" spans="2:2">
      <c r="B847" s="177" t="s">
        <v>1111</v>
      </c>
    </row>
    <row r="848" spans="2:2">
      <c r="B848" s="177" t="s">
        <v>1112</v>
      </c>
    </row>
    <row r="849" spans="2:2">
      <c r="B849" s="177" t="s">
        <v>1113</v>
      </c>
    </row>
    <row r="850" spans="2:2">
      <c r="B850" s="177" t="s">
        <v>1114</v>
      </c>
    </row>
    <row r="851" spans="2:2">
      <c r="B851" s="177" t="s">
        <v>1115</v>
      </c>
    </row>
    <row r="852" spans="2:2">
      <c r="B852" s="177" t="s">
        <v>1116</v>
      </c>
    </row>
    <row r="853" spans="2:2">
      <c r="B853" s="177" t="s">
        <v>1117</v>
      </c>
    </row>
    <row r="854" spans="2:2">
      <c r="B854" s="177" t="s">
        <v>1118</v>
      </c>
    </row>
    <row r="855" spans="2:2">
      <c r="B855" s="177" t="s">
        <v>1119</v>
      </c>
    </row>
    <row r="856" spans="2:2">
      <c r="B856" s="177" t="s">
        <v>1120</v>
      </c>
    </row>
    <row r="857" spans="2:2">
      <c r="B857" s="177" t="s">
        <v>1121</v>
      </c>
    </row>
    <row r="858" spans="2:2">
      <c r="B858" s="177" t="s">
        <v>1122</v>
      </c>
    </row>
    <row r="859" spans="2:2">
      <c r="B859" s="177" t="s">
        <v>1123</v>
      </c>
    </row>
    <row r="860" spans="2:2">
      <c r="B860" s="177" t="s">
        <v>1124</v>
      </c>
    </row>
    <row r="861" spans="2:2">
      <c r="B861" s="177" t="s">
        <v>1125</v>
      </c>
    </row>
    <row r="862" spans="2:2">
      <c r="B862" s="177" t="s">
        <v>1126</v>
      </c>
    </row>
    <row r="863" spans="2:2">
      <c r="B863" s="177" t="s">
        <v>1127</v>
      </c>
    </row>
    <row r="864" spans="2:2">
      <c r="B864" s="177" t="s">
        <v>1128</v>
      </c>
    </row>
    <row r="865" spans="2:2">
      <c r="B865" s="177" t="s">
        <v>1129</v>
      </c>
    </row>
    <row r="866" spans="2:2">
      <c r="B866" s="177" t="s">
        <v>1130</v>
      </c>
    </row>
    <row r="867" spans="2:2">
      <c r="B867" s="177" t="s">
        <v>1131</v>
      </c>
    </row>
    <row r="868" spans="2:2">
      <c r="B868" s="177" t="s">
        <v>1132</v>
      </c>
    </row>
    <row r="869" spans="2:2">
      <c r="B869" s="177" t="s">
        <v>1133</v>
      </c>
    </row>
    <row r="870" spans="2:2">
      <c r="B870" s="177" t="s">
        <v>1134</v>
      </c>
    </row>
    <row r="871" spans="2:2">
      <c r="B871" s="177" t="s">
        <v>1135</v>
      </c>
    </row>
    <row r="872" spans="2:2">
      <c r="B872" s="177" t="s">
        <v>1136</v>
      </c>
    </row>
    <row r="873" spans="2:2">
      <c r="B873" s="177" t="s">
        <v>1137</v>
      </c>
    </row>
    <row r="874" spans="2:2">
      <c r="B874" s="177" t="s">
        <v>1138</v>
      </c>
    </row>
    <row r="875" spans="2:2">
      <c r="B875" s="177" t="s">
        <v>1139</v>
      </c>
    </row>
    <row r="876" spans="2:2">
      <c r="B876" s="177" t="s">
        <v>1140</v>
      </c>
    </row>
    <row r="877" spans="2:2">
      <c r="B877" s="177" t="s">
        <v>1141</v>
      </c>
    </row>
    <row r="878" spans="2:2">
      <c r="B878" s="177" t="s">
        <v>1142</v>
      </c>
    </row>
    <row r="879" spans="2:2">
      <c r="B879" s="177" t="s">
        <v>1143</v>
      </c>
    </row>
    <row r="880" spans="2:2">
      <c r="B880" s="177" t="s">
        <v>1144</v>
      </c>
    </row>
    <row r="881" spans="2:2">
      <c r="B881" s="177" t="s">
        <v>1145</v>
      </c>
    </row>
    <row r="882" spans="2:2">
      <c r="B882" s="177" t="s">
        <v>1146</v>
      </c>
    </row>
    <row r="883" spans="2:2">
      <c r="B883" s="177" t="s">
        <v>1147</v>
      </c>
    </row>
    <row r="884" spans="2:2">
      <c r="B884" s="177" t="s">
        <v>1148</v>
      </c>
    </row>
    <row r="885" spans="2:2">
      <c r="B885" s="177" t="s">
        <v>1149</v>
      </c>
    </row>
    <row r="886" spans="2:2">
      <c r="B886" s="177" t="s">
        <v>1150</v>
      </c>
    </row>
    <row r="887" spans="2:2">
      <c r="B887" s="177" t="s">
        <v>1151</v>
      </c>
    </row>
    <row r="888" spans="2:2">
      <c r="B888" s="177" t="s">
        <v>1152</v>
      </c>
    </row>
    <row r="889" spans="2:2">
      <c r="B889" s="177" t="s">
        <v>1153</v>
      </c>
    </row>
    <row r="890" spans="2:2">
      <c r="B890" s="177" t="s">
        <v>1154</v>
      </c>
    </row>
    <row r="891" spans="2:2">
      <c r="B891" s="177" t="s">
        <v>1155</v>
      </c>
    </row>
    <row r="892" spans="2:2">
      <c r="B892" s="177" t="s">
        <v>1156</v>
      </c>
    </row>
    <row r="893" spans="2:2">
      <c r="B893" s="177" t="s">
        <v>1157</v>
      </c>
    </row>
    <row r="894" spans="2:2">
      <c r="B894" s="177" t="s">
        <v>1158</v>
      </c>
    </row>
    <row r="895" spans="2:2">
      <c r="B895" s="177" t="s">
        <v>1159</v>
      </c>
    </row>
    <row r="896" spans="2:2">
      <c r="B896" s="177" t="s">
        <v>1160</v>
      </c>
    </row>
    <row r="897" spans="2:2">
      <c r="B897" s="177" t="s">
        <v>1161</v>
      </c>
    </row>
    <row r="898" spans="2:2">
      <c r="B898" s="177" t="s">
        <v>1162</v>
      </c>
    </row>
    <row r="899" spans="2:2">
      <c r="B899" s="177" t="s">
        <v>1163</v>
      </c>
    </row>
    <row r="900" spans="2:2">
      <c r="B900" s="177" t="s">
        <v>1164</v>
      </c>
    </row>
    <row r="901" spans="2:2">
      <c r="B901" s="177" t="s">
        <v>1165</v>
      </c>
    </row>
    <row r="902" spans="2:2">
      <c r="B902" s="177" t="s">
        <v>1166</v>
      </c>
    </row>
    <row r="903" spans="2:2">
      <c r="B903" s="177" t="s">
        <v>1167</v>
      </c>
    </row>
    <row r="904" spans="2:2">
      <c r="B904" s="177" t="s">
        <v>1168</v>
      </c>
    </row>
    <row r="905" spans="2:2">
      <c r="B905" s="177" t="s">
        <v>1169</v>
      </c>
    </row>
    <row r="906" spans="2:2">
      <c r="B906" s="177" t="s">
        <v>1170</v>
      </c>
    </row>
    <row r="907" spans="2:2">
      <c r="B907" s="177" t="s">
        <v>1171</v>
      </c>
    </row>
    <row r="908" spans="2:2">
      <c r="B908" s="177" t="s">
        <v>1172</v>
      </c>
    </row>
    <row r="909" spans="2:2">
      <c r="B909" s="177" t="s">
        <v>1173</v>
      </c>
    </row>
    <row r="910" spans="2:2">
      <c r="B910" s="177" t="s">
        <v>1174</v>
      </c>
    </row>
    <row r="911" spans="2:2">
      <c r="B911" s="177" t="s">
        <v>1175</v>
      </c>
    </row>
    <row r="912" spans="2:2">
      <c r="B912" s="177" t="s">
        <v>1176</v>
      </c>
    </row>
    <row r="913" spans="2:2">
      <c r="B913" s="177" t="s">
        <v>1177</v>
      </c>
    </row>
    <row r="914" spans="2:2">
      <c r="B914" s="177" t="s">
        <v>1178</v>
      </c>
    </row>
    <row r="915" spans="2:2">
      <c r="B915" s="177" t="s">
        <v>1179</v>
      </c>
    </row>
    <row r="916" spans="2:2">
      <c r="B916" s="177" t="s">
        <v>1180</v>
      </c>
    </row>
    <row r="917" spans="2:2">
      <c r="B917" s="177" t="s">
        <v>1181</v>
      </c>
    </row>
    <row r="918" spans="2:2">
      <c r="B918" s="177" t="s">
        <v>1182</v>
      </c>
    </row>
    <row r="919" spans="2:2">
      <c r="B919" s="177" t="s">
        <v>1183</v>
      </c>
    </row>
    <row r="920" spans="2:2">
      <c r="B920" s="177" t="s">
        <v>1184</v>
      </c>
    </row>
    <row r="921" spans="2:2">
      <c r="B921" s="177" t="s">
        <v>1185</v>
      </c>
    </row>
    <row r="922" spans="2:2">
      <c r="B922" s="177" t="s">
        <v>1186</v>
      </c>
    </row>
    <row r="923" spans="2:2">
      <c r="B923" s="177" t="s">
        <v>1187</v>
      </c>
    </row>
    <row r="924" spans="2:2">
      <c r="B924" s="177" t="s">
        <v>1188</v>
      </c>
    </row>
    <row r="925" spans="2:2">
      <c r="B925" s="177" t="s">
        <v>1189</v>
      </c>
    </row>
    <row r="926" spans="2:2">
      <c r="B926" s="177" t="s">
        <v>1190</v>
      </c>
    </row>
    <row r="927" spans="2:2">
      <c r="B927" s="177" t="s">
        <v>1191</v>
      </c>
    </row>
    <row r="928" spans="2:2">
      <c r="B928" s="177" t="s">
        <v>1192</v>
      </c>
    </row>
    <row r="929" spans="2:2">
      <c r="B929" s="177" t="s">
        <v>1193</v>
      </c>
    </row>
    <row r="930" spans="2:2">
      <c r="B930" s="177" t="s">
        <v>1194</v>
      </c>
    </row>
    <row r="931" spans="2:2">
      <c r="B931" s="177" t="s">
        <v>1195</v>
      </c>
    </row>
    <row r="932" spans="2:2">
      <c r="B932" s="177" t="s">
        <v>1196</v>
      </c>
    </row>
    <row r="933" spans="2:2">
      <c r="B933" s="177" t="s">
        <v>1197</v>
      </c>
    </row>
    <row r="934" spans="2:2">
      <c r="B934" s="177" t="s">
        <v>1198</v>
      </c>
    </row>
    <row r="935" spans="2:2">
      <c r="B935" s="177" t="s">
        <v>1199</v>
      </c>
    </row>
    <row r="936" spans="2:2">
      <c r="B936" s="177" t="s">
        <v>1200</v>
      </c>
    </row>
    <row r="937" spans="2:2">
      <c r="B937" s="177" t="s">
        <v>1201</v>
      </c>
    </row>
    <row r="938" spans="2:2">
      <c r="B938" s="177" t="s">
        <v>1202</v>
      </c>
    </row>
    <row r="939" spans="2:2">
      <c r="B939" s="177" t="s">
        <v>1203</v>
      </c>
    </row>
    <row r="940" spans="2:2">
      <c r="B940" s="177" t="s">
        <v>1204</v>
      </c>
    </row>
    <row r="941" spans="2:2">
      <c r="B941" s="177" t="s">
        <v>1205</v>
      </c>
    </row>
    <row r="942" spans="2:2">
      <c r="B942" s="177" t="s">
        <v>1206</v>
      </c>
    </row>
    <row r="943" spans="2:2">
      <c r="B943" s="177" t="s">
        <v>1207</v>
      </c>
    </row>
    <row r="944" spans="2:2">
      <c r="B944" s="177" t="s">
        <v>1208</v>
      </c>
    </row>
    <row r="945" spans="2:2">
      <c r="B945" s="177" t="s">
        <v>1209</v>
      </c>
    </row>
    <row r="946" spans="2:2">
      <c r="B946" s="177" t="s">
        <v>1210</v>
      </c>
    </row>
    <row r="947" spans="2:2">
      <c r="B947" s="177" t="s">
        <v>1211</v>
      </c>
    </row>
    <row r="948" spans="2:2">
      <c r="B948" s="177" t="s">
        <v>1212</v>
      </c>
    </row>
    <row r="949" spans="2:2">
      <c r="B949" s="177" t="s">
        <v>1213</v>
      </c>
    </row>
    <row r="950" spans="2:2">
      <c r="B950" s="177" t="s">
        <v>1214</v>
      </c>
    </row>
    <row r="951" spans="2:2">
      <c r="B951" s="177" t="s">
        <v>1215</v>
      </c>
    </row>
    <row r="952" spans="2:2">
      <c r="B952" s="177" t="s">
        <v>1216</v>
      </c>
    </row>
    <row r="953" spans="2:2">
      <c r="B953" s="177" t="s">
        <v>1217</v>
      </c>
    </row>
    <row r="954" spans="2:2">
      <c r="B954" s="177" t="s">
        <v>1218</v>
      </c>
    </row>
    <row r="955" spans="2:2">
      <c r="B955" s="177" t="s">
        <v>1219</v>
      </c>
    </row>
    <row r="956" spans="2:2">
      <c r="B956" s="177" t="s">
        <v>1220</v>
      </c>
    </row>
    <row r="957" spans="2:2">
      <c r="B957" s="177" t="s">
        <v>1221</v>
      </c>
    </row>
    <row r="958" spans="2:2">
      <c r="B958" s="177" t="s">
        <v>1222</v>
      </c>
    </row>
    <row r="959" spans="2:2">
      <c r="B959" s="177" t="s">
        <v>1223</v>
      </c>
    </row>
    <row r="960" spans="2:2">
      <c r="B960" s="177" t="s">
        <v>1224</v>
      </c>
    </row>
    <row r="961" spans="2:2">
      <c r="B961" s="177" t="s">
        <v>1225</v>
      </c>
    </row>
    <row r="962" spans="2:2">
      <c r="B962" s="177" t="s">
        <v>1226</v>
      </c>
    </row>
    <row r="963" spans="2:2">
      <c r="B963" s="177" t="s">
        <v>1227</v>
      </c>
    </row>
    <row r="964" spans="2:2">
      <c r="B964" s="177" t="s">
        <v>1228</v>
      </c>
    </row>
    <row r="965" spans="2:2">
      <c r="B965" s="177" t="s">
        <v>1229</v>
      </c>
    </row>
    <row r="966" spans="2:2">
      <c r="B966" s="177" t="s">
        <v>1230</v>
      </c>
    </row>
    <row r="967" spans="2:2">
      <c r="B967" s="177" t="s">
        <v>1231</v>
      </c>
    </row>
    <row r="968" spans="2:2">
      <c r="B968" s="177" t="s">
        <v>1232</v>
      </c>
    </row>
    <row r="969" spans="2:2">
      <c r="B969" s="177" t="s">
        <v>1233</v>
      </c>
    </row>
    <row r="970" spans="2:2">
      <c r="B970" s="177" t="s">
        <v>1234</v>
      </c>
    </row>
    <row r="971" spans="2:2">
      <c r="B971" s="177" t="s">
        <v>1235</v>
      </c>
    </row>
    <row r="972" spans="2:2">
      <c r="B972" s="177" t="s">
        <v>1236</v>
      </c>
    </row>
    <row r="973" spans="2:2">
      <c r="B973" s="177" t="s">
        <v>1237</v>
      </c>
    </row>
    <row r="974" spans="2:2">
      <c r="B974" s="177" t="s">
        <v>1238</v>
      </c>
    </row>
    <row r="975" spans="2:2">
      <c r="B975" s="177" t="s">
        <v>1239</v>
      </c>
    </row>
    <row r="976" spans="2:2">
      <c r="B976" s="177" t="s">
        <v>1240</v>
      </c>
    </row>
    <row r="977" spans="2:2">
      <c r="B977" s="177" t="s">
        <v>1241</v>
      </c>
    </row>
    <row r="978" spans="2:2">
      <c r="B978" s="177" t="s">
        <v>1242</v>
      </c>
    </row>
    <row r="979" spans="2:2">
      <c r="B979" s="177" t="s">
        <v>1243</v>
      </c>
    </row>
    <row r="980" spans="2:2">
      <c r="B980" s="177" t="s">
        <v>1244</v>
      </c>
    </row>
    <row r="981" spans="2:2">
      <c r="B981" s="177" t="s">
        <v>1245</v>
      </c>
    </row>
    <row r="982" spans="2:2">
      <c r="B982" s="177" t="s">
        <v>1246</v>
      </c>
    </row>
    <row r="983" spans="2:2">
      <c r="B983" s="177" t="s">
        <v>1247</v>
      </c>
    </row>
    <row r="984" spans="2:2">
      <c r="B984" s="177" t="s">
        <v>1248</v>
      </c>
    </row>
    <row r="985" spans="2:2">
      <c r="B985" s="177" t="s">
        <v>1249</v>
      </c>
    </row>
    <row r="986" spans="2:2">
      <c r="B986" s="177" t="s">
        <v>1250</v>
      </c>
    </row>
    <row r="987" spans="2:2">
      <c r="B987" s="177" t="s">
        <v>1251</v>
      </c>
    </row>
    <row r="988" spans="2:2">
      <c r="B988" s="177" t="s">
        <v>1252</v>
      </c>
    </row>
    <row r="989" spans="2:2">
      <c r="B989" s="177" t="s">
        <v>1253</v>
      </c>
    </row>
    <row r="990" spans="2:2">
      <c r="B990" s="177" t="s">
        <v>1254</v>
      </c>
    </row>
    <row r="991" spans="2:2">
      <c r="B991" s="177" t="s">
        <v>1255</v>
      </c>
    </row>
    <row r="992" spans="2:2">
      <c r="B992" s="177" t="s">
        <v>1256</v>
      </c>
    </row>
    <row r="993" spans="2:2">
      <c r="B993" s="177" t="s">
        <v>1257</v>
      </c>
    </row>
    <row r="994" spans="2:2">
      <c r="B994" s="177" t="s">
        <v>1258</v>
      </c>
    </row>
    <row r="995" spans="2:2">
      <c r="B995" s="177" t="s">
        <v>1259</v>
      </c>
    </row>
    <row r="996" spans="2:2">
      <c r="B996" s="177" t="s">
        <v>1260</v>
      </c>
    </row>
    <row r="997" spans="2:2">
      <c r="B997" s="177" t="s">
        <v>1261</v>
      </c>
    </row>
    <row r="998" spans="2:2">
      <c r="B998" s="177" t="s">
        <v>1262</v>
      </c>
    </row>
    <row r="999" spans="2:2">
      <c r="B999" s="177" t="s">
        <v>1263</v>
      </c>
    </row>
    <row r="1000" spans="2:2">
      <c r="B1000" s="177" t="s">
        <v>1264</v>
      </c>
    </row>
    <row r="1001" spans="2:2">
      <c r="B1001" s="177" t="s">
        <v>1265</v>
      </c>
    </row>
    <row r="1002" spans="2:2">
      <c r="B1002" s="177" t="s">
        <v>1266</v>
      </c>
    </row>
    <row r="1003" spans="2:2">
      <c r="B1003" s="177" t="s">
        <v>1267</v>
      </c>
    </row>
    <row r="1004" spans="2:2">
      <c r="B1004" s="177" t="s">
        <v>1268</v>
      </c>
    </row>
    <row r="1005" spans="2:2">
      <c r="B1005" s="177" t="s">
        <v>1269</v>
      </c>
    </row>
    <row r="1006" spans="2:2">
      <c r="B1006" s="177" t="s">
        <v>1270</v>
      </c>
    </row>
    <row r="1007" spans="2:2">
      <c r="B1007" s="177" t="s">
        <v>1271</v>
      </c>
    </row>
    <row r="1008" spans="2:2">
      <c r="B1008" s="177" t="s">
        <v>1272</v>
      </c>
    </row>
    <row r="1009" spans="2:2">
      <c r="B1009" s="177" t="s">
        <v>1273</v>
      </c>
    </row>
    <row r="1010" spans="2:2">
      <c r="B1010" s="177" t="s">
        <v>1274</v>
      </c>
    </row>
    <row r="1011" spans="2:2">
      <c r="B1011" s="177" t="s">
        <v>1275</v>
      </c>
    </row>
    <row r="1012" spans="2:2">
      <c r="B1012" s="177" t="s">
        <v>1276</v>
      </c>
    </row>
    <row r="1013" spans="2:2">
      <c r="B1013" s="177" t="s">
        <v>1277</v>
      </c>
    </row>
    <row r="1014" spans="2:2">
      <c r="B1014" s="177" t="s">
        <v>1278</v>
      </c>
    </row>
    <row r="1015" spans="2:2">
      <c r="B1015" s="177" t="s">
        <v>1279</v>
      </c>
    </row>
    <row r="1016" spans="2:2">
      <c r="B1016" s="177" t="s">
        <v>1280</v>
      </c>
    </row>
    <row r="1017" spans="2:2">
      <c r="B1017" s="177" t="s">
        <v>1281</v>
      </c>
    </row>
    <row r="1018" spans="2:2">
      <c r="B1018" s="177" t="s">
        <v>1282</v>
      </c>
    </row>
    <row r="1019" spans="2:2">
      <c r="B1019" s="177" t="s">
        <v>1283</v>
      </c>
    </row>
    <row r="1020" spans="2:2">
      <c r="B1020" s="177" t="s">
        <v>1284</v>
      </c>
    </row>
    <row r="1021" spans="2:2">
      <c r="B1021" s="177" t="s">
        <v>1285</v>
      </c>
    </row>
    <row r="1022" spans="2:2">
      <c r="B1022" s="177" t="s">
        <v>1286</v>
      </c>
    </row>
    <row r="1023" spans="2:2">
      <c r="B1023" s="177" t="s">
        <v>1287</v>
      </c>
    </row>
    <row r="1024" spans="2:2">
      <c r="B1024" s="177" t="s">
        <v>1288</v>
      </c>
    </row>
    <row r="1025" spans="2:2">
      <c r="B1025" s="177" t="s">
        <v>1289</v>
      </c>
    </row>
    <row r="1026" spans="2:2">
      <c r="B1026" s="177" t="s">
        <v>1290</v>
      </c>
    </row>
    <row r="1027" spans="2:2">
      <c r="B1027" s="177" t="s">
        <v>1291</v>
      </c>
    </row>
    <row r="1028" spans="2:2">
      <c r="B1028" s="177" t="s">
        <v>1292</v>
      </c>
    </row>
    <row r="1029" spans="2:2">
      <c r="B1029" s="177" t="s">
        <v>1293</v>
      </c>
    </row>
    <row r="1030" spans="2:2">
      <c r="B1030" s="177" t="s">
        <v>1294</v>
      </c>
    </row>
    <row r="1031" spans="2:2">
      <c r="B1031" s="177" t="s">
        <v>1295</v>
      </c>
    </row>
    <row r="1032" spans="2:2">
      <c r="B1032" s="177" t="s">
        <v>1296</v>
      </c>
    </row>
    <row r="1033" spans="2:2">
      <c r="B1033" s="177" t="s">
        <v>1297</v>
      </c>
    </row>
    <row r="1034" spans="2:2">
      <c r="B1034" s="177" t="s">
        <v>1298</v>
      </c>
    </row>
    <row r="1035" spans="2:2">
      <c r="B1035" s="177" t="s">
        <v>1299</v>
      </c>
    </row>
    <row r="1036" spans="2:2">
      <c r="B1036" s="177" t="s">
        <v>1300</v>
      </c>
    </row>
    <row r="1037" spans="2:2">
      <c r="B1037" s="177" t="s">
        <v>1301</v>
      </c>
    </row>
    <row r="1038" spans="2:2">
      <c r="B1038" s="177" t="s">
        <v>1302</v>
      </c>
    </row>
    <row r="1039" spans="2:2">
      <c r="B1039" s="177" t="s">
        <v>1303</v>
      </c>
    </row>
    <row r="1040" spans="2:2">
      <c r="B1040" s="177" t="s">
        <v>1304</v>
      </c>
    </row>
    <row r="1041" spans="2:2">
      <c r="B1041" s="177" t="s">
        <v>1305</v>
      </c>
    </row>
    <row r="1042" spans="2:2">
      <c r="B1042" s="177" t="s">
        <v>1306</v>
      </c>
    </row>
    <row r="1043" spans="2:2">
      <c r="B1043" s="177" t="s">
        <v>1307</v>
      </c>
    </row>
    <row r="1044" spans="2:2">
      <c r="B1044" s="177" t="s">
        <v>1308</v>
      </c>
    </row>
    <row r="1045" spans="2:2">
      <c r="B1045" s="177" t="s">
        <v>1309</v>
      </c>
    </row>
    <row r="1046" spans="2:2">
      <c r="B1046" s="177" t="s">
        <v>1310</v>
      </c>
    </row>
    <row r="1047" spans="2:2">
      <c r="B1047" s="177" t="s">
        <v>1311</v>
      </c>
    </row>
    <row r="1048" spans="2:2">
      <c r="B1048" s="177" t="s">
        <v>1312</v>
      </c>
    </row>
    <row r="1049" spans="2:2">
      <c r="B1049" s="177" t="s">
        <v>1313</v>
      </c>
    </row>
    <row r="1050" spans="2:2">
      <c r="B1050" s="177" t="s">
        <v>1314</v>
      </c>
    </row>
    <row r="1051" spans="2:2">
      <c r="B1051" s="177" t="s">
        <v>1315</v>
      </c>
    </row>
    <row r="1052" spans="2:2">
      <c r="B1052" s="177" t="s">
        <v>1316</v>
      </c>
    </row>
    <row r="1053" spans="2:2">
      <c r="B1053" s="177" t="s">
        <v>1317</v>
      </c>
    </row>
    <row r="1054" spans="2:2">
      <c r="B1054" s="177" t="s">
        <v>1318</v>
      </c>
    </row>
    <row r="1055" spans="2:2">
      <c r="B1055" s="177" t="s">
        <v>1319</v>
      </c>
    </row>
    <row r="1056" spans="2:2">
      <c r="B1056" s="177" t="s">
        <v>1320</v>
      </c>
    </row>
    <row r="1057" spans="2:2">
      <c r="B1057" s="177" t="s">
        <v>1321</v>
      </c>
    </row>
    <row r="1058" spans="2:2">
      <c r="B1058" s="177" t="s">
        <v>1322</v>
      </c>
    </row>
    <row r="1059" spans="2:2">
      <c r="B1059" s="177" t="s">
        <v>1323</v>
      </c>
    </row>
    <row r="1060" spans="2:2">
      <c r="B1060" s="177" t="s">
        <v>1324</v>
      </c>
    </row>
    <row r="1061" spans="2:2">
      <c r="B1061" s="177" t="s">
        <v>1325</v>
      </c>
    </row>
    <row r="1062" spans="2:2">
      <c r="B1062" s="177" t="s">
        <v>1326</v>
      </c>
    </row>
    <row r="1063" spans="2:2">
      <c r="B1063" s="177" t="s">
        <v>1327</v>
      </c>
    </row>
    <row r="1064" spans="2:2">
      <c r="B1064" s="177" t="s">
        <v>1328</v>
      </c>
    </row>
    <row r="1065" spans="2:2">
      <c r="B1065" s="177" t="s">
        <v>1329</v>
      </c>
    </row>
    <row r="1066" spans="2:2">
      <c r="B1066" s="177" t="s">
        <v>1330</v>
      </c>
    </row>
    <row r="1067" spans="2:2">
      <c r="B1067" s="177" t="s">
        <v>1331</v>
      </c>
    </row>
    <row r="1068" spans="2:2">
      <c r="B1068" s="177" t="s">
        <v>1332</v>
      </c>
    </row>
    <row r="1069" spans="2:2">
      <c r="B1069" s="177" t="s">
        <v>1333</v>
      </c>
    </row>
    <row r="1070" spans="2:2">
      <c r="B1070" s="177" t="s">
        <v>1334</v>
      </c>
    </row>
    <row r="1071" spans="2:2">
      <c r="B1071" s="177" t="s">
        <v>1335</v>
      </c>
    </row>
    <row r="1072" spans="2:2">
      <c r="B1072" s="177" t="s">
        <v>1336</v>
      </c>
    </row>
    <row r="1073" spans="2:2">
      <c r="B1073" s="177" t="s">
        <v>1337</v>
      </c>
    </row>
    <row r="1074" spans="2:2">
      <c r="B1074" s="177" t="s">
        <v>1338</v>
      </c>
    </row>
    <row r="1075" spans="2:2">
      <c r="B1075" s="177" t="s">
        <v>1339</v>
      </c>
    </row>
    <row r="1076" spans="2:2">
      <c r="B1076" s="177" t="s">
        <v>1340</v>
      </c>
    </row>
    <row r="1077" spans="2:2">
      <c r="B1077" s="177" t="s">
        <v>1341</v>
      </c>
    </row>
    <row r="1078" spans="2:2">
      <c r="B1078" s="177" t="s">
        <v>1342</v>
      </c>
    </row>
    <row r="1079" spans="2:2">
      <c r="B1079" s="177" t="s">
        <v>1343</v>
      </c>
    </row>
    <row r="1080" spans="2:2">
      <c r="B1080" s="177" t="s">
        <v>1344</v>
      </c>
    </row>
    <row r="1081" spans="2:2">
      <c r="B1081" s="177" t="s">
        <v>1345</v>
      </c>
    </row>
    <row r="1082" spans="2:2">
      <c r="B1082" s="177" t="s">
        <v>1346</v>
      </c>
    </row>
    <row r="1083" spans="2:2">
      <c r="B1083" s="177" t="s">
        <v>1347</v>
      </c>
    </row>
    <row r="1084" spans="2:2">
      <c r="B1084" s="177" t="s">
        <v>1348</v>
      </c>
    </row>
    <row r="1085" spans="2:2">
      <c r="B1085" s="177" t="s">
        <v>1349</v>
      </c>
    </row>
    <row r="1086" spans="2:2">
      <c r="B1086" s="177" t="s">
        <v>1350</v>
      </c>
    </row>
    <row r="1087" spans="2:2">
      <c r="B1087" s="177" t="s">
        <v>1351</v>
      </c>
    </row>
    <row r="1088" spans="2:2">
      <c r="B1088" s="177" t="s">
        <v>1352</v>
      </c>
    </row>
    <row r="1089" spans="2:2">
      <c r="B1089" s="177" t="s">
        <v>1353</v>
      </c>
    </row>
    <row r="1090" spans="2:2">
      <c r="B1090" s="177" t="s">
        <v>1354</v>
      </c>
    </row>
    <row r="1091" spans="2:2">
      <c r="B1091" s="177" t="s">
        <v>1355</v>
      </c>
    </row>
    <row r="1092" spans="2:2">
      <c r="B1092" s="177" t="s">
        <v>1356</v>
      </c>
    </row>
    <row r="1093" spans="2:2">
      <c r="B1093" s="177" t="s">
        <v>1357</v>
      </c>
    </row>
    <row r="1094" spans="2:2">
      <c r="B1094" s="177" t="s">
        <v>1358</v>
      </c>
    </row>
    <row r="1095" spans="2:2">
      <c r="B1095" s="177" t="s">
        <v>1359</v>
      </c>
    </row>
    <row r="1096" spans="2:2">
      <c r="B1096" s="177" t="s">
        <v>1360</v>
      </c>
    </row>
    <row r="1097" spans="2:2">
      <c r="B1097" s="177" t="s">
        <v>1361</v>
      </c>
    </row>
    <row r="1098" spans="2:2">
      <c r="B1098" s="177" t="s">
        <v>1362</v>
      </c>
    </row>
    <row r="1099" spans="2:2">
      <c r="B1099" s="177" t="s">
        <v>1363</v>
      </c>
    </row>
    <row r="1100" spans="2:2">
      <c r="B1100" s="177" t="s">
        <v>1364</v>
      </c>
    </row>
    <row r="1101" spans="2:2">
      <c r="B1101" s="177" t="s">
        <v>1365</v>
      </c>
    </row>
    <row r="1102" spans="2:2">
      <c r="B1102" s="177" t="s">
        <v>1366</v>
      </c>
    </row>
    <row r="1103" spans="2:2">
      <c r="B1103" s="177" t="s">
        <v>1367</v>
      </c>
    </row>
    <row r="1104" spans="2:2">
      <c r="B1104" s="177" t="s">
        <v>1368</v>
      </c>
    </row>
    <row r="1105" spans="2:2">
      <c r="B1105" s="177" t="s">
        <v>1369</v>
      </c>
    </row>
    <row r="1106" spans="2:2">
      <c r="B1106" s="177" t="s">
        <v>1370</v>
      </c>
    </row>
    <row r="1107" spans="2:2">
      <c r="B1107" s="177" t="s">
        <v>1371</v>
      </c>
    </row>
    <row r="1108" spans="2:2">
      <c r="B1108" s="177" t="s">
        <v>1372</v>
      </c>
    </row>
    <row r="1109" spans="2:2">
      <c r="B1109" s="177" t="s">
        <v>1373</v>
      </c>
    </row>
    <row r="1110" spans="2:2">
      <c r="B1110" s="177" t="s">
        <v>1374</v>
      </c>
    </row>
    <row r="1111" spans="2:2">
      <c r="B1111" s="177" t="s">
        <v>1375</v>
      </c>
    </row>
    <row r="1112" spans="2:2">
      <c r="B1112" s="177" t="s">
        <v>1376</v>
      </c>
    </row>
    <row r="1113" spans="2:2">
      <c r="B1113" s="177" t="s">
        <v>1377</v>
      </c>
    </row>
    <row r="1114" spans="2:2">
      <c r="B1114" s="177" t="s">
        <v>1378</v>
      </c>
    </row>
    <row r="1115" spans="2:2">
      <c r="B1115" s="177" t="s">
        <v>1379</v>
      </c>
    </row>
    <row r="1116" spans="2:2">
      <c r="B1116" s="177" t="s">
        <v>1380</v>
      </c>
    </row>
    <row r="1117" spans="2:2">
      <c r="B1117" s="177" t="s">
        <v>1381</v>
      </c>
    </row>
    <row r="1118" spans="2:2">
      <c r="B1118" s="177" t="s">
        <v>1382</v>
      </c>
    </row>
    <row r="1119" spans="2:2">
      <c r="B1119" s="177" t="s">
        <v>1383</v>
      </c>
    </row>
    <row r="1120" spans="2:2">
      <c r="B1120" s="177" t="s">
        <v>1384</v>
      </c>
    </row>
    <row r="1121" spans="2:2">
      <c r="B1121" s="177" t="s">
        <v>1385</v>
      </c>
    </row>
    <row r="1122" spans="2:2">
      <c r="B1122" s="177" t="s">
        <v>1386</v>
      </c>
    </row>
    <row r="1123" spans="2:2">
      <c r="B1123" s="177" t="s">
        <v>1387</v>
      </c>
    </row>
    <row r="1124" spans="2:2">
      <c r="B1124" s="177" t="s">
        <v>1388</v>
      </c>
    </row>
    <row r="1125" spans="2:2">
      <c r="B1125" s="177" t="s">
        <v>1389</v>
      </c>
    </row>
    <row r="1126" spans="2:2">
      <c r="B1126" s="177" t="s">
        <v>1390</v>
      </c>
    </row>
    <row r="1127" spans="2:2">
      <c r="B1127" s="177" t="s">
        <v>1391</v>
      </c>
    </row>
    <row r="1128" spans="2:2">
      <c r="B1128" s="177" t="s">
        <v>1392</v>
      </c>
    </row>
    <row r="1129" spans="2:2">
      <c r="B1129" s="177" t="s">
        <v>1393</v>
      </c>
    </row>
    <row r="1130" spans="2:2">
      <c r="B1130" s="177" t="s">
        <v>1394</v>
      </c>
    </row>
    <row r="1131" spans="2:2">
      <c r="B1131" s="177" t="s">
        <v>1395</v>
      </c>
    </row>
    <row r="1132" spans="2:2">
      <c r="B1132" s="177" t="s">
        <v>1396</v>
      </c>
    </row>
    <row r="1133" spans="2:2">
      <c r="B1133" s="177" t="s">
        <v>1397</v>
      </c>
    </row>
    <row r="1134" spans="2:2">
      <c r="B1134" s="177" t="s">
        <v>1398</v>
      </c>
    </row>
    <row r="1135" spans="2:2">
      <c r="B1135" s="177" t="s">
        <v>1399</v>
      </c>
    </row>
    <row r="1136" spans="2:2">
      <c r="B1136" s="177" t="s">
        <v>1400</v>
      </c>
    </row>
    <row r="1137" spans="2:2">
      <c r="B1137" s="177" t="s">
        <v>1401</v>
      </c>
    </row>
    <row r="1138" spans="2:2">
      <c r="B1138" s="177" t="s">
        <v>1402</v>
      </c>
    </row>
    <row r="1139" spans="2:2">
      <c r="B1139" s="177" t="s">
        <v>1403</v>
      </c>
    </row>
    <row r="1140" spans="2:2">
      <c r="B1140" s="177" t="s">
        <v>1404</v>
      </c>
    </row>
    <row r="1141" spans="2:2">
      <c r="B1141" s="177" t="s">
        <v>1405</v>
      </c>
    </row>
    <row r="1142" spans="2:2">
      <c r="B1142" s="177" t="s">
        <v>1406</v>
      </c>
    </row>
    <row r="1143" spans="2:2">
      <c r="B1143" s="177" t="s">
        <v>1407</v>
      </c>
    </row>
    <row r="1144" spans="2:2">
      <c r="B1144" s="177" t="s">
        <v>1408</v>
      </c>
    </row>
    <row r="1145" spans="2:2">
      <c r="B1145" s="177" t="s">
        <v>1409</v>
      </c>
    </row>
    <row r="1146" spans="2:2">
      <c r="B1146" s="177" t="s">
        <v>1410</v>
      </c>
    </row>
    <row r="1147" spans="2:2">
      <c r="B1147" s="177" t="s">
        <v>1411</v>
      </c>
    </row>
    <row r="1148" spans="2:2">
      <c r="B1148" s="177" t="s">
        <v>1412</v>
      </c>
    </row>
    <row r="1149" spans="2:2">
      <c r="B1149" s="177" t="s">
        <v>1413</v>
      </c>
    </row>
    <row r="1150" spans="2:2">
      <c r="B1150" s="177" t="s">
        <v>1414</v>
      </c>
    </row>
    <row r="1151" spans="2:2">
      <c r="B1151" s="177" t="s">
        <v>1415</v>
      </c>
    </row>
    <row r="1152" spans="2:2">
      <c r="B1152" s="177" t="s">
        <v>1416</v>
      </c>
    </row>
    <row r="1153" spans="2:2">
      <c r="B1153" s="177" t="s">
        <v>1417</v>
      </c>
    </row>
    <row r="1154" spans="2:2">
      <c r="B1154" s="177" t="s">
        <v>1418</v>
      </c>
    </row>
    <row r="1155" spans="2:2">
      <c r="B1155" s="177" t="s">
        <v>1419</v>
      </c>
    </row>
    <row r="1156" spans="2:2">
      <c r="B1156" s="177" t="s">
        <v>1420</v>
      </c>
    </row>
    <row r="1157" spans="2:2">
      <c r="B1157" s="177" t="s">
        <v>1421</v>
      </c>
    </row>
    <row r="1158" spans="2:2">
      <c r="B1158" s="177" t="s">
        <v>1422</v>
      </c>
    </row>
    <row r="1159" spans="2:2">
      <c r="B1159" s="177" t="s">
        <v>1423</v>
      </c>
    </row>
    <row r="1160" spans="2:2">
      <c r="B1160" s="177" t="s">
        <v>1424</v>
      </c>
    </row>
    <row r="1161" spans="2:2">
      <c r="B1161" s="177" t="s">
        <v>1425</v>
      </c>
    </row>
    <row r="1162" spans="2:2">
      <c r="B1162" s="177" t="s">
        <v>1426</v>
      </c>
    </row>
    <row r="1163" spans="2:2">
      <c r="B1163" s="177" t="s">
        <v>1427</v>
      </c>
    </row>
    <row r="1164" spans="2:2">
      <c r="B1164" s="177" t="s">
        <v>1428</v>
      </c>
    </row>
    <row r="1165" spans="2:2">
      <c r="B1165" s="177" t="s">
        <v>1429</v>
      </c>
    </row>
    <row r="1166" spans="2:2">
      <c r="B1166" s="177" t="s">
        <v>1430</v>
      </c>
    </row>
    <row r="1167" spans="2:2">
      <c r="B1167" s="177" t="s">
        <v>1431</v>
      </c>
    </row>
    <row r="1168" spans="2:2">
      <c r="B1168" s="177" t="s">
        <v>1432</v>
      </c>
    </row>
    <row r="1169" spans="2:2">
      <c r="B1169" s="177" t="s">
        <v>1433</v>
      </c>
    </row>
    <row r="1170" spans="2:2">
      <c r="B1170" s="177" t="s">
        <v>1434</v>
      </c>
    </row>
    <row r="1171" spans="2:2">
      <c r="B1171" s="177" t="s">
        <v>1435</v>
      </c>
    </row>
    <row r="1172" spans="2:2">
      <c r="B1172" s="177" t="s">
        <v>1436</v>
      </c>
    </row>
    <row r="1173" spans="2:2">
      <c r="B1173" s="177" t="s">
        <v>1437</v>
      </c>
    </row>
    <row r="1174" spans="2:2">
      <c r="B1174" s="177" t="s">
        <v>1438</v>
      </c>
    </row>
    <row r="1175" spans="2:2">
      <c r="B1175" s="177" t="s">
        <v>1439</v>
      </c>
    </row>
    <row r="1176" spans="2:2">
      <c r="B1176" s="177" t="s">
        <v>1440</v>
      </c>
    </row>
    <row r="1177" spans="2:2">
      <c r="B1177" s="177" t="s">
        <v>1441</v>
      </c>
    </row>
    <row r="1178" spans="2:2">
      <c r="B1178" s="177" t="s">
        <v>1442</v>
      </c>
    </row>
    <row r="1179" spans="2:2">
      <c r="B1179" s="177" t="s">
        <v>1443</v>
      </c>
    </row>
    <row r="1180" spans="2:2">
      <c r="B1180" s="177" t="s">
        <v>1444</v>
      </c>
    </row>
    <row r="1181" spans="2:2">
      <c r="B1181" s="177" t="s">
        <v>1445</v>
      </c>
    </row>
    <row r="1182" spans="2:2">
      <c r="B1182" s="177" t="s">
        <v>1446</v>
      </c>
    </row>
    <row r="1183" spans="2:2">
      <c r="B1183" s="177" t="s">
        <v>1447</v>
      </c>
    </row>
    <row r="1184" spans="2:2">
      <c r="B1184" s="177" t="s">
        <v>1448</v>
      </c>
    </row>
    <row r="1185" spans="2:2">
      <c r="B1185" s="177" t="s">
        <v>1449</v>
      </c>
    </row>
    <row r="1186" spans="2:2">
      <c r="B1186" s="177" t="s">
        <v>1450</v>
      </c>
    </row>
    <row r="1187" spans="2:2">
      <c r="B1187" s="177" t="s">
        <v>1451</v>
      </c>
    </row>
    <row r="1188" spans="2:2">
      <c r="B1188" s="177" t="s">
        <v>1452</v>
      </c>
    </row>
    <row r="1189" spans="2:2">
      <c r="B1189" s="177" t="s">
        <v>1453</v>
      </c>
    </row>
    <row r="1190" spans="2:2">
      <c r="B1190" s="177" t="s">
        <v>1454</v>
      </c>
    </row>
    <row r="1191" spans="2:2">
      <c r="B1191" s="177" t="s">
        <v>1455</v>
      </c>
    </row>
    <row r="1192" spans="2:2">
      <c r="B1192" s="177" t="s">
        <v>1456</v>
      </c>
    </row>
    <row r="1193" spans="2:2">
      <c r="B1193" s="177" t="s">
        <v>1457</v>
      </c>
    </row>
    <row r="1194" spans="2:2">
      <c r="B1194" s="177" t="s">
        <v>1458</v>
      </c>
    </row>
    <row r="1195" spans="2:2">
      <c r="B1195" s="177" t="s">
        <v>1459</v>
      </c>
    </row>
    <row r="1196" spans="2:2">
      <c r="B1196" s="177" t="s">
        <v>1460</v>
      </c>
    </row>
    <row r="1197" spans="2:2">
      <c r="B1197" s="177" t="s">
        <v>1461</v>
      </c>
    </row>
    <row r="1198" spans="2:2">
      <c r="B1198" s="177" t="s">
        <v>1462</v>
      </c>
    </row>
    <row r="1199" spans="2:2">
      <c r="B1199" s="177" t="s">
        <v>1463</v>
      </c>
    </row>
    <row r="1200" spans="2:2">
      <c r="B1200" s="177" t="s">
        <v>1464</v>
      </c>
    </row>
    <row r="1201" spans="2:2">
      <c r="B1201" s="177" t="s">
        <v>1465</v>
      </c>
    </row>
    <row r="1202" spans="2:2">
      <c r="B1202" s="177" t="s">
        <v>1466</v>
      </c>
    </row>
    <row r="1203" spans="2:2">
      <c r="B1203" s="177" t="s">
        <v>1467</v>
      </c>
    </row>
    <row r="1204" spans="2:2">
      <c r="B1204" s="177" t="s">
        <v>1468</v>
      </c>
    </row>
    <row r="1205" spans="2:2">
      <c r="B1205" s="177" t="s">
        <v>1469</v>
      </c>
    </row>
    <row r="1206" spans="2:2">
      <c r="B1206" s="177" t="s">
        <v>1470</v>
      </c>
    </row>
    <row r="1207" spans="2:2">
      <c r="B1207" s="177" t="s">
        <v>1471</v>
      </c>
    </row>
    <row r="1208" spans="2:2">
      <c r="B1208" s="177" t="s">
        <v>1472</v>
      </c>
    </row>
    <row r="1209" spans="2:2">
      <c r="B1209" s="177" t="s">
        <v>1473</v>
      </c>
    </row>
    <row r="1210" spans="2:2">
      <c r="B1210" s="177" t="s">
        <v>1474</v>
      </c>
    </row>
    <row r="1211" spans="2:2">
      <c r="B1211" s="177" t="s">
        <v>1475</v>
      </c>
    </row>
    <row r="1212" spans="2:2">
      <c r="B1212" s="177" t="s">
        <v>1476</v>
      </c>
    </row>
    <row r="1213" spans="2:2">
      <c r="B1213" s="177" t="s">
        <v>1477</v>
      </c>
    </row>
    <row r="1214" spans="2:2">
      <c r="B1214" s="177" t="s">
        <v>1478</v>
      </c>
    </row>
    <row r="1215" spans="2:2">
      <c r="B1215" s="177" t="s">
        <v>1479</v>
      </c>
    </row>
    <row r="1216" spans="2:2">
      <c r="B1216" s="177" t="s">
        <v>1480</v>
      </c>
    </row>
    <row r="1217" spans="2:2">
      <c r="B1217" s="177" t="s">
        <v>1481</v>
      </c>
    </row>
    <row r="1218" spans="2:2">
      <c r="B1218" s="177" t="s">
        <v>1482</v>
      </c>
    </row>
    <row r="1219" spans="2:2">
      <c r="B1219" s="177" t="s">
        <v>1483</v>
      </c>
    </row>
    <row r="1220" spans="2:2">
      <c r="B1220" s="177" t="s">
        <v>1484</v>
      </c>
    </row>
    <row r="1221" spans="2:2">
      <c r="B1221" s="177" t="s">
        <v>1485</v>
      </c>
    </row>
    <row r="1222" spans="2:2">
      <c r="B1222" s="177" t="s">
        <v>1486</v>
      </c>
    </row>
    <row r="1223" spans="2:2">
      <c r="B1223" s="177" t="s">
        <v>1487</v>
      </c>
    </row>
    <row r="1224" spans="2:2">
      <c r="B1224" s="177" t="s">
        <v>1488</v>
      </c>
    </row>
    <row r="1225" spans="2:2">
      <c r="B1225" s="177" t="s">
        <v>1489</v>
      </c>
    </row>
    <row r="1226" spans="2:2">
      <c r="B1226" s="177" t="s">
        <v>1490</v>
      </c>
    </row>
    <row r="1227" spans="2:2">
      <c r="B1227" s="177" t="s">
        <v>1491</v>
      </c>
    </row>
    <row r="1228" spans="2:2">
      <c r="B1228" s="177" t="s">
        <v>1492</v>
      </c>
    </row>
    <row r="1229" spans="2:2">
      <c r="B1229" s="177" t="s">
        <v>1493</v>
      </c>
    </row>
    <row r="1230" spans="2:2">
      <c r="B1230" s="177" t="s">
        <v>1494</v>
      </c>
    </row>
    <row r="1231" spans="2:2">
      <c r="B1231" s="177" t="s">
        <v>1495</v>
      </c>
    </row>
    <row r="1232" spans="2:2">
      <c r="B1232" s="177" t="s">
        <v>1496</v>
      </c>
    </row>
    <row r="1233" spans="2:2">
      <c r="B1233" s="177" t="s">
        <v>1497</v>
      </c>
    </row>
    <row r="1234" spans="2:2">
      <c r="B1234" s="177" t="s">
        <v>1498</v>
      </c>
    </row>
    <row r="1235" spans="2:2">
      <c r="B1235" s="177" t="s">
        <v>1499</v>
      </c>
    </row>
    <row r="1236" spans="2:2">
      <c r="B1236" s="177" t="s">
        <v>1500</v>
      </c>
    </row>
    <row r="1237" spans="2:2">
      <c r="B1237" s="177" t="s">
        <v>1501</v>
      </c>
    </row>
    <row r="1238" spans="2:2">
      <c r="B1238" s="177" t="s">
        <v>1502</v>
      </c>
    </row>
    <row r="1239" spans="2:2">
      <c r="B1239" s="177" t="s">
        <v>1503</v>
      </c>
    </row>
    <row r="1240" spans="2:2">
      <c r="B1240" s="177" t="s">
        <v>1504</v>
      </c>
    </row>
    <row r="1241" spans="2:2">
      <c r="B1241" s="177" t="s">
        <v>1505</v>
      </c>
    </row>
    <row r="1242" spans="2:2">
      <c r="B1242" s="177" t="s">
        <v>1506</v>
      </c>
    </row>
    <row r="1243" spans="2:2">
      <c r="B1243" s="177" t="s">
        <v>1507</v>
      </c>
    </row>
    <row r="1244" spans="2:2">
      <c r="B1244" s="177" t="s">
        <v>1508</v>
      </c>
    </row>
    <row r="1245" spans="2:2">
      <c r="B1245" s="177" t="s">
        <v>1509</v>
      </c>
    </row>
    <row r="1246" spans="2:2">
      <c r="B1246" s="177" t="s">
        <v>1510</v>
      </c>
    </row>
    <row r="1247" spans="2:2">
      <c r="B1247" s="177" t="s">
        <v>1511</v>
      </c>
    </row>
    <row r="1248" spans="2:2">
      <c r="B1248" s="177" t="s">
        <v>1512</v>
      </c>
    </row>
    <row r="1249" spans="2:2">
      <c r="B1249" s="177" t="s">
        <v>1513</v>
      </c>
    </row>
    <row r="1250" spans="2:2">
      <c r="B1250" s="177" t="s">
        <v>1514</v>
      </c>
    </row>
    <row r="1251" spans="2:2">
      <c r="B1251" s="177" t="s">
        <v>1515</v>
      </c>
    </row>
    <row r="1252" spans="2:2">
      <c r="B1252" s="177" t="s">
        <v>1516</v>
      </c>
    </row>
    <row r="1253" spans="2:2">
      <c r="B1253" s="177" t="s">
        <v>1517</v>
      </c>
    </row>
    <row r="1254" spans="2:2">
      <c r="B1254" s="177" t="s">
        <v>1518</v>
      </c>
    </row>
    <row r="1255" spans="2:2">
      <c r="B1255" s="177" t="s">
        <v>1519</v>
      </c>
    </row>
    <row r="1256" spans="2:2">
      <c r="B1256" s="177" t="s">
        <v>1520</v>
      </c>
    </row>
    <row r="1257" spans="2:2">
      <c r="B1257" s="177" t="s">
        <v>1521</v>
      </c>
    </row>
    <row r="1258" spans="2:2">
      <c r="B1258" s="177" t="s">
        <v>1522</v>
      </c>
    </row>
    <row r="1259" spans="2:2">
      <c r="B1259" s="177" t="s">
        <v>1523</v>
      </c>
    </row>
    <row r="1260" spans="2:2">
      <c r="B1260" s="177" t="s">
        <v>1524</v>
      </c>
    </row>
    <row r="1261" spans="2:2">
      <c r="B1261" s="177" t="s">
        <v>1525</v>
      </c>
    </row>
    <row r="1262" spans="2:2">
      <c r="B1262" s="177" t="s">
        <v>1526</v>
      </c>
    </row>
    <row r="1263" spans="2:2">
      <c r="B1263" s="177" t="s">
        <v>1527</v>
      </c>
    </row>
    <row r="1264" spans="2:2">
      <c r="B1264" s="177" t="s">
        <v>1528</v>
      </c>
    </row>
    <row r="1265" spans="2:2">
      <c r="B1265" s="177" t="s">
        <v>1529</v>
      </c>
    </row>
    <row r="1266" spans="2:2">
      <c r="B1266" s="177" t="s">
        <v>1530</v>
      </c>
    </row>
    <row r="1267" spans="2:2">
      <c r="B1267" s="177" t="s">
        <v>1531</v>
      </c>
    </row>
    <row r="1268" spans="2:2">
      <c r="B1268" s="177" t="s">
        <v>1532</v>
      </c>
    </row>
    <row r="1269" spans="2:2">
      <c r="B1269" s="177" t="s">
        <v>1533</v>
      </c>
    </row>
    <row r="1270" spans="2:2">
      <c r="B1270" s="177" t="s">
        <v>1534</v>
      </c>
    </row>
    <row r="1271" spans="2:2">
      <c r="B1271" s="177" t="s">
        <v>1535</v>
      </c>
    </row>
    <row r="1272" spans="2:2">
      <c r="B1272" s="177" t="s">
        <v>1536</v>
      </c>
    </row>
    <row r="1273" spans="2:2">
      <c r="B1273" s="177" t="s">
        <v>1537</v>
      </c>
    </row>
    <row r="1274" spans="2:2">
      <c r="B1274" s="177" t="s">
        <v>1538</v>
      </c>
    </row>
    <row r="1275" spans="2:2">
      <c r="B1275" s="177" t="s">
        <v>1539</v>
      </c>
    </row>
    <row r="1276" spans="2:2">
      <c r="B1276" s="177" t="s">
        <v>1540</v>
      </c>
    </row>
    <row r="1277" spans="2:2">
      <c r="B1277" s="177" t="s">
        <v>1541</v>
      </c>
    </row>
    <row r="1278" spans="2:2">
      <c r="B1278" s="177" t="s">
        <v>1542</v>
      </c>
    </row>
    <row r="1279" spans="2:2">
      <c r="B1279" s="177" t="s">
        <v>1543</v>
      </c>
    </row>
    <row r="1280" spans="2:2">
      <c r="B1280" s="177" t="s">
        <v>1544</v>
      </c>
    </row>
    <row r="1281" spans="2:2">
      <c r="B1281" s="177" t="s">
        <v>1545</v>
      </c>
    </row>
    <row r="1282" spans="2:2">
      <c r="B1282" s="177" t="s">
        <v>1546</v>
      </c>
    </row>
    <row r="1283" spans="2:2">
      <c r="B1283" s="177" t="s">
        <v>1547</v>
      </c>
    </row>
    <row r="1284" spans="2:2">
      <c r="B1284" s="177" t="s">
        <v>1548</v>
      </c>
    </row>
    <row r="1285" spans="2:2">
      <c r="B1285" s="177" t="s">
        <v>1549</v>
      </c>
    </row>
    <row r="1286" spans="2:2">
      <c r="B1286" s="177" t="s">
        <v>1550</v>
      </c>
    </row>
    <row r="1287" spans="2:2">
      <c r="B1287" s="177" t="s">
        <v>1551</v>
      </c>
    </row>
    <row r="1288" spans="2:2">
      <c r="B1288" s="177" t="s">
        <v>1552</v>
      </c>
    </row>
    <row r="1289" spans="2:2">
      <c r="B1289" s="177" t="s">
        <v>1553</v>
      </c>
    </row>
    <row r="1290" spans="2:2">
      <c r="B1290" s="177" t="s">
        <v>1554</v>
      </c>
    </row>
    <row r="1291" spans="2:2">
      <c r="B1291" s="177" t="s">
        <v>1555</v>
      </c>
    </row>
    <row r="1292" spans="2:2">
      <c r="B1292" s="177" t="s">
        <v>1556</v>
      </c>
    </row>
    <row r="1293" spans="2:2">
      <c r="B1293" s="177" t="s">
        <v>1557</v>
      </c>
    </row>
    <row r="1294" spans="2:2">
      <c r="B1294" s="177" t="s">
        <v>1558</v>
      </c>
    </row>
    <row r="1295" spans="2:2">
      <c r="B1295" s="177" t="s">
        <v>1559</v>
      </c>
    </row>
    <row r="1296" spans="2:2">
      <c r="B1296" s="177" t="s">
        <v>1560</v>
      </c>
    </row>
    <row r="1297" spans="2:2">
      <c r="B1297" s="177" t="s">
        <v>1561</v>
      </c>
    </row>
    <row r="1298" spans="2:2">
      <c r="B1298" s="177" t="s">
        <v>1562</v>
      </c>
    </row>
    <row r="1299" spans="2:2">
      <c r="B1299" s="177" t="s">
        <v>1563</v>
      </c>
    </row>
    <row r="1300" spans="2:2">
      <c r="B1300" s="177" t="s">
        <v>1564</v>
      </c>
    </row>
    <row r="1301" spans="2:2">
      <c r="B1301" s="177" t="s">
        <v>1565</v>
      </c>
    </row>
    <row r="1302" spans="2:2">
      <c r="B1302" s="177" t="s">
        <v>1566</v>
      </c>
    </row>
    <row r="1303" spans="2:2">
      <c r="B1303" s="177" t="s">
        <v>1567</v>
      </c>
    </row>
    <row r="1304" spans="2:2">
      <c r="B1304" s="177" t="s">
        <v>1568</v>
      </c>
    </row>
    <row r="1305" spans="2:2">
      <c r="B1305" s="177" t="s">
        <v>1569</v>
      </c>
    </row>
    <row r="1306" spans="2:2">
      <c r="B1306" s="177" t="s">
        <v>1570</v>
      </c>
    </row>
    <row r="1307" spans="2:2">
      <c r="B1307" s="177" t="s">
        <v>1571</v>
      </c>
    </row>
    <row r="1308" spans="2:2">
      <c r="B1308" s="177" t="s">
        <v>1572</v>
      </c>
    </row>
    <row r="1309" spans="2:2">
      <c r="B1309" s="177" t="s">
        <v>1573</v>
      </c>
    </row>
    <row r="1310" spans="2:2">
      <c r="B1310" s="177" t="s">
        <v>1574</v>
      </c>
    </row>
    <row r="1311" spans="2:2">
      <c r="B1311" s="177" t="s">
        <v>1575</v>
      </c>
    </row>
    <row r="1312" spans="2:2">
      <c r="B1312" s="177" t="s">
        <v>1576</v>
      </c>
    </row>
    <row r="1313" spans="2:2">
      <c r="B1313" s="177" t="s">
        <v>1577</v>
      </c>
    </row>
    <row r="1314" spans="2:2">
      <c r="B1314" s="177" t="s">
        <v>1578</v>
      </c>
    </row>
    <row r="1315" spans="2:2">
      <c r="B1315" s="177" t="s">
        <v>1579</v>
      </c>
    </row>
    <row r="1316" spans="2:2">
      <c r="B1316" s="177" t="s">
        <v>1580</v>
      </c>
    </row>
    <row r="1317" spans="2:2">
      <c r="B1317" s="177" t="s">
        <v>1581</v>
      </c>
    </row>
    <row r="1318" spans="2:2">
      <c r="B1318" s="177" t="s">
        <v>1582</v>
      </c>
    </row>
    <row r="1319" spans="2:2">
      <c r="B1319" s="177" t="s">
        <v>1583</v>
      </c>
    </row>
    <row r="1320" spans="2:2">
      <c r="B1320" s="177" t="s">
        <v>1584</v>
      </c>
    </row>
    <row r="1321" spans="2:2">
      <c r="B1321" s="177" t="s">
        <v>1585</v>
      </c>
    </row>
    <row r="1322" spans="2:2">
      <c r="B1322" s="177" t="s">
        <v>1586</v>
      </c>
    </row>
    <row r="1323" spans="2:2">
      <c r="B1323" s="177" t="s">
        <v>1587</v>
      </c>
    </row>
    <row r="1324" spans="2:2">
      <c r="B1324" s="177" t="s">
        <v>1588</v>
      </c>
    </row>
    <row r="1325" spans="2:2">
      <c r="B1325" s="177" t="s">
        <v>1589</v>
      </c>
    </row>
    <row r="1326" spans="2:2">
      <c r="B1326" s="177" t="s">
        <v>1590</v>
      </c>
    </row>
    <row r="1327" spans="2:2">
      <c r="B1327" s="177" t="s">
        <v>1591</v>
      </c>
    </row>
    <row r="1328" spans="2:2">
      <c r="B1328" s="177" t="s">
        <v>1592</v>
      </c>
    </row>
    <row r="1329" spans="2:2">
      <c r="B1329" s="177" t="s">
        <v>1593</v>
      </c>
    </row>
    <row r="1330" spans="2:2">
      <c r="B1330" s="177" t="s">
        <v>1594</v>
      </c>
    </row>
    <row r="1331" spans="2:2">
      <c r="B1331" s="177" t="s">
        <v>1595</v>
      </c>
    </row>
    <row r="1332" spans="2:2">
      <c r="B1332" s="177" t="s">
        <v>1596</v>
      </c>
    </row>
    <row r="1333" spans="2:2">
      <c r="B1333" s="177" t="s">
        <v>1597</v>
      </c>
    </row>
    <row r="1334" spans="2:2">
      <c r="B1334" s="177" t="s">
        <v>1598</v>
      </c>
    </row>
    <row r="1335" spans="2:2">
      <c r="B1335" s="177" t="s">
        <v>1599</v>
      </c>
    </row>
    <row r="1336" spans="2:2">
      <c r="B1336" s="177" t="s">
        <v>1600</v>
      </c>
    </row>
    <row r="1337" spans="2:2">
      <c r="B1337" s="177" t="s">
        <v>1601</v>
      </c>
    </row>
    <row r="1338" spans="2:2">
      <c r="B1338" s="177" t="s">
        <v>1602</v>
      </c>
    </row>
    <row r="1339" spans="2:2">
      <c r="B1339" s="177" t="s">
        <v>1603</v>
      </c>
    </row>
    <row r="1340" spans="2:2">
      <c r="B1340" s="177" t="s">
        <v>1604</v>
      </c>
    </row>
    <row r="1341" spans="2:2">
      <c r="B1341" s="177" t="s">
        <v>1605</v>
      </c>
    </row>
    <row r="1342" spans="2:2">
      <c r="B1342" s="177" t="s">
        <v>1606</v>
      </c>
    </row>
    <row r="1343" spans="2:2">
      <c r="B1343" s="177" t="s">
        <v>1607</v>
      </c>
    </row>
    <row r="1344" spans="2:2">
      <c r="B1344" s="177" t="s">
        <v>1608</v>
      </c>
    </row>
    <row r="1345" spans="2:2">
      <c r="B1345" s="177" t="s">
        <v>1609</v>
      </c>
    </row>
    <row r="1346" spans="2:2">
      <c r="B1346" s="177" t="s">
        <v>1610</v>
      </c>
    </row>
    <row r="1347" spans="2:2">
      <c r="B1347" s="177" t="s">
        <v>1611</v>
      </c>
    </row>
    <row r="1348" spans="2:2">
      <c r="B1348" s="177" t="s">
        <v>1612</v>
      </c>
    </row>
    <row r="1349" spans="2:2">
      <c r="B1349" s="177" t="s">
        <v>1613</v>
      </c>
    </row>
    <row r="1350" spans="2:2">
      <c r="B1350" s="177" t="s">
        <v>1614</v>
      </c>
    </row>
    <row r="1351" spans="2:2">
      <c r="B1351" s="177" t="s">
        <v>1615</v>
      </c>
    </row>
    <row r="1352" spans="2:2">
      <c r="B1352" s="177" t="s">
        <v>1616</v>
      </c>
    </row>
    <row r="1353" spans="2:2">
      <c r="B1353" s="177" t="s">
        <v>1617</v>
      </c>
    </row>
    <row r="1354" spans="2:2">
      <c r="B1354" s="177" t="s">
        <v>1618</v>
      </c>
    </row>
    <row r="1355" spans="2:2">
      <c r="B1355" s="177" t="s">
        <v>1619</v>
      </c>
    </row>
    <row r="1356" spans="2:2">
      <c r="B1356" s="177" t="s">
        <v>1620</v>
      </c>
    </row>
    <row r="1357" spans="2:2">
      <c r="B1357" s="177" t="s">
        <v>1621</v>
      </c>
    </row>
    <row r="1358" spans="2:2">
      <c r="B1358" s="177" t="s">
        <v>1622</v>
      </c>
    </row>
    <row r="1359" spans="2:2">
      <c r="B1359" s="177" t="s">
        <v>1623</v>
      </c>
    </row>
    <row r="1360" spans="2:2">
      <c r="B1360" s="177" t="s">
        <v>1624</v>
      </c>
    </row>
    <row r="1361" spans="2:2">
      <c r="B1361" s="177" t="s">
        <v>1625</v>
      </c>
    </row>
    <row r="1362" spans="2:2">
      <c r="B1362" s="177" t="s">
        <v>1626</v>
      </c>
    </row>
    <row r="1363" spans="2:2">
      <c r="B1363" s="177" t="s">
        <v>1627</v>
      </c>
    </row>
    <row r="1364" spans="2:2">
      <c r="B1364" s="177" t="s">
        <v>1628</v>
      </c>
    </row>
    <row r="1365" spans="2:2">
      <c r="B1365" s="177" t="s">
        <v>1629</v>
      </c>
    </row>
    <row r="1366" spans="2:2">
      <c r="B1366" s="177" t="s">
        <v>1630</v>
      </c>
    </row>
    <row r="1367" spans="2:2">
      <c r="B1367" s="177" t="s">
        <v>1631</v>
      </c>
    </row>
    <row r="1368" spans="2:2">
      <c r="B1368" s="177" t="s">
        <v>1632</v>
      </c>
    </row>
    <row r="1369" spans="2:2">
      <c r="B1369" s="177" t="s">
        <v>1633</v>
      </c>
    </row>
    <row r="1370" spans="2:2">
      <c r="B1370" s="177" t="s">
        <v>1634</v>
      </c>
    </row>
    <row r="1371" spans="2:2">
      <c r="B1371" s="177" t="s">
        <v>1635</v>
      </c>
    </row>
    <row r="1372" spans="2:2">
      <c r="B1372" s="177" t="s">
        <v>1636</v>
      </c>
    </row>
    <row r="1373" spans="2:2">
      <c r="B1373" s="177" t="s">
        <v>1637</v>
      </c>
    </row>
    <row r="1374" spans="2:2">
      <c r="B1374" s="177" t="s">
        <v>1638</v>
      </c>
    </row>
    <row r="1375" spans="2:2">
      <c r="B1375" s="177" t="s">
        <v>1639</v>
      </c>
    </row>
    <row r="1376" spans="2:2">
      <c r="B1376" s="177" t="s">
        <v>1640</v>
      </c>
    </row>
    <row r="1377" spans="2:2">
      <c r="B1377" s="177" t="s">
        <v>1641</v>
      </c>
    </row>
    <row r="1378" spans="2:2">
      <c r="B1378" s="177" t="s">
        <v>1642</v>
      </c>
    </row>
    <row r="1379" spans="2:2">
      <c r="B1379" s="177" t="s">
        <v>1643</v>
      </c>
    </row>
    <row r="1380" spans="2:2">
      <c r="B1380" s="177" t="s">
        <v>1644</v>
      </c>
    </row>
    <row r="1381" spans="2:2">
      <c r="B1381" s="177" t="s">
        <v>1645</v>
      </c>
    </row>
    <row r="1382" spans="2:2">
      <c r="B1382" s="177" t="s">
        <v>1646</v>
      </c>
    </row>
    <row r="1383" spans="2:2">
      <c r="B1383" s="177" t="s">
        <v>1647</v>
      </c>
    </row>
    <row r="1384" spans="2:2">
      <c r="B1384" s="177" t="s">
        <v>1648</v>
      </c>
    </row>
    <row r="1385" spans="2:2">
      <c r="B1385" s="177" t="s">
        <v>1649</v>
      </c>
    </row>
    <row r="1386" spans="2:2">
      <c r="B1386" s="177" t="s">
        <v>1650</v>
      </c>
    </row>
    <row r="1387" spans="2:2">
      <c r="B1387" s="177" t="s">
        <v>1651</v>
      </c>
    </row>
    <row r="1388" spans="2:2">
      <c r="B1388" s="177" t="s">
        <v>1652</v>
      </c>
    </row>
    <row r="1389" spans="2:2">
      <c r="B1389" s="177" t="s">
        <v>1653</v>
      </c>
    </row>
    <row r="1390" spans="2:2">
      <c r="B1390" s="177" t="s">
        <v>1654</v>
      </c>
    </row>
    <row r="1391" spans="2:2">
      <c r="B1391" s="177" t="s">
        <v>1655</v>
      </c>
    </row>
    <row r="1392" spans="2:2">
      <c r="B1392" s="177" t="s">
        <v>1656</v>
      </c>
    </row>
    <row r="1393" spans="2:2">
      <c r="B1393" s="177" t="s">
        <v>1657</v>
      </c>
    </row>
    <row r="1394" spans="2:2">
      <c r="B1394" s="177" t="s">
        <v>1658</v>
      </c>
    </row>
    <row r="1395" spans="2:2">
      <c r="B1395" s="177" t="s">
        <v>1659</v>
      </c>
    </row>
    <row r="1396" spans="2:2">
      <c r="B1396" s="177" t="s">
        <v>1660</v>
      </c>
    </row>
    <row r="1397" spans="2:2">
      <c r="B1397" s="177" t="s">
        <v>1661</v>
      </c>
    </row>
    <row r="1398" spans="2:2">
      <c r="B1398" s="177" t="s">
        <v>1662</v>
      </c>
    </row>
    <row r="1399" spans="2:2">
      <c r="B1399" s="177" t="s">
        <v>1663</v>
      </c>
    </row>
    <row r="1400" spans="2:2">
      <c r="B1400" s="177" t="s">
        <v>1664</v>
      </c>
    </row>
    <row r="1401" spans="2:2">
      <c r="B1401" s="177" t="s">
        <v>1665</v>
      </c>
    </row>
    <row r="1402" spans="2:2">
      <c r="B1402" s="177" t="s">
        <v>1666</v>
      </c>
    </row>
    <row r="1403" spans="2:2">
      <c r="B1403" s="177" t="s">
        <v>1667</v>
      </c>
    </row>
    <row r="1404" spans="2:2">
      <c r="B1404" s="177" t="s">
        <v>1668</v>
      </c>
    </row>
    <row r="1405" spans="2:2">
      <c r="B1405" s="177" t="s">
        <v>1669</v>
      </c>
    </row>
    <row r="1406" spans="2:2">
      <c r="B1406" s="177" t="s">
        <v>1670</v>
      </c>
    </row>
    <row r="1407" spans="2:2">
      <c r="B1407" s="177" t="s">
        <v>1671</v>
      </c>
    </row>
    <row r="1408" spans="2:2">
      <c r="B1408" s="177" t="s">
        <v>1672</v>
      </c>
    </row>
    <row r="1409" spans="2:2">
      <c r="B1409" s="177" t="s">
        <v>1673</v>
      </c>
    </row>
    <row r="1410" spans="2:2">
      <c r="B1410" s="177" t="s">
        <v>1674</v>
      </c>
    </row>
    <row r="1411" spans="2:2">
      <c r="B1411" s="177" t="s">
        <v>1675</v>
      </c>
    </row>
    <row r="1412" spans="2:2">
      <c r="B1412" s="177" t="s">
        <v>1676</v>
      </c>
    </row>
    <row r="1413" spans="2:2">
      <c r="B1413" s="177" t="s">
        <v>1677</v>
      </c>
    </row>
    <row r="1414" spans="2:2">
      <c r="B1414" s="177" t="s">
        <v>1678</v>
      </c>
    </row>
    <row r="1415" spans="2:2">
      <c r="B1415" s="177" t="s">
        <v>1679</v>
      </c>
    </row>
    <row r="1416" spans="2:2">
      <c r="B1416" s="177" t="s">
        <v>1680</v>
      </c>
    </row>
    <row r="1417" spans="2:2">
      <c r="B1417" s="177" t="s">
        <v>1681</v>
      </c>
    </row>
    <row r="1418" spans="2:2">
      <c r="B1418" s="177" t="s">
        <v>1682</v>
      </c>
    </row>
    <row r="1419" spans="2:2">
      <c r="B1419" s="177" t="s">
        <v>1683</v>
      </c>
    </row>
    <row r="1420" spans="2:2">
      <c r="B1420" s="177" t="s">
        <v>1684</v>
      </c>
    </row>
    <row r="1421" spans="2:2">
      <c r="B1421" s="177" t="s">
        <v>1685</v>
      </c>
    </row>
    <row r="1422" spans="2:2">
      <c r="B1422" s="177" t="s">
        <v>1686</v>
      </c>
    </row>
    <row r="1423" spans="2:2">
      <c r="B1423" s="177" t="s">
        <v>1687</v>
      </c>
    </row>
    <row r="1424" spans="2:2">
      <c r="B1424" s="177" t="s">
        <v>1688</v>
      </c>
    </row>
    <row r="1425" spans="2:2">
      <c r="B1425" s="177" t="s">
        <v>1689</v>
      </c>
    </row>
    <row r="1426" spans="2:2">
      <c r="B1426" s="177" t="s">
        <v>1690</v>
      </c>
    </row>
    <row r="1427" spans="2:2">
      <c r="B1427" s="177" t="s">
        <v>1691</v>
      </c>
    </row>
    <row r="1428" spans="2:2">
      <c r="B1428" s="177" t="s">
        <v>1692</v>
      </c>
    </row>
    <row r="1429" spans="2:2">
      <c r="B1429" s="177" t="s">
        <v>1693</v>
      </c>
    </row>
    <row r="1430" spans="2:2">
      <c r="B1430" s="177" t="s">
        <v>1694</v>
      </c>
    </row>
    <row r="1431" spans="2:2">
      <c r="B1431" s="177" t="s">
        <v>1695</v>
      </c>
    </row>
    <row r="1432" spans="2:2">
      <c r="B1432" s="177" t="s">
        <v>1696</v>
      </c>
    </row>
    <row r="1433" spans="2:2">
      <c r="B1433" s="177" t="s">
        <v>1697</v>
      </c>
    </row>
    <row r="1434" spans="2:2">
      <c r="B1434" s="177" t="s">
        <v>1698</v>
      </c>
    </row>
    <row r="1435" spans="2:2">
      <c r="B1435" s="177" t="s">
        <v>1699</v>
      </c>
    </row>
    <row r="1436" spans="2:2">
      <c r="B1436" s="177" t="s">
        <v>1700</v>
      </c>
    </row>
    <row r="1437" spans="2:2">
      <c r="B1437" s="177" t="s">
        <v>1701</v>
      </c>
    </row>
    <row r="1438" spans="2:2">
      <c r="B1438" s="177" t="s">
        <v>1702</v>
      </c>
    </row>
    <row r="1439" spans="2:2">
      <c r="B1439" s="177" t="s">
        <v>1703</v>
      </c>
    </row>
    <row r="1440" spans="2:2">
      <c r="B1440" s="177" t="s">
        <v>1704</v>
      </c>
    </row>
    <row r="1441" spans="2:2">
      <c r="B1441" s="177" t="s">
        <v>1705</v>
      </c>
    </row>
    <row r="1442" spans="2:2">
      <c r="B1442" s="177" t="s">
        <v>1706</v>
      </c>
    </row>
    <row r="1443" spans="2:2">
      <c r="B1443" s="177" t="s">
        <v>1707</v>
      </c>
    </row>
    <row r="1444" spans="2:2">
      <c r="B1444" s="177" t="s">
        <v>1708</v>
      </c>
    </row>
    <row r="1445" spans="2:2">
      <c r="B1445" s="177" t="s">
        <v>1709</v>
      </c>
    </row>
    <row r="1446" spans="2:2">
      <c r="B1446" s="177" t="s">
        <v>1710</v>
      </c>
    </row>
    <row r="1447" spans="2:2">
      <c r="B1447" s="177" t="s">
        <v>1711</v>
      </c>
    </row>
    <row r="1448" spans="2:2">
      <c r="B1448" s="177" t="s">
        <v>1712</v>
      </c>
    </row>
    <row r="1449" spans="2:2">
      <c r="B1449" s="177" t="s">
        <v>1713</v>
      </c>
    </row>
    <row r="1450" spans="2:2">
      <c r="B1450" s="177" t="s">
        <v>1714</v>
      </c>
    </row>
    <row r="1451" spans="2:2">
      <c r="B1451" s="177" t="s">
        <v>1715</v>
      </c>
    </row>
    <row r="1452" spans="2:2">
      <c r="B1452" s="177" t="s">
        <v>1716</v>
      </c>
    </row>
    <row r="1453" spans="2:2">
      <c r="B1453" s="177" t="s">
        <v>1717</v>
      </c>
    </row>
    <row r="1454" spans="2:2">
      <c r="B1454" s="177" t="s">
        <v>1718</v>
      </c>
    </row>
    <row r="1455" spans="2:2">
      <c r="B1455" s="177" t="s">
        <v>1719</v>
      </c>
    </row>
    <row r="1456" spans="2:2">
      <c r="B1456" s="177" t="s">
        <v>1720</v>
      </c>
    </row>
    <row r="1457" spans="2:2">
      <c r="B1457" s="177" t="s">
        <v>1721</v>
      </c>
    </row>
    <row r="1458" spans="2:2">
      <c r="B1458" s="177" t="s">
        <v>1722</v>
      </c>
    </row>
    <row r="1459" spans="2:2">
      <c r="B1459" s="177" t="s">
        <v>1723</v>
      </c>
    </row>
    <row r="1460" spans="2:2">
      <c r="B1460" s="177" t="s">
        <v>1724</v>
      </c>
    </row>
    <row r="1461" spans="2:2">
      <c r="B1461" s="177" t="s">
        <v>1725</v>
      </c>
    </row>
    <row r="1462" spans="2:2">
      <c r="B1462" s="177" t="s">
        <v>1726</v>
      </c>
    </row>
    <row r="1463" spans="2:2">
      <c r="B1463" s="177" t="s">
        <v>1727</v>
      </c>
    </row>
    <row r="1464" spans="2:2">
      <c r="B1464" s="177" t="s">
        <v>1728</v>
      </c>
    </row>
    <row r="1465" spans="2:2">
      <c r="B1465" s="177" t="s">
        <v>1729</v>
      </c>
    </row>
    <row r="1466" spans="2:2">
      <c r="B1466" s="177" t="s">
        <v>1730</v>
      </c>
    </row>
    <row r="1467" spans="2:2">
      <c r="B1467" s="177" t="s">
        <v>1731</v>
      </c>
    </row>
    <row r="1468" spans="2:2">
      <c r="B1468" s="177" t="s">
        <v>1732</v>
      </c>
    </row>
    <row r="1469" spans="2:2">
      <c r="B1469" s="177" t="s">
        <v>1733</v>
      </c>
    </row>
    <row r="1470" spans="2:2">
      <c r="B1470" s="177" t="s">
        <v>1734</v>
      </c>
    </row>
    <row r="1471" spans="2:2">
      <c r="B1471" s="177" t="s">
        <v>1735</v>
      </c>
    </row>
    <row r="1472" spans="2:2">
      <c r="B1472" s="177" t="s">
        <v>1736</v>
      </c>
    </row>
    <row r="1473" spans="2:2">
      <c r="B1473" s="177" t="s">
        <v>1737</v>
      </c>
    </row>
    <row r="1474" spans="2:2">
      <c r="B1474" s="177" t="s">
        <v>1738</v>
      </c>
    </row>
    <row r="1475" spans="2:2">
      <c r="B1475" s="177" t="s">
        <v>1739</v>
      </c>
    </row>
    <row r="1476" spans="2:2">
      <c r="B1476" s="177" t="s">
        <v>1740</v>
      </c>
    </row>
    <row r="1477" spans="2:2">
      <c r="B1477" s="177" t="s">
        <v>1741</v>
      </c>
    </row>
    <row r="1478" spans="2:2">
      <c r="B1478" s="177" t="s">
        <v>1742</v>
      </c>
    </row>
    <row r="1479" spans="2:2">
      <c r="B1479" s="177" t="s">
        <v>1743</v>
      </c>
    </row>
    <row r="1480" spans="2:2">
      <c r="B1480" s="177" t="s">
        <v>1744</v>
      </c>
    </row>
    <row r="1481" spans="2:2">
      <c r="B1481" s="177" t="s">
        <v>1745</v>
      </c>
    </row>
    <row r="1482" spans="2:2">
      <c r="B1482" s="177" t="s">
        <v>1746</v>
      </c>
    </row>
    <row r="1483" spans="2:2">
      <c r="B1483" s="177" t="s">
        <v>1747</v>
      </c>
    </row>
    <row r="1484" spans="2:2">
      <c r="B1484" s="177" t="s">
        <v>1748</v>
      </c>
    </row>
    <row r="1485" spans="2:2">
      <c r="B1485" s="177" t="s">
        <v>1749</v>
      </c>
    </row>
    <row r="1486" spans="2:2">
      <c r="B1486" s="177" t="s">
        <v>1750</v>
      </c>
    </row>
    <row r="1487" spans="2:2">
      <c r="B1487" s="177" t="s">
        <v>1751</v>
      </c>
    </row>
    <row r="1488" spans="2:2">
      <c r="B1488" s="177" t="s">
        <v>1752</v>
      </c>
    </row>
    <row r="1489" spans="2:2">
      <c r="B1489" s="177" t="s">
        <v>1753</v>
      </c>
    </row>
    <row r="1490" spans="2:2">
      <c r="B1490" s="177" t="s">
        <v>1754</v>
      </c>
    </row>
    <row r="1491" spans="2:2">
      <c r="B1491" s="177" t="s">
        <v>1755</v>
      </c>
    </row>
    <row r="1492" spans="2:2">
      <c r="B1492" s="177" t="s">
        <v>1756</v>
      </c>
    </row>
    <row r="1493" spans="2:2">
      <c r="B1493" s="177" t="s">
        <v>1757</v>
      </c>
    </row>
    <row r="1494" spans="2:2">
      <c r="B1494" s="177" t="s">
        <v>1758</v>
      </c>
    </row>
    <row r="1495" spans="2:2">
      <c r="B1495" s="177" t="s">
        <v>1759</v>
      </c>
    </row>
    <row r="1496" spans="2:2">
      <c r="B1496" s="177" t="s">
        <v>1760</v>
      </c>
    </row>
    <row r="1497" spans="2:2">
      <c r="B1497" s="177" t="s">
        <v>1761</v>
      </c>
    </row>
    <row r="1498" spans="2:2">
      <c r="B1498" s="177" t="s">
        <v>1762</v>
      </c>
    </row>
    <row r="1499" spans="2:2">
      <c r="B1499" s="177" t="s">
        <v>1763</v>
      </c>
    </row>
    <row r="1500" spans="2:2">
      <c r="B1500" s="177" t="s">
        <v>1764</v>
      </c>
    </row>
    <row r="1501" spans="2:2">
      <c r="B1501" s="177" t="s">
        <v>1765</v>
      </c>
    </row>
    <row r="1502" spans="2:2">
      <c r="B1502" s="177" t="s">
        <v>1766</v>
      </c>
    </row>
    <row r="1503" spans="2:2">
      <c r="B1503" s="177" t="s">
        <v>1767</v>
      </c>
    </row>
    <row r="1504" spans="2:2">
      <c r="B1504" s="177" t="s">
        <v>1768</v>
      </c>
    </row>
    <row r="1505" spans="2:2">
      <c r="B1505" s="177" t="s">
        <v>1769</v>
      </c>
    </row>
    <row r="1506" spans="2:2">
      <c r="B1506" s="177" t="s">
        <v>1770</v>
      </c>
    </row>
    <row r="1507" spans="2:2">
      <c r="B1507" s="177" t="s">
        <v>1771</v>
      </c>
    </row>
    <row r="1508" spans="2:2">
      <c r="B1508" s="177" t="s">
        <v>1772</v>
      </c>
    </row>
    <row r="1509" spans="2:2">
      <c r="B1509" s="177" t="s">
        <v>1773</v>
      </c>
    </row>
    <row r="1510" spans="2:2">
      <c r="B1510" s="177" t="s">
        <v>1774</v>
      </c>
    </row>
    <row r="1511" spans="2:2">
      <c r="B1511" s="177" t="s">
        <v>1775</v>
      </c>
    </row>
    <row r="1512" spans="2:2">
      <c r="B1512" s="177" t="s">
        <v>1776</v>
      </c>
    </row>
    <row r="1513" spans="2:2">
      <c r="B1513" s="177" t="s">
        <v>1777</v>
      </c>
    </row>
    <row r="1514" spans="2:2">
      <c r="B1514" s="177" t="s">
        <v>1778</v>
      </c>
    </row>
    <row r="1515" spans="2:2">
      <c r="B1515" s="177" t="s">
        <v>1779</v>
      </c>
    </row>
    <row r="1516" spans="2:2">
      <c r="B1516" s="177" t="s">
        <v>1780</v>
      </c>
    </row>
    <row r="1517" spans="2:2">
      <c r="B1517" s="177" t="s">
        <v>1781</v>
      </c>
    </row>
    <row r="1518" spans="2:2">
      <c r="B1518" s="177" t="s">
        <v>1782</v>
      </c>
    </row>
    <row r="1519" spans="2:2">
      <c r="B1519" s="177" t="s">
        <v>1783</v>
      </c>
    </row>
    <row r="1520" spans="2:2">
      <c r="B1520" s="177" t="s">
        <v>1784</v>
      </c>
    </row>
    <row r="1521" spans="2:2">
      <c r="B1521" s="177" t="s">
        <v>1785</v>
      </c>
    </row>
    <row r="1522" spans="2:2">
      <c r="B1522" s="177" t="s">
        <v>1786</v>
      </c>
    </row>
    <row r="1523" spans="2:2">
      <c r="B1523" s="177" t="s">
        <v>1787</v>
      </c>
    </row>
    <row r="1524" spans="2:2">
      <c r="B1524" s="177" t="s">
        <v>1788</v>
      </c>
    </row>
    <row r="1525" spans="2:2">
      <c r="B1525" s="177" t="s">
        <v>1789</v>
      </c>
    </row>
    <row r="1526" spans="2:2">
      <c r="B1526" s="177" t="s">
        <v>1790</v>
      </c>
    </row>
    <row r="1527" spans="2:2">
      <c r="B1527" s="177" t="s">
        <v>1791</v>
      </c>
    </row>
    <row r="1528" spans="2:2">
      <c r="B1528" s="177" t="s">
        <v>1792</v>
      </c>
    </row>
    <row r="1529" spans="2:2">
      <c r="B1529" s="177" t="s">
        <v>1793</v>
      </c>
    </row>
    <row r="1530" spans="2:2">
      <c r="B1530" s="177" t="s">
        <v>1794</v>
      </c>
    </row>
    <row r="1531" spans="2:2">
      <c r="B1531" s="177" t="s">
        <v>1795</v>
      </c>
    </row>
    <row r="1532" spans="2:2">
      <c r="B1532" s="177" t="s">
        <v>1796</v>
      </c>
    </row>
    <row r="1533" spans="2:2">
      <c r="B1533" s="177" t="s">
        <v>1797</v>
      </c>
    </row>
    <row r="1534" spans="2:2">
      <c r="B1534" s="177" t="s">
        <v>1798</v>
      </c>
    </row>
    <row r="1535" spans="2:2">
      <c r="B1535" s="177" t="s">
        <v>1799</v>
      </c>
    </row>
    <row r="1536" spans="2:2">
      <c r="B1536" s="177" t="s">
        <v>1800</v>
      </c>
    </row>
    <row r="1537" spans="2:2">
      <c r="B1537" s="177" t="s">
        <v>1801</v>
      </c>
    </row>
    <row r="1538" spans="2:2">
      <c r="B1538" s="177" t="s">
        <v>1802</v>
      </c>
    </row>
    <row r="1539" spans="2:2">
      <c r="B1539" s="177" t="s">
        <v>1803</v>
      </c>
    </row>
    <row r="1540" spans="2:2">
      <c r="B1540" s="177" t="s">
        <v>1804</v>
      </c>
    </row>
    <row r="1541" spans="2:2">
      <c r="B1541" s="177" t="s">
        <v>1805</v>
      </c>
    </row>
    <row r="1542" spans="2:2">
      <c r="B1542" s="177" t="s">
        <v>1806</v>
      </c>
    </row>
    <row r="1543" spans="2:2">
      <c r="B1543" s="177" t="s">
        <v>1807</v>
      </c>
    </row>
    <row r="1544" spans="2:2">
      <c r="B1544" s="177" t="s">
        <v>1808</v>
      </c>
    </row>
    <row r="1545" spans="2:2">
      <c r="B1545" s="177" t="s">
        <v>1809</v>
      </c>
    </row>
    <row r="1546" spans="2:2">
      <c r="B1546" s="177" t="s">
        <v>1810</v>
      </c>
    </row>
    <row r="1547" spans="2:2">
      <c r="B1547" s="177" t="s">
        <v>1811</v>
      </c>
    </row>
    <row r="1548" spans="2:2">
      <c r="B1548" s="177" t="s">
        <v>1812</v>
      </c>
    </row>
    <row r="1549" spans="2:2">
      <c r="B1549" s="177" t="s">
        <v>1813</v>
      </c>
    </row>
    <row r="1550" spans="2:2">
      <c r="B1550" s="177" t="s">
        <v>1814</v>
      </c>
    </row>
    <row r="1551" spans="2:2">
      <c r="B1551" s="177" t="s">
        <v>1815</v>
      </c>
    </row>
    <row r="1552" spans="2:2">
      <c r="B1552" s="177" t="s">
        <v>1816</v>
      </c>
    </row>
    <row r="1553" spans="2:2">
      <c r="B1553" s="177" t="s">
        <v>1817</v>
      </c>
    </row>
    <row r="1554" spans="2:2">
      <c r="B1554" s="177" t="s">
        <v>1818</v>
      </c>
    </row>
    <row r="1555" spans="2:2">
      <c r="B1555" s="177" t="s">
        <v>1819</v>
      </c>
    </row>
    <row r="1556" spans="2:2">
      <c r="B1556" s="177" t="s">
        <v>1820</v>
      </c>
    </row>
    <row r="1557" spans="2:2">
      <c r="B1557" s="177" t="s">
        <v>1821</v>
      </c>
    </row>
    <row r="1558" spans="2:2">
      <c r="B1558" s="177" t="s">
        <v>1822</v>
      </c>
    </row>
    <row r="1559" spans="2:2">
      <c r="B1559" s="177" t="s">
        <v>1823</v>
      </c>
    </row>
    <row r="1560" spans="2:2">
      <c r="B1560" s="177" t="s">
        <v>1824</v>
      </c>
    </row>
    <row r="1561" spans="2:2">
      <c r="B1561" s="177" t="s">
        <v>1825</v>
      </c>
    </row>
    <row r="1562" spans="2:2">
      <c r="B1562" s="177" t="s">
        <v>1826</v>
      </c>
    </row>
    <row r="1563" spans="2:2">
      <c r="B1563" s="177" t="s">
        <v>1827</v>
      </c>
    </row>
    <row r="1564" spans="2:2">
      <c r="B1564" s="177" t="s">
        <v>1828</v>
      </c>
    </row>
    <row r="1565" spans="2:2">
      <c r="B1565" s="177" t="s">
        <v>1829</v>
      </c>
    </row>
    <row r="1566" spans="2:2">
      <c r="B1566" s="177" t="s">
        <v>1830</v>
      </c>
    </row>
    <row r="1567" spans="2:2">
      <c r="B1567" s="177" t="s">
        <v>1831</v>
      </c>
    </row>
    <row r="1568" spans="2:2">
      <c r="B1568" s="177" t="s">
        <v>1832</v>
      </c>
    </row>
    <row r="1569" spans="2:2">
      <c r="B1569" s="177" t="s">
        <v>1833</v>
      </c>
    </row>
    <row r="1570" spans="2:2">
      <c r="B1570" s="177" t="s">
        <v>1834</v>
      </c>
    </row>
    <row r="1571" spans="2:2">
      <c r="B1571" s="177" t="s">
        <v>1835</v>
      </c>
    </row>
    <row r="1572" spans="2:2">
      <c r="B1572" s="177" t="s">
        <v>1836</v>
      </c>
    </row>
    <row r="1573" spans="2:2">
      <c r="B1573" s="177" t="s">
        <v>1837</v>
      </c>
    </row>
    <row r="1574" spans="2:2">
      <c r="B1574" s="177" t="s">
        <v>1838</v>
      </c>
    </row>
    <row r="1575" spans="2:2">
      <c r="B1575" s="177" t="s">
        <v>1839</v>
      </c>
    </row>
    <row r="1576" spans="2:2">
      <c r="B1576" s="177" t="s">
        <v>1840</v>
      </c>
    </row>
    <row r="1577" spans="2:2">
      <c r="B1577" s="177" t="s">
        <v>1841</v>
      </c>
    </row>
    <row r="1578" spans="2:2">
      <c r="B1578" s="177" t="s">
        <v>1842</v>
      </c>
    </row>
    <row r="1579" spans="2:2">
      <c r="B1579" s="177" t="s">
        <v>1843</v>
      </c>
    </row>
    <row r="1580" spans="2:2">
      <c r="B1580" s="177" t="s">
        <v>1844</v>
      </c>
    </row>
    <row r="1581" spans="2:2">
      <c r="B1581" s="177" t="s">
        <v>1845</v>
      </c>
    </row>
    <row r="1582" spans="2:2">
      <c r="B1582" s="177" t="s">
        <v>1846</v>
      </c>
    </row>
    <row r="1583" spans="2:2">
      <c r="B1583" s="177" t="s">
        <v>1847</v>
      </c>
    </row>
    <row r="1584" spans="2:2">
      <c r="B1584" s="177" t="s">
        <v>1848</v>
      </c>
    </row>
    <row r="1585" spans="2:2">
      <c r="B1585" s="177" t="s">
        <v>1849</v>
      </c>
    </row>
    <row r="1586" spans="2:2">
      <c r="B1586" s="177" t="s">
        <v>1850</v>
      </c>
    </row>
    <row r="1587" spans="2:2">
      <c r="B1587" s="177" t="s">
        <v>1851</v>
      </c>
    </row>
    <row r="1588" spans="2:2">
      <c r="B1588" s="177" t="s">
        <v>1852</v>
      </c>
    </row>
    <row r="1589" spans="2:2">
      <c r="B1589" s="177" t="s">
        <v>1853</v>
      </c>
    </row>
    <row r="1590" spans="2:2">
      <c r="B1590" s="177" t="s">
        <v>1854</v>
      </c>
    </row>
    <row r="1591" spans="2:2">
      <c r="B1591" s="177" t="s">
        <v>1855</v>
      </c>
    </row>
    <row r="1592" spans="2:2">
      <c r="B1592" s="177" t="s">
        <v>1856</v>
      </c>
    </row>
    <row r="1593" spans="2:2">
      <c r="B1593" s="177" t="s">
        <v>1857</v>
      </c>
    </row>
    <row r="1594" spans="2:2">
      <c r="B1594" s="177" t="s">
        <v>1858</v>
      </c>
    </row>
    <row r="1595" spans="2:2">
      <c r="B1595" s="177" t="s">
        <v>1859</v>
      </c>
    </row>
    <row r="1596" spans="2:2">
      <c r="B1596" s="177" t="s">
        <v>1860</v>
      </c>
    </row>
    <row r="1597" spans="2:2">
      <c r="B1597" s="177" t="s">
        <v>1861</v>
      </c>
    </row>
    <row r="1598" spans="2:2">
      <c r="B1598" s="177" t="s">
        <v>1862</v>
      </c>
    </row>
    <row r="1599" spans="2:2">
      <c r="B1599" s="177" t="s">
        <v>1863</v>
      </c>
    </row>
    <row r="1600" spans="2:2">
      <c r="B1600" s="177" t="s">
        <v>1864</v>
      </c>
    </row>
    <row r="1601" spans="2:2">
      <c r="B1601" s="177" t="s">
        <v>1865</v>
      </c>
    </row>
    <row r="1602" spans="2:2">
      <c r="B1602" s="177" t="s">
        <v>1866</v>
      </c>
    </row>
    <row r="1603" spans="2:2">
      <c r="B1603" s="177" t="s">
        <v>1867</v>
      </c>
    </row>
    <row r="1604" spans="2:2">
      <c r="B1604" s="177" t="s">
        <v>1868</v>
      </c>
    </row>
    <row r="1605" spans="2:2">
      <c r="B1605" s="177" t="s">
        <v>1869</v>
      </c>
    </row>
    <row r="1606" spans="2:2">
      <c r="B1606" s="177" t="s">
        <v>1870</v>
      </c>
    </row>
    <row r="1607" spans="2:2">
      <c r="B1607" s="177" t="s">
        <v>1871</v>
      </c>
    </row>
    <row r="1608" spans="2:2">
      <c r="B1608" s="177" t="s">
        <v>1872</v>
      </c>
    </row>
    <row r="1609" spans="2:2">
      <c r="B1609" s="177" t="s">
        <v>1873</v>
      </c>
    </row>
    <row r="1610" spans="2:2">
      <c r="B1610" s="177" t="s">
        <v>1874</v>
      </c>
    </row>
    <row r="1611" spans="2:2">
      <c r="B1611" s="177" t="s">
        <v>1875</v>
      </c>
    </row>
    <row r="1612" spans="2:2">
      <c r="B1612" s="177" t="s">
        <v>1876</v>
      </c>
    </row>
    <row r="1613" spans="2:2">
      <c r="B1613" s="177" t="s">
        <v>1877</v>
      </c>
    </row>
    <row r="1614" spans="2:2">
      <c r="B1614" s="177" t="s">
        <v>1878</v>
      </c>
    </row>
    <row r="1615" spans="2:2">
      <c r="B1615" s="177" t="s">
        <v>1879</v>
      </c>
    </row>
    <row r="1616" spans="2:2">
      <c r="B1616" s="177" t="s">
        <v>1880</v>
      </c>
    </row>
    <row r="1617" spans="2:2">
      <c r="B1617" s="177" t="s">
        <v>1881</v>
      </c>
    </row>
    <row r="1618" spans="2:2">
      <c r="B1618" s="177" t="s">
        <v>1882</v>
      </c>
    </row>
    <row r="1619" spans="2:2">
      <c r="B1619" s="177" t="s">
        <v>1883</v>
      </c>
    </row>
    <row r="1620" spans="2:2">
      <c r="B1620" s="177" t="s">
        <v>1884</v>
      </c>
    </row>
    <row r="1621" spans="2:2">
      <c r="B1621" s="177" t="s">
        <v>1885</v>
      </c>
    </row>
    <row r="1622" spans="2:2">
      <c r="B1622" s="177" t="s">
        <v>1886</v>
      </c>
    </row>
    <row r="1623" spans="2:2">
      <c r="B1623" s="177" t="s">
        <v>1887</v>
      </c>
    </row>
    <row r="1624" spans="2:2">
      <c r="B1624" s="177" t="s">
        <v>1888</v>
      </c>
    </row>
    <row r="1625" spans="2:2">
      <c r="B1625" s="177" t="s">
        <v>1889</v>
      </c>
    </row>
    <row r="1626" spans="2:2">
      <c r="B1626" s="177" t="s">
        <v>1890</v>
      </c>
    </row>
    <row r="1627" spans="2:2">
      <c r="B1627" s="177" t="s">
        <v>1891</v>
      </c>
    </row>
    <row r="1628" spans="2:2">
      <c r="B1628" s="177" t="s">
        <v>1892</v>
      </c>
    </row>
    <row r="1629" spans="2:2">
      <c r="B1629" s="177" t="s">
        <v>1893</v>
      </c>
    </row>
    <row r="1630" spans="2:2">
      <c r="B1630" s="177" t="s">
        <v>1894</v>
      </c>
    </row>
    <row r="1631" spans="2:2">
      <c r="B1631" s="177" t="s">
        <v>1895</v>
      </c>
    </row>
    <row r="1632" spans="2:2">
      <c r="B1632" s="177" t="s">
        <v>1896</v>
      </c>
    </row>
    <row r="1633" spans="2:2">
      <c r="B1633" s="177" t="s">
        <v>1897</v>
      </c>
    </row>
    <row r="1634" spans="2:2">
      <c r="B1634" s="177" t="s">
        <v>1898</v>
      </c>
    </row>
    <row r="1635" spans="2:2">
      <c r="B1635" s="177" t="s">
        <v>1899</v>
      </c>
    </row>
    <row r="1636" spans="2:2">
      <c r="B1636" s="177" t="s">
        <v>1900</v>
      </c>
    </row>
    <row r="1637" spans="2:2">
      <c r="B1637" s="177" t="s">
        <v>1901</v>
      </c>
    </row>
    <row r="1638" spans="2:2">
      <c r="B1638" s="177" t="s">
        <v>1902</v>
      </c>
    </row>
    <row r="1639" spans="2:2">
      <c r="B1639" s="177" t="s">
        <v>1903</v>
      </c>
    </row>
    <row r="1640" spans="2:2">
      <c r="B1640" s="177" t="s">
        <v>1904</v>
      </c>
    </row>
    <row r="1641" spans="2:2">
      <c r="B1641" s="177" t="s">
        <v>1905</v>
      </c>
    </row>
    <row r="1642" spans="2:2">
      <c r="B1642" s="177" t="s">
        <v>1906</v>
      </c>
    </row>
    <row r="1643" spans="2:2">
      <c r="B1643" s="177" t="s">
        <v>1907</v>
      </c>
    </row>
    <row r="1644" spans="2:2">
      <c r="B1644" s="177" t="s">
        <v>1908</v>
      </c>
    </row>
    <row r="1645" spans="2:2">
      <c r="B1645" s="177" t="s">
        <v>1909</v>
      </c>
    </row>
    <row r="1646" spans="2:2">
      <c r="B1646" s="177" t="s">
        <v>1910</v>
      </c>
    </row>
    <row r="1647" spans="2:2">
      <c r="B1647" s="177" t="s">
        <v>1911</v>
      </c>
    </row>
    <row r="1648" spans="2:2">
      <c r="B1648" s="177" t="s">
        <v>1912</v>
      </c>
    </row>
    <row r="1649" spans="2:2">
      <c r="B1649" s="177" t="s">
        <v>1913</v>
      </c>
    </row>
    <row r="1650" spans="2:2">
      <c r="B1650" s="177" t="s">
        <v>1914</v>
      </c>
    </row>
    <row r="1651" spans="2:2">
      <c r="B1651" s="177" t="s">
        <v>1915</v>
      </c>
    </row>
    <row r="1652" spans="2:2">
      <c r="B1652" s="177" t="s">
        <v>1916</v>
      </c>
    </row>
    <row r="1653" spans="2:2">
      <c r="B1653" s="177" t="s">
        <v>1917</v>
      </c>
    </row>
    <row r="1654" spans="2:2">
      <c r="B1654" s="177" t="s">
        <v>1918</v>
      </c>
    </row>
    <row r="1655" spans="2:2">
      <c r="B1655" s="177" t="s">
        <v>1919</v>
      </c>
    </row>
    <row r="1656" spans="2:2">
      <c r="B1656" s="177" t="s">
        <v>1920</v>
      </c>
    </row>
    <row r="1657" spans="2:2">
      <c r="B1657" s="177" t="s">
        <v>1921</v>
      </c>
    </row>
    <row r="1658" spans="2:2">
      <c r="B1658" s="177" t="s">
        <v>1922</v>
      </c>
    </row>
    <row r="1659" spans="2:2">
      <c r="B1659" s="177" t="s">
        <v>1923</v>
      </c>
    </row>
    <row r="1660" spans="2:2">
      <c r="B1660" s="177" t="s">
        <v>1924</v>
      </c>
    </row>
    <row r="1661" spans="2:2">
      <c r="B1661" s="177" t="s">
        <v>1925</v>
      </c>
    </row>
    <row r="1662" spans="2:2">
      <c r="B1662" s="177" t="s">
        <v>1926</v>
      </c>
    </row>
    <row r="1663" spans="2:2">
      <c r="B1663" s="177" t="s">
        <v>1927</v>
      </c>
    </row>
    <row r="1664" spans="2:2">
      <c r="B1664" s="177" t="s">
        <v>1928</v>
      </c>
    </row>
    <row r="1665" spans="2:2">
      <c r="B1665" s="177" t="s">
        <v>1929</v>
      </c>
    </row>
    <row r="1666" spans="2:2">
      <c r="B1666" s="177" t="s">
        <v>1930</v>
      </c>
    </row>
    <row r="1667" spans="2:2">
      <c r="B1667" s="177" t="s">
        <v>1931</v>
      </c>
    </row>
    <row r="1668" spans="2:2">
      <c r="B1668" s="177" t="s">
        <v>1932</v>
      </c>
    </row>
    <row r="1669" spans="2:2">
      <c r="B1669" s="177" t="s">
        <v>1933</v>
      </c>
    </row>
    <row r="1670" spans="2:2">
      <c r="B1670" s="177" t="s">
        <v>1934</v>
      </c>
    </row>
    <row r="1671" spans="2:2">
      <c r="B1671" s="177" t="s">
        <v>1935</v>
      </c>
    </row>
    <row r="1672" spans="2:2">
      <c r="B1672" s="177" t="s">
        <v>1936</v>
      </c>
    </row>
    <row r="1673" spans="2:2">
      <c r="B1673" s="177" t="s">
        <v>1937</v>
      </c>
    </row>
    <row r="1674" spans="2:2">
      <c r="B1674" s="177" t="s">
        <v>1938</v>
      </c>
    </row>
    <row r="1675" spans="2:2">
      <c r="B1675" s="177" t="s">
        <v>1939</v>
      </c>
    </row>
    <row r="1676" spans="2:2">
      <c r="B1676" s="177" t="s">
        <v>1940</v>
      </c>
    </row>
    <row r="1677" spans="2:2">
      <c r="B1677" s="177" t="s">
        <v>1941</v>
      </c>
    </row>
    <row r="1678" spans="2:2">
      <c r="B1678" s="177" t="s">
        <v>1942</v>
      </c>
    </row>
    <row r="1679" spans="2:2">
      <c r="B1679" s="177" t="s">
        <v>1943</v>
      </c>
    </row>
    <row r="1680" spans="2:2">
      <c r="B1680" s="177" t="s">
        <v>1944</v>
      </c>
    </row>
    <row r="1681" spans="2:2">
      <c r="B1681" s="177" t="s">
        <v>1945</v>
      </c>
    </row>
    <row r="1682" spans="2:2">
      <c r="B1682" s="177" t="s">
        <v>1946</v>
      </c>
    </row>
    <row r="1683" spans="2:2">
      <c r="B1683" s="177" t="s">
        <v>1947</v>
      </c>
    </row>
    <row r="1684" spans="2:2">
      <c r="B1684" s="177" t="s">
        <v>1948</v>
      </c>
    </row>
    <row r="1685" spans="2:2">
      <c r="B1685" s="177" t="s">
        <v>1949</v>
      </c>
    </row>
    <row r="1686" spans="2:2">
      <c r="B1686" s="177" t="s">
        <v>1950</v>
      </c>
    </row>
    <row r="1687" spans="2:2">
      <c r="B1687" s="177" t="s">
        <v>1951</v>
      </c>
    </row>
    <row r="1688" spans="2:2">
      <c r="B1688" s="177" t="s">
        <v>1952</v>
      </c>
    </row>
    <row r="1689" spans="2:2">
      <c r="B1689" s="177" t="s">
        <v>1953</v>
      </c>
    </row>
    <row r="1690" spans="2:2">
      <c r="B1690" s="177" t="s">
        <v>1954</v>
      </c>
    </row>
    <row r="1691" spans="2:2">
      <c r="B1691" s="177" t="s">
        <v>1955</v>
      </c>
    </row>
    <row r="1692" spans="2:2">
      <c r="B1692" s="177" t="s">
        <v>1956</v>
      </c>
    </row>
    <row r="1693" spans="2:2">
      <c r="B1693" s="177" t="s">
        <v>1957</v>
      </c>
    </row>
    <row r="1694" spans="2:2">
      <c r="B1694" s="177" t="s">
        <v>1958</v>
      </c>
    </row>
    <row r="1695" spans="2:2">
      <c r="B1695" s="177" t="s">
        <v>1959</v>
      </c>
    </row>
    <row r="1696" spans="2:2">
      <c r="B1696" s="177" t="s">
        <v>1960</v>
      </c>
    </row>
    <row r="1697" spans="2:2">
      <c r="B1697" s="177" t="s">
        <v>1961</v>
      </c>
    </row>
    <row r="1698" spans="2:2">
      <c r="B1698" s="177" t="s">
        <v>1962</v>
      </c>
    </row>
    <row r="1699" spans="2:2">
      <c r="B1699" s="177" t="s">
        <v>1963</v>
      </c>
    </row>
    <row r="1700" spans="2:2">
      <c r="B1700" s="177" t="s">
        <v>1964</v>
      </c>
    </row>
    <row r="1701" spans="2:2">
      <c r="B1701" s="177" t="s">
        <v>1965</v>
      </c>
    </row>
    <row r="1702" spans="2:2">
      <c r="B1702" s="177" t="s">
        <v>1966</v>
      </c>
    </row>
    <row r="1703" spans="2:2">
      <c r="B1703" s="177" t="s">
        <v>1967</v>
      </c>
    </row>
    <row r="1704" spans="2:2">
      <c r="B1704" s="177" t="s">
        <v>1968</v>
      </c>
    </row>
    <row r="1705" spans="2:2">
      <c r="B1705" s="177" t="s">
        <v>1969</v>
      </c>
    </row>
    <row r="1706" spans="2:2">
      <c r="B1706" s="177" t="s">
        <v>1970</v>
      </c>
    </row>
    <row r="1707" spans="2:2">
      <c r="B1707" s="177" t="s">
        <v>1971</v>
      </c>
    </row>
    <row r="1708" spans="2:2">
      <c r="B1708" s="177" t="s">
        <v>1972</v>
      </c>
    </row>
    <row r="1709" spans="2:2">
      <c r="B1709" s="177" t="s">
        <v>1973</v>
      </c>
    </row>
    <row r="1710" spans="2:2">
      <c r="B1710" s="177" t="s">
        <v>1974</v>
      </c>
    </row>
    <row r="1711" spans="2:2">
      <c r="B1711" s="177" t="s">
        <v>1975</v>
      </c>
    </row>
    <row r="1712" spans="2:2">
      <c r="B1712" s="177" t="s">
        <v>1976</v>
      </c>
    </row>
    <row r="1713" spans="2:2">
      <c r="B1713" s="177" t="s">
        <v>1977</v>
      </c>
    </row>
    <row r="1714" spans="2:2">
      <c r="B1714" s="177" t="s">
        <v>1978</v>
      </c>
    </row>
    <row r="1715" spans="2:2">
      <c r="B1715" s="177" t="s">
        <v>1979</v>
      </c>
    </row>
    <row r="1716" spans="2:2">
      <c r="B1716" s="177" t="s">
        <v>1980</v>
      </c>
    </row>
    <row r="1717" spans="2:2">
      <c r="B1717" s="177" t="s">
        <v>1981</v>
      </c>
    </row>
    <row r="1718" spans="2:2">
      <c r="B1718" s="177" t="s">
        <v>1982</v>
      </c>
    </row>
    <row r="1719" spans="2:2">
      <c r="B1719" s="177" t="s">
        <v>1983</v>
      </c>
    </row>
    <row r="1720" spans="2:2">
      <c r="B1720" s="177" t="s">
        <v>1984</v>
      </c>
    </row>
    <row r="1721" spans="2:2">
      <c r="B1721" s="177" t="s">
        <v>1985</v>
      </c>
    </row>
    <row r="1722" spans="2:2">
      <c r="B1722" s="177" t="s">
        <v>1986</v>
      </c>
    </row>
    <row r="1723" spans="2:2">
      <c r="B1723" s="177" t="s">
        <v>1987</v>
      </c>
    </row>
    <row r="1724" spans="2:2">
      <c r="B1724" s="177" t="s">
        <v>1988</v>
      </c>
    </row>
    <row r="1725" spans="2:2">
      <c r="B1725" s="177" t="s">
        <v>1989</v>
      </c>
    </row>
    <row r="1726" spans="2:2">
      <c r="B1726" s="177" t="s">
        <v>1990</v>
      </c>
    </row>
    <row r="1727" spans="2:2">
      <c r="B1727" s="177" t="s">
        <v>1991</v>
      </c>
    </row>
    <row r="1728" spans="2:2">
      <c r="B1728" s="177" t="s">
        <v>1992</v>
      </c>
    </row>
    <row r="1729" spans="2:2">
      <c r="B1729" s="177" t="s">
        <v>1993</v>
      </c>
    </row>
    <row r="1730" spans="2:2">
      <c r="B1730" s="177" t="s">
        <v>1994</v>
      </c>
    </row>
    <row r="1731" spans="2:2">
      <c r="B1731" s="177" t="s">
        <v>1995</v>
      </c>
    </row>
    <row r="1732" spans="2:2">
      <c r="B1732" s="177" t="s">
        <v>1996</v>
      </c>
    </row>
    <row r="1733" spans="2:2">
      <c r="B1733" s="177" t="s">
        <v>1997</v>
      </c>
    </row>
    <row r="1734" spans="2:2">
      <c r="B1734" s="177" t="s">
        <v>1998</v>
      </c>
    </row>
    <row r="1735" spans="2:2">
      <c r="B1735" s="177" t="s">
        <v>1999</v>
      </c>
    </row>
    <row r="1736" spans="2:2">
      <c r="B1736" s="177" t="s">
        <v>2000</v>
      </c>
    </row>
    <row r="1737" spans="2:2">
      <c r="B1737" s="177" t="s">
        <v>2001</v>
      </c>
    </row>
    <row r="1738" spans="2:2">
      <c r="B1738" s="177" t="s">
        <v>2002</v>
      </c>
    </row>
    <row r="1739" spans="2:2">
      <c r="B1739" s="177" t="s">
        <v>2003</v>
      </c>
    </row>
    <row r="1740" spans="2:2">
      <c r="B1740" s="177" t="s">
        <v>2004</v>
      </c>
    </row>
    <row r="1741" spans="2:2">
      <c r="B1741" s="177" t="s">
        <v>2005</v>
      </c>
    </row>
    <row r="1742" spans="2:2">
      <c r="B1742" s="177" t="s">
        <v>2006</v>
      </c>
    </row>
    <row r="1743" spans="2:2">
      <c r="B1743" s="177" t="s">
        <v>2007</v>
      </c>
    </row>
    <row r="1744" spans="2:2">
      <c r="B1744" s="177" t="s">
        <v>2008</v>
      </c>
    </row>
    <row r="1745" spans="2:2">
      <c r="B1745" s="177" t="s">
        <v>2009</v>
      </c>
    </row>
    <row r="1746" spans="2:2">
      <c r="B1746" s="177" t="s">
        <v>2010</v>
      </c>
    </row>
    <row r="1747" spans="2:2">
      <c r="B1747" s="177" t="s">
        <v>2011</v>
      </c>
    </row>
    <row r="1748" spans="2:2">
      <c r="B1748" s="177" t="s">
        <v>2012</v>
      </c>
    </row>
    <row r="1749" spans="2:2">
      <c r="B1749" s="177" t="s">
        <v>2013</v>
      </c>
    </row>
    <row r="1750" spans="2:2">
      <c r="B1750" s="177" t="s">
        <v>2014</v>
      </c>
    </row>
    <row r="1751" spans="2:2">
      <c r="B1751" s="177" t="s">
        <v>2015</v>
      </c>
    </row>
    <row r="1752" spans="2:2">
      <c r="B1752" s="177" t="s">
        <v>2016</v>
      </c>
    </row>
    <row r="1753" spans="2:2">
      <c r="B1753" s="177" t="s">
        <v>2017</v>
      </c>
    </row>
    <row r="1754" spans="2:2">
      <c r="B1754" s="177" t="s">
        <v>2018</v>
      </c>
    </row>
    <row r="1755" spans="2:2">
      <c r="B1755" s="177" t="s">
        <v>2019</v>
      </c>
    </row>
    <row r="1756" spans="2:2">
      <c r="B1756" s="177" t="s">
        <v>2020</v>
      </c>
    </row>
    <row r="1757" spans="2:2">
      <c r="B1757" s="177" t="s">
        <v>2021</v>
      </c>
    </row>
    <row r="1758" spans="2:2">
      <c r="B1758" s="177" t="s">
        <v>2022</v>
      </c>
    </row>
    <row r="1759" spans="2:2">
      <c r="B1759" s="177" t="s">
        <v>2023</v>
      </c>
    </row>
    <row r="1760" spans="2:2">
      <c r="B1760" s="177" t="s">
        <v>2024</v>
      </c>
    </row>
    <row r="1761" spans="2:2">
      <c r="B1761" s="177" t="s">
        <v>2025</v>
      </c>
    </row>
    <row r="1762" spans="2:2">
      <c r="B1762" s="177" t="s">
        <v>2026</v>
      </c>
    </row>
    <row r="1763" spans="2:2">
      <c r="B1763" s="177" t="s">
        <v>2027</v>
      </c>
    </row>
    <row r="1764" spans="2:2">
      <c r="B1764" s="177" t="s">
        <v>2028</v>
      </c>
    </row>
    <row r="1765" spans="2:2">
      <c r="B1765" s="177" t="s">
        <v>2029</v>
      </c>
    </row>
    <row r="1766" spans="2:2">
      <c r="B1766" s="177" t="s">
        <v>2030</v>
      </c>
    </row>
    <row r="1767" spans="2:2">
      <c r="B1767" s="177" t="s">
        <v>2031</v>
      </c>
    </row>
    <row r="1768" spans="2:2">
      <c r="B1768" s="177" t="s">
        <v>2032</v>
      </c>
    </row>
    <row r="1769" spans="2:2">
      <c r="B1769" s="177" t="s">
        <v>2033</v>
      </c>
    </row>
    <row r="1770" spans="2:2">
      <c r="B1770" s="177" t="s">
        <v>2034</v>
      </c>
    </row>
    <row r="1771" spans="2:2">
      <c r="B1771" s="177" t="s">
        <v>2035</v>
      </c>
    </row>
    <row r="1772" spans="2:2">
      <c r="B1772" s="177" t="s">
        <v>2036</v>
      </c>
    </row>
    <row r="1773" spans="2:2">
      <c r="B1773" s="177" t="s">
        <v>2037</v>
      </c>
    </row>
    <row r="1774" spans="2:2">
      <c r="B1774" s="177" t="s">
        <v>2038</v>
      </c>
    </row>
    <row r="1775" spans="2:2">
      <c r="B1775" s="177" t="s">
        <v>2039</v>
      </c>
    </row>
    <row r="1776" spans="2:2">
      <c r="B1776" s="177" t="s">
        <v>2040</v>
      </c>
    </row>
    <row r="1777" spans="2:2">
      <c r="B1777" s="177" t="s">
        <v>2041</v>
      </c>
    </row>
    <row r="1778" spans="2:2">
      <c r="B1778" s="177" t="s">
        <v>2042</v>
      </c>
    </row>
    <row r="1779" spans="2:2">
      <c r="B1779" s="177" t="s">
        <v>2043</v>
      </c>
    </row>
    <row r="1780" spans="2:2">
      <c r="B1780" s="177" t="s">
        <v>2044</v>
      </c>
    </row>
    <row r="1781" spans="2:2">
      <c r="B1781" s="177" t="s">
        <v>2045</v>
      </c>
    </row>
    <row r="1782" spans="2:2">
      <c r="B1782" s="177" t="s">
        <v>2046</v>
      </c>
    </row>
    <row r="1783" spans="2:2">
      <c r="B1783" s="177" t="s">
        <v>2047</v>
      </c>
    </row>
    <row r="1784" spans="2:2">
      <c r="B1784" s="177" t="s">
        <v>2048</v>
      </c>
    </row>
    <row r="1785" spans="2:2">
      <c r="B1785" s="177" t="s">
        <v>2049</v>
      </c>
    </row>
    <row r="1786" spans="2:2">
      <c r="B1786" s="177" t="s">
        <v>2050</v>
      </c>
    </row>
    <row r="1787" spans="2:2">
      <c r="B1787" s="177" t="s">
        <v>2051</v>
      </c>
    </row>
    <row r="1788" spans="2:2">
      <c r="B1788" s="177" t="s">
        <v>2052</v>
      </c>
    </row>
    <row r="1789" spans="2:2">
      <c r="B1789" s="177" t="s">
        <v>2053</v>
      </c>
    </row>
    <row r="1790" spans="2:2">
      <c r="B1790" s="177" t="s">
        <v>2054</v>
      </c>
    </row>
    <row r="1791" spans="2:2">
      <c r="B1791" s="177" t="s">
        <v>2055</v>
      </c>
    </row>
    <row r="1792" spans="2:2">
      <c r="B1792" s="177" t="s">
        <v>2056</v>
      </c>
    </row>
    <row r="1793" spans="2:2">
      <c r="B1793" s="177" t="s">
        <v>2057</v>
      </c>
    </row>
    <row r="1794" spans="2:2">
      <c r="B1794" s="177" t="s">
        <v>2058</v>
      </c>
    </row>
    <row r="1795" spans="2:2">
      <c r="B1795" s="177" t="s">
        <v>2059</v>
      </c>
    </row>
    <row r="1796" spans="2:2">
      <c r="B1796" s="177" t="s">
        <v>2060</v>
      </c>
    </row>
    <row r="1797" spans="2:2">
      <c r="B1797" s="177" t="s">
        <v>2061</v>
      </c>
    </row>
    <row r="1798" spans="2:2">
      <c r="B1798" s="177" t="s">
        <v>2062</v>
      </c>
    </row>
    <row r="1799" spans="2:2">
      <c r="B1799" s="177" t="s">
        <v>2063</v>
      </c>
    </row>
    <row r="1800" spans="2:2">
      <c r="B1800" s="177" t="s">
        <v>2064</v>
      </c>
    </row>
    <row r="1801" spans="2:2">
      <c r="B1801" s="177" t="s">
        <v>2065</v>
      </c>
    </row>
    <row r="1802" spans="2:2">
      <c r="B1802" s="177" t="s">
        <v>2066</v>
      </c>
    </row>
    <row r="1803" spans="2:2">
      <c r="B1803" s="177" t="s">
        <v>2067</v>
      </c>
    </row>
    <row r="1804" spans="2:2">
      <c r="B1804" s="177" t="s">
        <v>2068</v>
      </c>
    </row>
    <row r="1805" spans="2:2">
      <c r="B1805" s="177" t="s">
        <v>2069</v>
      </c>
    </row>
    <row r="1806" spans="2:2">
      <c r="B1806" s="177" t="s">
        <v>2070</v>
      </c>
    </row>
    <row r="1807" spans="2:2">
      <c r="B1807" s="177" t="s">
        <v>2071</v>
      </c>
    </row>
    <row r="1808" spans="2:2">
      <c r="B1808" s="177" t="s">
        <v>2072</v>
      </c>
    </row>
    <row r="1809" spans="2:2">
      <c r="B1809" s="177" t="s">
        <v>2073</v>
      </c>
    </row>
    <row r="1810" spans="2:2">
      <c r="B1810" s="177" t="s">
        <v>2074</v>
      </c>
    </row>
    <row r="1811" spans="2:2">
      <c r="B1811" s="177" t="s">
        <v>2075</v>
      </c>
    </row>
    <row r="1812" spans="2:2">
      <c r="B1812" s="177" t="s">
        <v>2076</v>
      </c>
    </row>
    <row r="1813" spans="2:2">
      <c r="B1813" s="177" t="s">
        <v>2077</v>
      </c>
    </row>
    <row r="1814" spans="2:2">
      <c r="B1814" s="177" t="s">
        <v>2078</v>
      </c>
    </row>
    <row r="1815" spans="2:2">
      <c r="B1815" s="177" t="s">
        <v>2079</v>
      </c>
    </row>
    <row r="1816" spans="2:2">
      <c r="B1816" s="177" t="s">
        <v>2080</v>
      </c>
    </row>
    <row r="1817" spans="2:2">
      <c r="B1817" s="177" t="s">
        <v>2081</v>
      </c>
    </row>
    <row r="1818" spans="2:2">
      <c r="B1818" s="177" t="s">
        <v>2082</v>
      </c>
    </row>
    <row r="1819" spans="2:2">
      <c r="B1819" s="177" t="s">
        <v>2083</v>
      </c>
    </row>
    <row r="1820" spans="2:2">
      <c r="B1820" s="177" t="s">
        <v>2084</v>
      </c>
    </row>
    <row r="1821" spans="2:2">
      <c r="B1821" s="177" t="s">
        <v>2085</v>
      </c>
    </row>
    <row r="1822" spans="2:2">
      <c r="B1822" s="177" t="s">
        <v>2086</v>
      </c>
    </row>
    <row r="1823" spans="2:2">
      <c r="B1823" s="177" t="s">
        <v>2087</v>
      </c>
    </row>
    <row r="1824" spans="2:2">
      <c r="B1824" s="177" t="s">
        <v>2088</v>
      </c>
    </row>
    <row r="1825" spans="2:2">
      <c r="B1825" s="177" t="s">
        <v>2089</v>
      </c>
    </row>
    <row r="1826" spans="2:2">
      <c r="B1826" s="177" t="s">
        <v>2090</v>
      </c>
    </row>
    <row r="1827" spans="2:2">
      <c r="B1827" s="177" t="s">
        <v>2091</v>
      </c>
    </row>
    <row r="1828" spans="2:2">
      <c r="B1828" s="177" t="s">
        <v>2092</v>
      </c>
    </row>
    <row r="1829" spans="2:2">
      <c r="B1829" s="177" t="s">
        <v>2093</v>
      </c>
    </row>
    <row r="1830" spans="2:2">
      <c r="B1830" s="177" t="s">
        <v>2094</v>
      </c>
    </row>
    <row r="1831" spans="2:2">
      <c r="B1831" s="177" t="s">
        <v>2095</v>
      </c>
    </row>
    <row r="1832" spans="2:2">
      <c r="B1832" s="177" t="s">
        <v>2096</v>
      </c>
    </row>
    <row r="1833" spans="2:2">
      <c r="B1833" s="177" t="s">
        <v>2097</v>
      </c>
    </row>
    <row r="1834" spans="2:2">
      <c r="B1834" s="177" t="s">
        <v>2098</v>
      </c>
    </row>
    <row r="1835" spans="2:2">
      <c r="B1835" s="177" t="s">
        <v>2099</v>
      </c>
    </row>
    <row r="1836" spans="2:2">
      <c r="B1836" s="177" t="s">
        <v>2100</v>
      </c>
    </row>
    <row r="1837" spans="2:2">
      <c r="B1837" s="177" t="s">
        <v>2101</v>
      </c>
    </row>
    <row r="1838" spans="2:2">
      <c r="B1838" s="177" t="s">
        <v>2102</v>
      </c>
    </row>
    <row r="1839" spans="2:2">
      <c r="B1839" s="177" t="s">
        <v>2103</v>
      </c>
    </row>
    <row r="1840" spans="2:2">
      <c r="B1840" s="177" t="s">
        <v>2104</v>
      </c>
    </row>
    <row r="1841" spans="2:2">
      <c r="B1841" s="177" t="s">
        <v>2105</v>
      </c>
    </row>
    <row r="1842" spans="2:2">
      <c r="B1842" s="177" t="s">
        <v>2106</v>
      </c>
    </row>
    <row r="1843" spans="2:2">
      <c r="B1843" s="177" t="s">
        <v>2107</v>
      </c>
    </row>
    <row r="1844" spans="2:2">
      <c r="B1844" s="177" t="s">
        <v>2108</v>
      </c>
    </row>
    <row r="1845" spans="2:2">
      <c r="B1845" s="177" t="s">
        <v>2109</v>
      </c>
    </row>
    <row r="1846" spans="2:2">
      <c r="B1846" s="177" t="s">
        <v>2110</v>
      </c>
    </row>
    <row r="1847" spans="2:2">
      <c r="B1847" s="177" t="s">
        <v>2111</v>
      </c>
    </row>
    <row r="1848" spans="2:2">
      <c r="B1848" s="177" t="s">
        <v>2112</v>
      </c>
    </row>
    <row r="1849" spans="2:2">
      <c r="B1849" s="177" t="s">
        <v>2113</v>
      </c>
    </row>
    <row r="1850" spans="2:2">
      <c r="B1850" s="177" t="s">
        <v>2114</v>
      </c>
    </row>
    <row r="1851" spans="2:2">
      <c r="B1851" s="177" t="s">
        <v>2115</v>
      </c>
    </row>
    <row r="1852" spans="2:2">
      <c r="B1852" s="177" t="s">
        <v>2116</v>
      </c>
    </row>
    <row r="1853" spans="2:2">
      <c r="B1853" s="177" t="s">
        <v>2117</v>
      </c>
    </row>
    <row r="1854" spans="2:2">
      <c r="B1854" s="177" t="s">
        <v>2118</v>
      </c>
    </row>
    <row r="1855" spans="2:2">
      <c r="B1855" s="177" t="s">
        <v>2119</v>
      </c>
    </row>
    <row r="1856" spans="2:2">
      <c r="B1856" s="177" t="s">
        <v>2120</v>
      </c>
    </row>
    <row r="1857" spans="2:2">
      <c r="B1857" s="177" t="s">
        <v>2121</v>
      </c>
    </row>
    <row r="1858" spans="2:2">
      <c r="B1858" s="177" t="s">
        <v>2122</v>
      </c>
    </row>
    <row r="1859" spans="2:2">
      <c r="B1859" s="177" t="s">
        <v>2123</v>
      </c>
    </row>
    <row r="1860" spans="2:2">
      <c r="B1860" s="177" t="s">
        <v>2124</v>
      </c>
    </row>
    <row r="1861" spans="2:2">
      <c r="B1861" s="177" t="s">
        <v>2125</v>
      </c>
    </row>
    <row r="1862" spans="2:2">
      <c r="B1862" s="177" t="s">
        <v>2126</v>
      </c>
    </row>
    <row r="1863" spans="2:2">
      <c r="B1863" s="177" t="s">
        <v>2127</v>
      </c>
    </row>
    <row r="1864" spans="2:2">
      <c r="B1864" s="177" t="s">
        <v>2128</v>
      </c>
    </row>
    <row r="1865" spans="2:2">
      <c r="B1865" s="177" t="s">
        <v>2129</v>
      </c>
    </row>
    <row r="1866" spans="2:2">
      <c r="B1866" s="177" t="s">
        <v>2130</v>
      </c>
    </row>
    <row r="1867" spans="2:2">
      <c r="B1867" s="177" t="s">
        <v>2131</v>
      </c>
    </row>
    <row r="1868" spans="2:2">
      <c r="B1868" s="177" t="s">
        <v>2132</v>
      </c>
    </row>
    <row r="1869" spans="2:2">
      <c r="B1869" s="177" t="s">
        <v>2133</v>
      </c>
    </row>
    <row r="1870" spans="2:2">
      <c r="B1870" s="177" t="s">
        <v>2134</v>
      </c>
    </row>
    <row r="1871" spans="2:2">
      <c r="B1871" s="177" t="s">
        <v>2135</v>
      </c>
    </row>
    <row r="1872" spans="2:2">
      <c r="B1872" s="177" t="s">
        <v>2136</v>
      </c>
    </row>
    <row r="1873" spans="2:2">
      <c r="B1873" s="177" t="s">
        <v>2137</v>
      </c>
    </row>
    <row r="1874" spans="2:2">
      <c r="B1874" s="177" t="s">
        <v>2138</v>
      </c>
    </row>
    <row r="1875" spans="2:2">
      <c r="B1875" s="177" t="s">
        <v>2139</v>
      </c>
    </row>
    <row r="1876" spans="2:2">
      <c r="B1876" s="177" t="s">
        <v>2140</v>
      </c>
    </row>
    <row r="1877" spans="2:2">
      <c r="B1877" s="177" t="s">
        <v>2141</v>
      </c>
    </row>
    <row r="1878" spans="2:2">
      <c r="B1878" s="177" t="s">
        <v>2142</v>
      </c>
    </row>
    <row r="1879" spans="2:2">
      <c r="B1879" s="177" t="s">
        <v>2143</v>
      </c>
    </row>
    <row r="1880" spans="2:2">
      <c r="B1880" s="177" t="s">
        <v>2144</v>
      </c>
    </row>
    <row r="1881" spans="2:2">
      <c r="B1881" s="177" t="s">
        <v>2145</v>
      </c>
    </row>
    <row r="1882" spans="2:2">
      <c r="B1882" s="177" t="s">
        <v>2146</v>
      </c>
    </row>
    <row r="1883" spans="2:2">
      <c r="B1883" s="177" t="s">
        <v>2147</v>
      </c>
    </row>
    <row r="1884" spans="2:2">
      <c r="B1884" s="177" t="s">
        <v>2148</v>
      </c>
    </row>
    <row r="1885" spans="2:2">
      <c r="B1885" s="177" t="s">
        <v>2149</v>
      </c>
    </row>
    <row r="1886" spans="2:2">
      <c r="B1886" s="177" t="s">
        <v>2150</v>
      </c>
    </row>
    <row r="1887" spans="2:2">
      <c r="B1887" s="177" t="s">
        <v>2151</v>
      </c>
    </row>
    <row r="1888" spans="2:2">
      <c r="B1888" s="177" t="s">
        <v>2152</v>
      </c>
    </row>
    <row r="1889" spans="2:2">
      <c r="B1889" s="177" t="s">
        <v>2153</v>
      </c>
    </row>
    <row r="1890" spans="2:2">
      <c r="B1890" s="177" t="s">
        <v>2154</v>
      </c>
    </row>
    <row r="1891" spans="2:2">
      <c r="B1891" s="177" t="s">
        <v>2155</v>
      </c>
    </row>
    <row r="1892" spans="2:2">
      <c r="B1892" s="177" t="s">
        <v>2156</v>
      </c>
    </row>
    <row r="1893" spans="2:2">
      <c r="B1893" s="177" t="s">
        <v>2157</v>
      </c>
    </row>
    <row r="1894" spans="2:2">
      <c r="B1894" s="177" t="s">
        <v>2158</v>
      </c>
    </row>
    <row r="1895" spans="2:2">
      <c r="B1895" s="177" t="s">
        <v>2159</v>
      </c>
    </row>
    <row r="1896" spans="2:2">
      <c r="B1896" s="177" t="s">
        <v>2160</v>
      </c>
    </row>
    <row r="1897" spans="2:2">
      <c r="B1897" s="177" t="s">
        <v>2161</v>
      </c>
    </row>
    <row r="1898" spans="2:2">
      <c r="B1898" s="177" t="s">
        <v>2162</v>
      </c>
    </row>
    <row r="1899" spans="2:2">
      <c r="B1899" s="177" t="s">
        <v>2163</v>
      </c>
    </row>
    <row r="1900" spans="2:2">
      <c r="B1900" s="177" t="s">
        <v>2164</v>
      </c>
    </row>
    <row r="1901" spans="2:2">
      <c r="B1901" s="177" t="s">
        <v>2165</v>
      </c>
    </row>
    <row r="1902" spans="2:2">
      <c r="B1902" s="177" t="s">
        <v>2166</v>
      </c>
    </row>
    <row r="1903" spans="2:2">
      <c r="B1903" s="177" t="s">
        <v>2167</v>
      </c>
    </row>
    <row r="1904" spans="2:2">
      <c r="B1904" s="177" t="s">
        <v>2168</v>
      </c>
    </row>
    <row r="1905" spans="2:2">
      <c r="B1905" s="177" t="s">
        <v>2169</v>
      </c>
    </row>
    <row r="1906" spans="2:2">
      <c r="B1906" s="177" t="s">
        <v>2170</v>
      </c>
    </row>
    <row r="1907" spans="2:2">
      <c r="B1907" s="177" t="s">
        <v>2171</v>
      </c>
    </row>
    <row r="1908" spans="2:2">
      <c r="B1908" s="177" t="s">
        <v>2172</v>
      </c>
    </row>
    <row r="1909" spans="2:2">
      <c r="B1909" s="177" t="s">
        <v>2173</v>
      </c>
    </row>
    <row r="1910" spans="2:2">
      <c r="B1910" s="177" t="s">
        <v>2174</v>
      </c>
    </row>
    <row r="1911" spans="2:2">
      <c r="B1911" s="177" t="s">
        <v>2175</v>
      </c>
    </row>
    <row r="1912" spans="2:2">
      <c r="B1912" s="177" t="s">
        <v>2176</v>
      </c>
    </row>
    <row r="1913" spans="2:2">
      <c r="B1913" s="177" t="s">
        <v>2177</v>
      </c>
    </row>
    <row r="1914" spans="2:2">
      <c r="B1914" s="177" t="s">
        <v>2178</v>
      </c>
    </row>
    <row r="1915" spans="2:2">
      <c r="B1915" s="177" t="s">
        <v>2179</v>
      </c>
    </row>
    <row r="1916" spans="2:2">
      <c r="B1916" s="177" t="s">
        <v>2180</v>
      </c>
    </row>
    <row r="1917" spans="2:2">
      <c r="B1917" s="177" t="s">
        <v>2181</v>
      </c>
    </row>
    <row r="1918" spans="2:2">
      <c r="B1918" s="177" t="s">
        <v>2182</v>
      </c>
    </row>
    <row r="1919" spans="2:2">
      <c r="B1919" s="177" t="s">
        <v>2183</v>
      </c>
    </row>
    <row r="1920" spans="2:2">
      <c r="B1920" s="177" t="s">
        <v>2184</v>
      </c>
    </row>
    <row r="1921" spans="2:2">
      <c r="B1921" s="177" t="s">
        <v>2185</v>
      </c>
    </row>
    <row r="1922" spans="2:2">
      <c r="B1922" s="177" t="s">
        <v>2186</v>
      </c>
    </row>
    <row r="1923" spans="2:2">
      <c r="B1923" s="177" t="s">
        <v>2187</v>
      </c>
    </row>
    <row r="1924" spans="2:2">
      <c r="B1924" s="177" t="s">
        <v>2188</v>
      </c>
    </row>
    <row r="1925" spans="2:2">
      <c r="B1925" s="177" t="s">
        <v>2189</v>
      </c>
    </row>
    <row r="1926" spans="2:2">
      <c r="B1926" s="177" t="s">
        <v>2190</v>
      </c>
    </row>
    <row r="1927" spans="2:2">
      <c r="B1927" s="177" t="s">
        <v>2191</v>
      </c>
    </row>
    <row r="1928" spans="2:2">
      <c r="B1928" s="177" t="s">
        <v>2192</v>
      </c>
    </row>
    <row r="1929" spans="2:2">
      <c r="B1929" s="177" t="s">
        <v>2193</v>
      </c>
    </row>
    <row r="1930" spans="2:2">
      <c r="B1930" s="177" t="s">
        <v>2194</v>
      </c>
    </row>
    <row r="1931" spans="2:2">
      <c r="B1931" s="177" t="s">
        <v>2195</v>
      </c>
    </row>
    <row r="1932" spans="2:2">
      <c r="B1932" s="177" t="s">
        <v>2196</v>
      </c>
    </row>
    <row r="1933" spans="2:2">
      <c r="B1933" s="177" t="s">
        <v>2197</v>
      </c>
    </row>
    <row r="1934" spans="2:2">
      <c r="B1934" s="177" t="s">
        <v>2198</v>
      </c>
    </row>
    <row r="1935" spans="2:2">
      <c r="B1935" s="177" t="s">
        <v>2199</v>
      </c>
    </row>
    <row r="1936" spans="2:2">
      <c r="B1936" s="177" t="s">
        <v>2200</v>
      </c>
    </row>
    <row r="1937" spans="2:2">
      <c r="B1937" s="177" t="s">
        <v>2201</v>
      </c>
    </row>
    <row r="1938" spans="2:2">
      <c r="B1938" s="177" t="s">
        <v>2202</v>
      </c>
    </row>
    <row r="1939" spans="2:2">
      <c r="B1939" s="177" t="s">
        <v>2203</v>
      </c>
    </row>
    <row r="1940" spans="2:2">
      <c r="B1940" s="177" t="s">
        <v>2204</v>
      </c>
    </row>
    <row r="1941" spans="2:2">
      <c r="B1941" s="177" t="s">
        <v>2205</v>
      </c>
    </row>
    <row r="1942" spans="2:2">
      <c r="B1942" s="177" t="s">
        <v>2206</v>
      </c>
    </row>
    <row r="1943" spans="2:2">
      <c r="B1943" s="177" t="s">
        <v>2207</v>
      </c>
    </row>
    <row r="1944" spans="2:2">
      <c r="B1944" s="177" t="s">
        <v>2208</v>
      </c>
    </row>
    <row r="1945" spans="2:2">
      <c r="B1945" s="177" t="s">
        <v>2209</v>
      </c>
    </row>
    <row r="1946" spans="2:2">
      <c r="B1946" s="177" t="s">
        <v>2210</v>
      </c>
    </row>
    <row r="1947" spans="2:2">
      <c r="B1947" s="177" t="s">
        <v>2211</v>
      </c>
    </row>
    <row r="1948" spans="2:2">
      <c r="B1948" s="177" t="s">
        <v>2212</v>
      </c>
    </row>
    <row r="1949" spans="2:2">
      <c r="B1949" s="177" t="s">
        <v>2213</v>
      </c>
    </row>
    <row r="1950" spans="2:2">
      <c r="B1950" s="177" t="s">
        <v>2214</v>
      </c>
    </row>
    <row r="1951" spans="2:2">
      <c r="B1951" s="177" t="s">
        <v>2215</v>
      </c>
    </row>
    <row r="1952" spans="2:2">
      <c r="B1952" s="177" t="s">
        <v>2216</v>
      </c>
    </row>
    <row r="1953" spans="2:2">
      <c r="B1953" s="177" t="s">
        <v>2217</v>
      </c>
    </row>
    <row r="1954" spans="2:2">
      <c r="B1954" s="177" t="s">
        <v>2218</v>
      </c>
    </row>
    <row r="1955" spans="2:2">
      <c r="B1955" s="177" t="s">
        <v>2219</v>
      </c>
    </row>
    <row r="1956" spans="2:2">
      <c r="B1956" s="177" t="s">
        <v>2220</v>
      </c>
    </row>
    <row r="1957" spans="2:2">
      <c r="B1957" s="177" t="s">
        <v>2221</v>
      </c>
    </row>
    <row r="1958" spans="2:2">
      <c r="B1958" s="177" t="s">
        <v>2222</v>
      </c>
    </row>
    <row r="1959" spans="2:2">
      <c r="B1959" s="177" t="s">
        <v>2223</v>
      </c>
    </row>
    <row r="1960" spans="2:2">
      <c r="B1960" s="177" t="s">
        <v>2224</v>
      </c>
    </row>
    <row r="1961" spans="2:2">
      <c r="B1961" s="177" t="s">
        <v>2225</v>
      </c>
    </row>
    <row r="1962" spans="2:2">
      <c r="B1962" s="177" t="s">
        <v>2226</v>
      </c>
    </row>
    <row r="1963" spans="2:2">
      <c r="B1963" s="177" t="s">
        <v>2227</v>
      </c>
    </row>
    <row r="1964" spans="2:2">
      <c r="B1964" s="177" t="s">
        <v>2228</v>
      </c>
    </row>
    <row r="1965" spans="2:2">
      <c r="B1965" s="177" t="s">
        <v>2229</v>
      </c>
    </row>
    <row r="1966" spans="2:2">
      <c r="B1966" s="177" t="s">
        <v>2230</v>
      </c>
    </row>
    <row r="1967" spans="2:2">
      <c r="B1967" s="177" t="s">
        <v>2231</v>
      </c>
    </row>
    <row r="1968" spans="2:2">
      <c r="B1968" s="177" t="s">
        <v>2232</v>
      </c>
    </row>
    <row r="1969" spans="2:2">
      <c r="B1969" s="177" t="s">
        <v>2233</v>
      </c>
    </row>
    <row r="1970" spans="2:2">
      <c r="B1970" s="177" t="s">
        <v>2234</v>
      </c>
    </row>
    <row r="1971" spans="2:2">
      <c r="B1971" s="177" t="s">
        <v>2235</v>
      </c>
    </row>
    <row r="1972" spans="2:2">
      <c r="B1972" s="177" t="s">
        <v>2236</v>
      </c>
    </row>
    <row r="1973" spans="2:2">
      <c r="B1973" s="177" t="s">
        <v>2237</v>
      </c>
    </row>
    <row r="1974" spans="2:2">
      <c r="B1974" s="177" t="s">
        <v>2238</v>
      </c>
    </row>
    <row r="1975" spans="2:2">
      <c r="B1975" s="177" t="s">
        <v>2239</v>
      </c>
    </row>
    <row r="1976" spans="2:2">
      <c r="B1976" s="177" t="s">
        <v>2240</v>
      </c>
    </row>
    <row r="1977" spans="2:2">
      <c r="B1977" s="177" t="s">
        <v>2241</v>
      </c>
    </row>
    <row r="1978" spans="2:2">
      <c r="B1978" s="177" t="s">
        <v>2242</v>
      </c>
    </row>
    <row r="1979" spans="2:2">
      <c r="B1979" s="177" t="s">
        <v>2243</v>
      </c>
    </row>
    <row r="1980" spans="2:2">
      <c r="B1980" s="177" t="s">
        <v>2244</v>
      </c>
    </row>
    <row r="1981" spans="2:2">
      <c r="B1981" s="177" t="s">
        <v>2245</v>
      </c>
    </row>
    <row r="1982" spans="2:2">
      <c r="B1982" s="177" t="s">
        <v>2246</v>
      </c>
    </row>
    <row r="1983" spans="2:2">
      <c r="B1983" s="177" t="s">
        <v>2247</v>
      </c>
    </row>
    <row r="1984" spans="2:2">
      <c r="B1984" s="177" t="s">
        <v>2248</v>
      </c>
    </row>
    <row r="1985" spans="2:2">
      <c r="B1985" s="177" t="s">
        <v>2249</v>
      </c>
    </row>
    <row r="1986" spans="2:2">
      <c r="B1986" s="177" t="s">
        <v>2250</v>
      </c>
    </row>
    <row r="1987" spans="2:2">
      <c r="B1987" s="177" t="s">
        <v>2251</v>
      </c>
    </row>
    <row r="1988" spans="2:2">
      <c r="B1988" s="177" t="s">
        <v>2252</v>
      </c>
    </row>
    <row r="1989" spans="2:2">
      <c r="B1989" s="177" t="s">
        <v>2253</v>
      </c>
    </row>
    <row r="1990" spans="2:2">
      <c r="B1990" s="177" t="s">
        <v>2254</v>
      </c>
    </row>
    <row r="1991" spans="2:2">
      <c r="B1991" s="177" t="s">
        <v>2255</v>
      </c>
    </row>
    <row r="1992" spans="2:2">
      <c r="B1992" s="177" t="s">
        <v>2256</v>
      </c>
    </row>
    <row r="1993" spans="2:2">
      <c r="B1993" s="177" t="s">
        <v>2257</v>
      </c>
    </row>
    <row r="1994" spans="2:2">
      <c r="B1994" s="177" t="s">
        <v>2258</v>
      </c>
    </row>
    <row r="1995" spans="2:2">
      <c r="B1995" s="177" t="s">
        <v>2259</v>
      </c>
    </row>
    <row r="1996" spans="2:2">
      <c r="B1996" s="177" t="s">
        <v>2260</v>
      </c>
    </row>
    <row r="1997" spans="2:2">
      <c r="B1997" s="177" t="s">
        <v>2261</v>
      </c>
    </row>
    <row r="1998" spans="2:2">
      <c r="B1998" s="177" t="s">
        <v>2262</v>
      </c>
    </row>
    <row r="1999" spans="2:2">
      <c r="B1999" s="177" t="s">
        <v>2263</v>
      </c>
    </row>
    <row r="2000" spans="2:2">
      <c r="B2000" s="177" t="s">
        <v>2264</v>
      </c>
    </row>
    <row r="2001" spans="2:2">
      <c r="B2001" s="177" t="s">
        <v>2265</v>
      </c>
    </row>
    <row r="2002" spans="2:2">
      <c r="B2002" s="177" t="s">
        <v>2266</v>
      </c>
    </row>
    <row r="2003" spans="2:2">
      <c r="B2003" s="177" t="s">
        <v>2267</v>
      </c>
    </row>
    <row r="2004" spans="2:2">
      <c r="B2004" s="177" t="s">
        <v>2268</v>
      </c>
    </row>
    <row r="2005" spans="2:2">
      <c r="B2005" s="177" t="s">
        <v>2269</v>
      </c>
    </row>
    <row r="2006" spans="2:2">
      <c r="B2006" s="177" t="s">
        <v>2270</v>
      </c>
    </row>
    <row r="2007" spans="2:2">
      <c r="B2007" s="177" t="s">
        <v>2271</v>
      </c>
    </row>
    <row r="2008" spans="2:2">
      <c r="B2008" s="177" t="s">
        <v>2272</v>
      </c>
    </row>
    <row r="2009" spans="2:2">
      <c r="B2009" s="177" t="s">
        <v>2273</v>
      </c>
    </row>
    <row r="2010" spans="2:2">
      <c r="B2010" s="177" t="s">
        <v>2274</v>
      </c>
    </row>
    <row r="2011" spans="2:2">
      <c r="B2011" s="177" t="s">
        <v>2275</v>
      </c>
    </row>
    <row r="2012" spans="2:2">
      <c r="B2012" s="177" t="s">
        <v>2276</v>
      </c>
    </row>
    <row r="2013" spans="2:2">
      <c r="B2013" s="177" t="s">
        <v>2277</v>
      </c>
    </row>
    <row r="2014" spans="2:2">
      <c r="B2014" s="177" t="s">
        <v>2278</v>
      </c>
    </row>
    <row r="2015" spans="2:2">
      <c r="B2015" s="177" t="s">
        <v>2279</v>
      </c>
    </row>
    <row r="2016" spans="2:2">
      <c r="B2016" s="177" t="s">
        <v>2280</v>
      </c>
    </row>
    <row r="2017" spans="2:2">
      <c r="B2017" s="177" t="s">
        <v>2281</v>
      </c>
    </row>
    <row r="2018" spans="2:2">
      <c r="B2018" s="177" t="s">
        <v>2282</v>
      </c>
    </row>
    <row r="2019" spans="2:2">
      <c r="B2019" s="177" t="s">
        <v>2283</v>
      </c>
    </row>
    <row r="2020" spans="2:2">
      <c r="B2020" s="177" t="s">
        <v>2284</v>
      </c>
    </row>
    <row r="2021" spans="2:2">
      <c r="B2021" s="177" t="s">
        <v>2285</v>
      </c>
    </row>
    <row r="2022" spans="2:2">
      <c r="B2022" s="177" t="s">
        <v>2286</v>
      </c>
    </row>
    <row r="2023" spans="2:2">
      <c r="B2023" s="177" t="s">
        <v>2287</v>
      </c>
    </row>
    <row r="2024" spans="2:2">
      <c r="B2024" s="177" t="s">
        <v>2288</v>
      </c>
    </row>
    <row r="2025" spans="2:2">
      <c r="B2025" s="177" t="s">
        <v>2289</v>
      </c>
    </row>
    <row r="2026" spans="2:2">
      <c r="B2026" s="177" t="s">
        <v>2290</v>
      </c>
    </row>
    <row r="2027" spans="2:2">
      <c r="B2027" s="177" t="s">
        <v>2291</v>
      </c>
    </row>
    <row r="2028" spans="2:2">
      <c r="B2028" s="177" t="s">
        <v>2292</v>
      </c>
    </row>
    <row r="2029" spans="2:2">
      <c r="B2029" s="177" t="s">
        <v>2293</v>
      </c>
    </row>
    <row r="2030" spans="2:2">
      <c r="B2030" s="177" t="s">
        <v>2294</v>
      </c>
    </row>
    <row r="2031" spans="2:2">
      <c r="B2031" s="177" t="s">
        <v>2295</v>
      </c>
    </row>
    <row r="2032" spans="2:2">
      <c r="B2032" s="177" t="s">
        <v>2296</v>
      </c>
    </row>
    <row r="2033" spans="2:2">
      <c r="B2033" s="177" t="s">
        <v>2297</v>
      </c>
    </row>
    <row r="2034" spans="2:2">
      <c r="B2034" s="177" t="s">
        <v>2298</v>
      </c>
    </row>
    <row r="2035" spans="2:2">
      <c r="B2035" s="177" t="s">
        <v>2299</v>
      </c>
    </row>
    <row r="2036" spans="2:2">
      <c r="B2036" s="177" t="s">
        <v>2300</v>
      </c>
    </row>
    <row r="2037" spans="2:2">
      <c r="B2037" s="177" t="s">
        <v>2301</v>
      </c>
    </row>
    <row r="2038" spans="2:2">
      <c r="B2038" s="177" t="s">
        <v>2302</v>
      </c>
    </row>
    <row r="2039" spans="2:2">
      <c r="B2039" s="177" t="s">
        <v>2303</v>
      </c>
    </row>
    <row r="2040" spans="2:2">
      <c r="B2040" s="177" t="s">
        <v>2304</v>
      </c>
    </row>
    <row r="2041" spans="2:2">
      <c r="B2041" s="177" t="s">
        <v>2305</v>
      </c>
    </row>
    <row r="2042" spans="2:2">
      <c r="B2042" s="177" t="s">
        <v>2306</v>
      </c>
    </row>
    <row r="2043" spans="2:2">
      <c r="B2043" s="177" t="s">
        <v>2307</v>
      </c>
    </row>
    <row r="2044" spans="2:2">
      <c r="B2044" s="177" t="s">
        <v>2308</v>
      </c>
    </row>
    <row r="2045" spans="2:2">
      <c r="B2045" s="177" t="s">
        <v>2309</v>
      </c>
    </row>
    <row r="2046" spans="2:2">
      <c r="B2046" s="177" t="s">
        <v>2310</v>
      </c>
    </row>
    <row r="2047" spans="2:2">
      <c r="B2047" s="177" t="s">
        <v>2311</v>
      </c>
    </row>
    <row r="2048" spans="2:2">
      <c r="B2048" s="177" t="s">
        <v>2312</v>
      </c>
    </row>
    <row r="2049" spans="2:2">
      <c r="B2049" s="177" t="s">
        <v>2313</v>
      </c>
    </row>
    <row r="2050" spans="2:2">
      <c r="B2050" s="177" t="s">
        <v>2314</v>
      </c>
    </row>
    <row r="2051" spans="2:2">
      <c r="B2051" s="177" t="s">
        <v>2315</v>
      </c>
    </row>
    <row r="2052" spans="2:2">
      <c r="B2052" s="177" t="s">
        <v>2316</v>
      </c>
    </row>
    <row r="2053" spans="2:2">
      <c r="B2053" s="177" t="s">
        <v>2317</v>
      </c>
    </row>
    <row r="2054" spans="2:2">
      <c r="B2054" s="177" t="s">
        <v>2318</v>
      </c>
    </row>
    <row r="2055" spans="2:2">
      <c r="B2055" s="177" t="s">
        <v>2319</v>
      </c>
    </row>
    <row r="2056" spans="2:2">
      <c r="B2056" s="177" t="s">
        <v>2320</v>
      </c>
    </row>
    <row r="2057" spans="2:2">
      <c r="B2057" s="177" t="s">
        <v>2321</v>
      </c>
    </row>
    <row r="2058" spans="2:2">
      <c r="B2058" s="177" t="s">
        <v>2322</v>
      </c>
    </row>
    <row r="2059" spans="2:2">
      <c r="B2059" s="177" t="s">
        <v>2323</v>
      </c>
    </row>
    <row r="2060" spans="2:2">
      <c r="B2060" s="177" t="s">
        <v>2324</v>
      </c>
    </row>
    <row r="2061" spans="2:2">
      <c r="B2061" s="177" t="s">
        <v>2325</v>
      </c>
    </row>
    <row r="2062" spans="2:2">
      <c r="B2062" s="177" t="s">
        <v>2326</v>
      </c>
    </row>
    <row r="2063" spans="2:2">
      <c r="B2063" s="177" t="s">
        <v>2327</v>
      </c>
    </row>
    <row r="2064" spans="2:2">
      <c r="B2064" s="177" t="s">
        <v>2328</v>
      </c>
    </row>
    <row r="2065" spans="2:2">
      <c r="B2065" s="177" t="s">
        <v>2329</v>
      </c>
    </row>
    <row r="2066" spans="2:2">
      <c r="B2066" s="177" t="s">
        <v>2330</v>
      </c>
    </row>
    <row r="2067" spans="2:2">
      <c r="B2067" s="177" t="s">
        <v>2331</v>
      </c>
    </row>
    <row r="2068" spans="2:2">
      <c r="B2068" s="177" t="s">
        <v>2332</v>
      </c>
    </row>
    <row r="2069" spans="2:2">
      <c r="B2069" s="177" t="s">
        <v>2333</v>
      </c>
    </row>
    <row r="2070" spans="2:2">
      <c r="B2070" s="177" t="s">
        <v>2334</v>
      </c>
    </row>
    <row r="2071" spans="2:2">
      <c r="B2071" s="177" t="s">
        <v>2335</v>
      </c>
    </row>
    <row r="2072" spans="2:2">
      <c r="B2072" s="177" t="s">
        <v>2336</v>
      </c>
    </row>
    <row r="2073" spans="2:2">
      <c r="B2073" s="177" t="s">
        <v>2337</v>
      </c>
    </row>
    <row r="2074" spans="2:2">
      <c r="B2074" s="177" t="s">
        <v>2338</v>
      </c>
    </row>
    <row r="2075" spans="2:2">
      <c r="B2075" s="177" t="s">
        <v>2339</v>
      </c>
    </row>
    <row r="2076" spans="2:2">
      <c r="B2076" s="177" t="s">
        <v>2340</v>
      </c>
    </row>
    <row r="2077" spans="2:2">
      <c r="B2077" s="177" t="s">
        <v>2341</v>
      </c>
    </row>
    <row r="2078" spans="2:2">
      <c r="B2078" s="177" t="s">
        <v>2342</v>
      </c>
    </row>
    <row r="2079" spans="2:2">
      <c r="B2079" s="177" t="s">
        <v>2343</v>
      </c>
    </row>
    <row r="2080" spans="2:2">
      <c r="B2080" s="177" t="s">
        <v>2344</v>
      </c>
    </row>
    <row r="2081" spans="2:2">
      <c r="B2081" s="177" t="s">
        <v>2345</v>
      </c>
    </row>
    <row r="2082" spans="2:2">
      <c r="B2082" s="177" t="s">
        <v>2346</v>
      </c>
    </row>
    <row r="2083" spans="2:2">
      <c r="B2083" s="177" t="s">
        <v>2347</v>
      </c>
    </row>
    <row r="2084" spans="2:2">
      <c r="B2084" s="177" t="s">
        <v>2348</v>
      </c>
    </row>
    <row r="2085" spans="2:2">
      <c r="B2085" s="177" t="s">
        <v>2349</v>
      </c>
    </row>
    <row r="2086" spans="2:2">
      <c r="B2086" s="177" t="s">
        <v>2350</v>
      </c>
    </row>
    <row r="2087" spans="2:2">
      <c r="B2087" s="177" t="s">
        <v>2351</v>
      </c>
    </row>
    <row r="2088" spans="2:2">
      <c r="B2088" s="177" t="s">
        <v>2352</v>
      </c>
    </row>
    <row r="2089" spans="2:2">
      <c r="B2089" s="177" t="s">
        <v>2353</v>
      </c>
    </row>
    <row r="2090" spans="2:2">
      <c r="B2090" s="177" t="s">
        <v>2354</v>
      </c>
    </row>
    <row r="2091" spans="2:2">
      <c r="B2091" s="177" t="s">
        <v>2355</v>
      </c>
    </row>
    <row r="2092" spans="2:2">
      <c r="B2092" s="177" t="s">
        <v>2356</v>
      </c>
    </row>
    <row r="2093" spans="2:2">
      <c r="B2093" s="177" t="s">
        <v>2357</v>
      </c>
    </row>
    <row r="2094" spans="2:2">
      <c r="B2094" s="177" t="s">
        <v>2358</v>
      </c>
    </row>
    <row r="2095" spans="2:2">
      <c r="B2095" s="177" t="s">
        <v>2359</v>
      </c>
    </row>
    <row r="2096" spans="2:2">
      <c r="B2096" s="177" t="s">
        <v>2360</v>
      </c>
    </row>
    <row r="2097" spans="2:2">
      <c r="B2097" s="177" t="s">
        <v>2361</v>
      </c>
    </row>
    <row r="2098" spans="2:2">
      <c r="B2098" s="177" t="s">
        <v>2362</v>
      </c>
    </row>
    <row r="2099" spans="2:2">
      <c r="B2099" s="177" t="s">
        <v>2363</v>
      </c>
    </row>
    <row r="2100" spans="2:2">
      <c r="B2100" s="177" t="s">
        <v>2364</v>
      </c>
    </row>
    <row r="2101" spans="2:2">
      <c r="B2101" s="177" t="s">
        <v>2365</v>
      </c>
    </row>
    <row r="2102" spans="2:2">
      <c r="B2102" s="177" t="s">
        <v>2366</v>
      </c>
    </row>
    <row r="2103" spans="2:2">
      <c r="B2103" s="177" t="s">
        <v>2367</v>
      </c>
    </row>
    <row r="2104" spans="2:2">
      <c r="B2104" s="177" t="s">
        <v>2368</v>
      </c>
    </row>
    <row r="2105" spans="2:2">
      <c r="B2105" s="177" t="s">
        <v>2369</v>
      </c>
    </row>
    <row r="2106" spans="2:2">
      <c r="B2106" s="177" t="s">
        <v>2370</v>
      </c>
    </row>
    <row r="2107" spans="2:2">
      <c r="B2107" s="177" t="s">
        <v>2371</v>
      </c>
    </row>
    <row r="2108" spans="2:2">
      <c r="B2108" s="177" t="s">
        <v>2372</v>
      </c>
    </row>
    <row r="2109" spans="2:2">
      <c r="B2109" s="177" t="s">
        <v>2373</v>
      </c>
    </row>
    <row r="2110" spans="2:2">
      <c r="B2110" s="177" t="s">
        <v>2374</v>
      </c>
    </row>
    <row r="2111" spans="2:2">
      <c r="B2111" s="177" t="s">
        <v>2375</v>
      </c>
    </row>
    <row r="2112" spans="2:2">
      <c r="B2112" s="177" t="s">
        <v>2376</v>
      </c>
    </row>
    <row r="2113" spans="2:2">
      <c r="B2113" s="177" t="s">
        <v>2377</v>
      </c>
    </row>
    <row r="2114" spans="2:2">
      <c r="B2114" s="177" t="s">
        <v>2378</v>
      </c>
    </row>
    <row r="2115" spans="2:2">
      <c r="B2115" s="177" t="s">
        <v>2379</v>
      </c>
    </row>
    <row r="2116" spans="2:2">
      <c r="B2116" s="177" t="s">
        <v>2380</v>
      </c>
    </row>
    <row r="2117" spans="2:2">
      <c r="B2117" s="177" t="s">
        <v>2381</v>
      </c>
    </row>
    <row r="2118" spans="2:2">
      <c r="B2118" s="177" t="s">
        <v>2382</v>
      </c>
    </row>
    <row r="2119" spans="2:2">
      <c r="B2119" s="177" t="s">
        <v>2383</v>
      </c>
    </row>
    <row r="2120" spans="2:2">
      <c r="B2120" s="177" t="s">
        <v>2384</v>
      </c>
    </row>
    <row r="2121" spans="2:2">
      <c r="B2121" s="177" t="s">
        <v>2385</v>
      </c>
    </row>
    <row r="2122" spans="2:2">
      <c r="B2122" s="177" t="s">
        <v>2386</v>
      </c>
    </row>
    <row r="2123" spans="2:2">
      <c r="B2123" s="177" t="s">
        <v>2387</v>
      </c>
    </row>
    <row r="2124" spans="2:2">
      <c r="B2124" s="177" t="s">
        <v>2388</v>
      </c>
    </row>
    <row r="2125" spans="2:2">
      <c r="B2125" s="177" t="s">
        <v>2389</v>
      </c>
    </row>
    <row r="2126" spans="2:2">
      <c r="B2126" s="177" t="s">
        <v>2390</v>
      </c>
    </row>
    <row r="2127" spans="2:2">
      <c r="B2127" s="177" t="s">
        <v>2391</v>
      </c>
    </row>
    <row r="2128" spans="2:2">
      <c r="B2128" s="177" t="s">
        <v>2392</v>
      </c>
    </row>
    <row r="2129" spans="2:2">
      <c r="B2129" s="177" t="s">
        <v>2393</v>
      </c>
    </row>
    <row r="2130" spans="2:2">
      <c r="B2130" s="177" t="s">
        <v>2394</v>
      </c>
    </row>
    <row r="2131" spans="2:2">
      <c r="B2131" s="177" t="s">
        <v>2395</v>
      </c>
    </row>
    <row r="2132" spans="2:2">
      <c r="B2132" s="177" t="s">
        <v>2396</v>
      </c>
    </row>
    <row r="2133" spans="2:2">
      <c r="B2133" s="177" t="s">
        <v>2397</v>
      </c>
    </row>
    <row r="2134" spans="2:2">
      <c r="B2134" s="177" t="s">
        <v>2398</v>
      </c>
    </row>
    <row r="2135" spans="2:2">
      <c r="B2135" s="177" t="s">
        <v>2399</v>
      </c>
    </row>
    <row r="2136" spans="2:2">
      <c r="B2136" s="177" t="s">
        <v>2400</v>
      </c>
    </row>
    <row r="2137" spans="2:2">
      <c r="B2137" s="177" t="s">
        <v>2401</v>
      </c>
    </row>
    <row r="2138" spans="2:2">
      <c r="B2138" s="177" t="s">
        <v>2402</v>
      </c>
    </row>
    <row r="2139" spans="2:2">
      <c r="B2139" s="177" t="s">
        <v>2403</v>
      </c>
    </row>
    <row r="2140" spans="2:2">
      <c r="B2140" s="177" t="s">
        <v>2404</v>
      </c>
    </row>
    <row r="2141" spans="2:2">
      <c r="B2141" s="177" t="s">
        <v>2405</v>
      </c>
    </row>
    <row r="2142" spans="2:2">
      <c r="B2142" s="177" t="s">
        <v>2406</v>
      </c>
    </row>
    <row r="2143" spans="2:2">
      <c r="B2143" s="177" t="s">
        <v>2407</v>
      </c>
    </row>
    <row r="2144" spans="2:2">
      <c r="B2144" s="177" t="s">
        <v>2408</v>
      </c>
    </row>
    <row r="2145" spans="2:2">
      <c r="B2145" s="177" t="s">
        <v>2409</v>
      </c>
    </row>
    <row r="2146" spans="2:2">
      <c r="B2146" s="177" t="s">
        <v>2410</v>
      </c>
    </row>
    <row r="2147" spans="2:2">
      <c r="B2147" s="177" t="s">
        <v>2411</v>
      </c>
    </row>
    <row r="2148" spans="2:2">
      <c r="B2148" s="177" t="s">
        <v>2412</v>
      </c>
    </row>
    <row r="2149" spans="2:2">
      <c r="B2149" s="177" t="s">
        <v>2413</v>
      </c>
    </row>
    <row r="2150" spans="2:2">
      <c r="B2150" s="177" t="s">
        <v>2414</v>
      </c>
    </row>
    <row r="2151" spans="2:2">
      <c r="B2151" s="177" t="s">
        <v>2415</v>
      </c>
    </row>
    <row r="2152" spans="2:2">
      <c r="B2152" s="177" t="s">
        <v>2416</v>
      </c>
    </row>
    <row r="2153" spans="2:2">
      <c r="B2153" s="177" t="s">
        <v>2417</v>
      </c>
    </row>
    <row r="2154" spans="2:2">
      <c r="B2154" s="177" t="s">
        <v>2418</v>
      </c>
    </row>
    <row r="2155" spans="2:2">
      <c r="B2155" s="177" t="s">
        <v>2419</v>
      </c>
    </row>
    <row r="2156" spans="2:2">
      <c r="B2156" s="177" t="s">
        <v>2420</v>
      </c>
    </row>
    <row r="2157" spans="2:2">
      <c r="B2157" s="177" t="s">
        <v>2421</v>
      </c>
    </row>
    <row r="2158" spans="2:2">
      <c r="B2158" s="177" t="s">
        <v>2422</v>
      </c>
    </row>
    <row r="2159" spans="2:2">
      <c r="B2159" s="177" t="s">
        <v>2423</v>
      </c>
    </row>
    <row r="2160" spans="2:2">
      <c r="B2160" s="177" t="s">
        <v>2424</v>
      </c>
    </row>
    <row r="2161" spans="2:2">
      <c r="B2161" s="177" t="s">
        <v>2425</v>
      </c>
    </row>
    <row r="2162" spans="2:2">
      <c r="B2162" s="177" t="s">
        <v>2426</v>
      </c>
    </row>
    <row r="2163" spans="2:2">
      <c r="B2163" s="177" t="s">
        <v>2427</v>
      </c>
    </row>
    <row r="2164" spans="2:2">
      <c r="B2164" s="177" t="s">
        <v>2428</v>
      </c>
    </row>
    <row r="2165" spans="2:2">
      <c r="B2165" s="177" t="s">
        <v>2429</v>
      </c>
    </row>
    <row r="2166" spans="2:2">
      <c r="B2166" s="177" t="s">
        <v>2430</v>
      </c>
    </row>
    <row r="2167" spans="2:2">
      <c r="B2167" s="177" t="s">
        <v>2431</v>
      </c>
    </row>
    <row r="2168" spans="2:2">
      <c r="B2168" s="177" t="s">
        <v>2432</v>
      </c>
    </row>
    <row r="2169" spans="2:2">
      <c r="B2169" s="177" t="s">
        <v>2433</v>
      </c>
    </row>
    <row r="2170" spans="2:2">
      <c r="B2170" s="177" t="s">
        <v>2434</v>
      </c>
    </row>
    <row r="2171" spans="2:2">
      <c r="B2171" s="177" t="s">
        <v>2435</v>
      </c>
    </row>
    <row r="2172" spans="2:2">
      <c r="B2172" s="177" t="s">
        <v>2436</v>
      </c>
    </row>
    <row r="2173" spans="2:2">
      <c r="B2173" s="177" t="s">
        <v>2437</v>
      </c>
    </row>
    <row r="2174" spans="2:2">
      <c r="B2174" s="177" t="s">
        <v>2438</v>
      </c>
    </row>
    <row r="2175" spans="2:2">
      <c r="B2175" s="177" t="s">
        <v>2439</v>
      </c>
    </row>
    <row r="2176" spans="2:2">
      <c r="B2176" s="177" t="s">
        <v>2440</v>
      </c>
    </row>
    <row r="2177" spans="2:2">
      <c r="B2177" s="177" t="s">
        <v>2441</v>
      </c>
    </row>
    <row r="2178" spans="2:2">
      <c r="B2178" s="177" t="s">
        <v>2442</v>
      </c>
    </row>
    <row r="2179" spans="2:2">
      <c r="B2179" s="177" t="s">
        <v>2443</v>
      </c>
    </row>
    <row r="2180" spans="2:2">
      <c r="B2180" s="177" t="s">
        <v>2444</v>
      </c>
    </row>
    <row r="2181" spans="2:2">
      <c r="B2181" s="177" t="s">
        <v>2445</v>
      </c>
    </row>
    <row r="2182" spans="2:2">
      <c r="B2182" s="177" t="s">
        <v>2446</v>
      </c>
    </row>
    <row r="2183" spans="2:2">
      <c r="B2183" s="177" t="s">
        <v>2447</v>
      </c>
    </row>
    <row r="2184" spans="2:2">
      <c r="B2184" s="177" t="s">
        <v>2448</v>
      </c>
    </row>
    <row r="2185" spans="2:2">
      <c r="B2185" s="177" t="s">
        <v>2449</v>
      </c>
    </row>
    <row r="2186" spans="2:2">
      <c r="B2186" s="177" t="s">
        <v>2450</v>
      </c>
    </row>
    <row r="2187" spans="2:2">
      <c r="B2187" s="177" t="s">
        <v>2451</v>
      </c>
    </row>
    <row r="2188" spans="2:2">
      <c r="B2188" s="177" t="s">
        <v>2452</v>
      </c>
    </row>
    <row r="2189" spans="2:2">
      <c r="B2189" s="177" t="s">
        <v>2453</v>
      </c>
    </row>
    <row r="2190" spans="2:2">
      <c r="B2190" s="177" t="s">
        <v>2454</v>
      </c>
    </row>
    <row r="2191" spans="2:2">
      <c r="B2191" s="177" t="s">
        <v>2455</v>
      </c>
    </row>
    <row r="2192" spans="2:2">
      <c r="B2192" s="177" t="s">
        <v>2456</v>
      </c>
    </row>
    <row r="2193" spans="2:2">
      <c r="B2193" s="177" t="s">
        <v>2457</v>
      </c>
    </row>
    <row r="2194" spans="2:2">
      <c r="B2194" s="177" t="s">
        <v>2458</v>
      </c>
    </row>
    <row r="2195" spans="2:2">
      <c r="B2195" s="177" t="s">
        <v>2459</v>
      </c>
    </row>
    <row r="2196" spans="2:2">
      <c r="B2196" s="177" t="s">
        <v>2460</v>
      </c>
    </row>
    <row r="2197" spans="2:2">
      <c r="B2197" s="177" t="s">
        <v>2461</v>
      </c>
    </row>
    <row r="2198" spans="2:2">
      <c r="B2198" s="177" t="s">
        <v>2462</v>
      </c>
    </row>
    <row r="2199" spans="2:2">
      <c r="B2199" s="177" t="s">
        <v>2463</v>
      </c>
    </row>
    <row r="2200" spans="2:2">
      <c r="B2200" s="177" t="s">
        <v>2464</v>
      </c>
    </row>
    <row r="2201" spans="2:2">
      <c r="B2201" s="177" t="s">
        <v>2465</v>
      </c>
    </row>
    <row r="2202" spans="2:2">
      <c r="B2202" s="177" t="s">
        <v>2466</v>
      </c>
    </row>
    <row r="2203" spans="2:2">
      <c r="B2203" s="177" t="s">
        <v>2467</v>
      </c>
    </row>
    <row r="2204" spans="2:2">
      <c r="B2204" s="177" t="s">
        <v>2468</v>
      </c>
    </row>
    <row r="2205" spans="2:2">
      <c r="B2205" s="177" t="s">
        <v>2469</v>
      </c>
    </row>
    <row r="2206" spans="2:2">
      <c r="B2206" s="177" t="s">
        <v>2470</v>
      </c>
    </row>
    <row r="2207" spans="2:2">
      <c r="B2207" s="177" t="s">
        <v>2471</v>
      </c>
    </row>
    <row r="2208" spans="2:2">
      <c r="B2208" s="177" t="s">
        <v>2472</v>
      </c>
    </row>
    <row r="2209" spans="2:2">
      <c r="B2209" s="177" t="s">
        <v>2473</v>
      </c>
    </row>
    <row r="2210" spans="2:2">
      <c r="B2210" s="177" t="s">
        <v>2474</v>
      </c>
    </row>
    <row r="2211" spans="2:2">
      <c r="B2211" s="177" t="s">
        <v>2475</v>
      </c>
    </row>
    <row r="2212" spans="2:2">
      <c r="B2212" s="177" t="s">
        <v>2476</v>
      </c>
    </row>
    <row r="2213" spans="2:2">
      <c r="B2213" s="177" t="s">
        <v>2477</v>
      </c>
    </row>
    <row r="2214" spans="2:2">
      <c r="B2214" s="177" t="s">
        <v>2478</v>
      </c>
    </row>
    <row r="2215" spans="2:2">
      <c r="B2215" s="177" t="s">
        <v>2479</v>
      </c>
    </row>
    <row r="2216" spans="2:2">
      <c r="B2216" s="177" t="s">
        <v>2480</v>
      </c>
    </row>
    <row r="2217" spans="2:2">
      <c r="B2217" s="177" t="s">
        <v>2481</v>
      </c>
    </row>
    <row r="2218" spans="2:2">
      <c r="B2218" s="177" t="s">
        <v>2482</v>
      </c>
    </row>
    <row r="2219" spans="2:2">
      <c r="B2219" s="177" t="s">
        <v>2483</v>
      </c>
    </row>
    <row r="2220" spans="2:2">
      <c r="B2220" s="177" t="s">
        <v>2484</v>
      </c>
    </row>
    <row r="2221" spans="2:2">
      <c r="B2221" s="177" t="s">
        <v>2485</v>
      </c>
    </row>
    <row r="2222" spans="2:2">
      <c r="B2222" s="177" t="s">
        <v>2486</v>
      </c>
    </row>
    <row r="2223" spans="2:2">
      <c r="B2223" s="177" t="s">
        <v>2487</v>
      </c>
    </row>
    <row r="2224" spans="2:2">
      <c r="B2224" s="177" t="s">
        <v>2488</v>
      </c>
    </row>
    <row r="2225" spans="2:2">
      <c r="B2225" s="177" t="s">
        <v>2489</v>
      </c>
    </row>
    <row r="2226" spans="2:2">
      <c r="B2226" s="177" t="s">
        <v>2490</v>
      </c>
    </row>
    <row r="2227" spans="2:2">
      <c r="B2227" s="177" t="s">
        <v>2491</v>
      </c>
    </row>
    <row r="2228" spans="2:2">
      <c r="B2228" s="177" t="s">
        <v>2492</v>
      </c>
    </row>
    <row r="2229" spans="2:2">
      <c r="B2229" s="177" t="s">
        <v>2493</v>
      </c>
    </row>
    <row r="2230" spans="2:2">
      <c r="B2230" s="177" t="s">
        <v>2494</v>
      </c>
    </row>
    <row r="2231" spans="2:2">
      <c r="B2231" s="177" t="s">
        <v>2495</v>
      </c>
    </row>
    <row r="2232" spans="2:2">
      <c r="B2232" s="177" t="s">
        <v>2496</v>
      </c>
    </row>
    <row r="2233" spans="2:2">
      <c r="B2233" s="177" t="s">
        <v>2497</v>
      </c>
    </row>
    <row r="2234" spans="2:2">
      <c r="B2234" s="177" t="s">
        <v>2498</v>
      </c>
    </row>
    <row r="2235" spans="2:2">
      <c r="B2235" s="177" t="s">
        <v>2499</v>
      </c>
    </row>
    <row r="2236" spans="2:2">
      <c r="B2236" s="177" t="s">
        <v>2500</v>
      </c>
    </row>
    <row r="2237" spans="2:2">
      <c r="B2237" s="177" t="s">
        <v>2501</v>
      </c>
    </row>
    <row r="2238" spans="2:2">
      <c r="B2238" s="177" t="s">
        <v>2502</v>
      </c>
    </row>
    <row r="2239" spans="2:2">
      <c r="B2239" s="177" t="s">
        <v>2503</v>
      </c>
    </row>
    <row r="2240" spans="2:2">
      <c r="B2240" s="177" t="s">
        <v>2504</v>
      </c>
    </row>
    <row r="2241" spans="2:2">
      <c r="B2241" s="201">
        <v>1</v>
      </c>
    </row>
    <row r="2242" spans="2:2">
      <c r="B2242" s="201">
        <v>10</v>
      </c>
    </row>
    <row r="2243" spans="2:2">
      <c r="B2243" s="201">
        <v>11</v>
      </c>
    </row>
    <row r="2244" spans="2:2">
      <c r="B2244" s="201">
        <v>12</v>
      </c>
    </row>
    <row r="2245" spans="2:2">
      <c r="B2245" s="201">
        <v>13</v>
      </c>
    </row>
    <row r="2246" spans="2:2">
      <c r="B2246" s="201">
        <v>14</v>
      </c>
    </row>
    <row r="2247" spans="2:2">
      <c r="B2247" s="201">
        <v>15</v>
      </c>
    </row>
    <row r="2248" spans="2:2">
      <c r="B2248" s="201">
        <v>16</v>
      </c>
    </row>
    <row r="2249" spans="2:2">
      <c r="B2249" s="201">
        <v>17</v>
      </c>
    </row>
    <row r="2250" spans="2:2">
      <c r="B2250" s="201">
        <v>18</v>
      </c>
    </row>
    <row r="2251" spans="2:2">
      <c r="B2251" s="201">
        <v>19</v>
      </c>
    </row>
    <row r="2252" spans="2:2">
      <c r="B2252" s="201">
        <v>2</v>
      </c>
    </row>
    <row r="2253" spans="2:2">
      <c r="B2253" s="201">
        <v>20</v>
      </c>
    </row>
    <row r="2254" spans="2:2">
      <c r="B2254" s="201">
        <v>3</v>
      </c>
    </row>
    <row r="2255" spans="2:2">
      <c r="B2255" s="201">
        <v>4</v>
      </c>
    </row>
    <row r="2256" spans="2:2">
      <c r="B2256" s="201">
        <v>5</v>
      </c>
    </row>
    <row r="2257" spans="2:2">
      <c r="B2257" s="201">
        <v>6</v>
      </c>
    </row>
    <row r="2258" spans="2:2">
      <c r="B2258" s="201">
        <v>7</v>
      </c>
    </row>
    <row r="2259" spans="2:2">
      <c r="B2259" s="201">
        <v>8</v>
      </c>
    </row>
    <row r="2260" spans="2:2">
      <c r="B2260" s="201">
        <v>9</v>
      </c>
    </row>
    <row r="2261" spans="2:2">
      <c r="B2261" s="177" t="s">
        <v>2505</v>
      </c>
    </row>
    <row r="2262" spans="2:2">
      <c r="B2262" s="177" t="s">
        <v>2506</v>
      </c>
    </row>
    <row r="2263" spans="2:2">
      <c r="B2263" s="177" t="s">
        <v>2507</v>
      </c>
    </row>
    <row r="2264" spans="2:2">
      <c r="B2264" s="177" t="s">
        <v>2508</v>
      </c>
    </row>
    <row r="2265" spans="2:2">
      <c r="B2265" s="177" t="s">
        <v>2509</v>
      </c>
    </row>
    <row r="2266" spans="2:2">
      <c r="B2266" s="177" t="s">
        <v>2510</v>
      </c>
    </row>
    <row r="2267" spans="2:2">
      <c r="B2267" s="177" t="s">
        <v>2511</v>
      </c>
    </row>
    <row r="2268" spans="2:2">
      <c r="B2268" s="177" t="s">
        <v>2512</v>
      </c>
    </row>
    <row r="2269" spans="2:2">
      <c r="B2269" s="177" t="s">
        <v>2513</v>
      </c>
    </row>
    <row r="2270" spans="2:2">
      <c r="B2270" s="177" t="s">
        <v>2514</v>
      </c>
    </row>
    <row r="2271" spans="2:2">
      <c r="B2271" s="177" t="s">
        <v>2515</v>
      </c>
    </row>
    <row r="2272" spans="2:2">
      <c r="B2272" s="177" t="s">
        <v>2516</v>
      </c>
    </row>
    <row r="2273" spans="2:2">
      <c r="B2273" s="177" t="s">
        <v>2517</v>
      </c>
    </row>
    <row r="2274" spans="2:2">
      <c r="B2274" s="177" t="s">
        <v>2518</v>
      </c>
    </row>
    <row r="2275" spans="2:2">
      <c r="B2275" s="177" t="s">
        <v>2519</v>
      </c>
    </row>
    <row r="2276" spans="2:2">
      <c r="B2276" s="177" t="s">
        <v>2520</v>
      </c>
    </row>
    <row r="2277" spans="2:2">
      <c r="B2277" s="177" t="s">
        <v>2521</v>
      </c>
    </row>
    <row r="2278" spans="2:2">
      <c r="B2278" s="177" t="s">
        <v>2522</v>
      </c>
    </row>
    <row r="2279" spans="2:2">
      <c r="B2279" s="177" t="s">
        <v>2523</v>
      </c>
    </row>
    <row r="2280" spans="2:2">
      <c r="B2280" s="177" t="s">
        <v>2524</v>
      </c>
    </row>
    <row r="2281" spans="2:2">
      <c r="B2281" s="177" t="s">
        <v>2525</v>
      </c>
    </row>
    <row r="2282" spans="2:2">
      <c r="B2282" s="177" t="s">
        <v>2526</v>
      </c>
    </row>
    <row r="2283" spans="2:2">
      <c r="B2283" s="177" t="s">
        <v>2527</v>
      </c>
    </row>
    <row r="2284" spans="2:2">
      <c r="B2284" s="177" t="s">
        <v>2528</v>
      </c>
    </row>
    <row r="2285" spans="2:2">
      <c r="B2285" s="177" t="s">
        <v>2529</v>
      </c>
    </row>
    <row r="2286" spans="2:2">
      <c r="B2286" s="177" t="s">
        <v>2530</v>
      </c>
    </row>
    <row r="2287" spans="2:2">
      <c r="B2287" s="177" t="s">
        <v>2531</v>
      </c>
    </row>
    <row r="2288" spans="2:2">
      <c r="B2288" s="177" t="s">
        <v>2532</v>
      </c>
    </row>
    <row r="2289" spans="2:2">
      <c r="B2289" s="177" t="s">
        <v>2533</v>
      </c>
    </row>
    <row r="2290" spans="2:2">
      <c r="B2290" s="177" t="s">
        <v>2534</v>
      </c>
    </row>
    <row r="2291" spans="2:2">
      <c r="B2291" s="177" t="s">
        <v>2535</v>
      </c>
    </row>
    <row r="2292" spans="2:2">
      <c r="B2292" s="177" t="s">
        <v>2536</v>
      </c>
    </row>
    <row r="2293" spans="2:2">
      <c r="B2293" s="177" t="s">
        <v>2537</v>
      </c>
    </row>
    <row r="2294" spans="2:2">
      <c r="B2294" s="177" t="s">
        <v>2538</v>
      </c>
    </row>
    <row r="2295" spans="2:2">
      <c r="B2295" s="177" t="s">
        <v>2539</v>
      </c>
    </row>
    <row r="2296" spans="2:2">
      <c r="B2296" s="177" t="s">
        <v>2540</v>
      </c>
    </row>
    <row r="2297" spans="2:2">
      <c r="B2297" s="177" t="s">
        <v>2541</v>
      </c>
    </row>
    <row r="2298" spans="2:2">
      <c r="B2298" s="177" t="s">
        <v>2542</v>
      </c>
    </row>
    <row r="2299" spans="2:2">
      <c r="B2299" s="177" t="s">
        <v>2543</v>
      </c>
    </row>
    <row r="2300" spans="2:2">
      <c r="B2300" s="177" t="s">
        <v>2544</v>
      </c>
    </row>
    <row r="2301" spans="2:2">
      <c r="B2301" s="177" t="s">
        <v>2545</v>
      </c>
    </row>
    <row r="2302" spans="2:2">
      <c r="B2302" s="177" t="s">
        <v>2546</v>
      </c>
    </row>
    <row r="2303" spans="2:2">
      <c r="B2303" s="177" t="s">
        <v>2547</v>
      </c>
    </row>
    <row r="2304" spans="2:2">
      <c r="B2304" s="177" t="s">
        <v>2548</v>
      </c>
    </row>
    <row r="2305" spans="2:2">
      <c r="B2305" s="177" t="s">
        <v>2549</v>
      </c>
    </row>
    <row r="2306" spans="2:2">
      <c r="B2306" s="177" t="s">
        <v>2550</v>
      </c>
    </row>
    <row r="2307" spans="2:2">
      <c r="B2307" s="177" t="s">
        <v>2551</v>
      </c>
    </row>
    <row r="2308" spans="2:2">
      <c r="B2308" s="177" t="s">
        <v>2552</v>
      </c>
    </row>
    <row r="2309" spans="2:2">
      <c r="B2309" s="177" t="s">
        <v>2553</v>
      </c>
    </row>
    <row r="2310" spans="2:2">
      <c r="B2310" s="177" t="s">
        <v>2554</v>
      </c>
    </row>
    <row r="2311" spans="2:2">
      <c r="B2311" s="177" t="s">
        <v>2555</v>
      </c>
    </row>
    <row r="2312" spans="2:2">
      <c r="B2312" s="177" t="s">
        <v>2556</v>
      </c>
    </row>
    <row r="2313" spans="2:2">
      <c r="B2313" s="177" t="s">
        <v>2557</v>
      </c>
    </row>
    <row r="2314" spans="2:2">
      <c r="B2314" s="177" t="s">
        <v>2558</v>
      </c>
    </row>
    <row r="2315" spans="2:2">
      <c r="B2315" s="177" t="s">
        <v>2559</v>
      </c>
    </row>
    <row r="2316" spans="2:2">
      <c r="B2316" s="177" t="s">
        <v>2560</v>
      </c>
    </row>
    <row r="2317" spans="2:2">
      <c r="B2317" s="177" t="s">
        <v>2561</v>
      </c>
    </row>
    <row r="2318" spans="2:2">
      <c r="B2318" s="177" t="s">
        <v>2562</v>
      </c>
    </row>
    <row r="2319" spans="2:2">
      <c r="B2319" s="177" t="s">
        <v>2563</v>
      </c>
    </row>
    <row r="2320" spans="2:2">
      <c r="B2320" s="177" t="s">
        <v>2564</v>
      </c>
    </row>
    <row r="2321" spans="2:2">
      <c r="B2321" s="177" t="s">
        <v>2565</v>
      </c>
    </row>
    <row r="2322" spans="2:2">
      <c r="B2322" s="177" t="s">
        <v>2566</v>
      </c>
    </row>
    <row r="2323" spans="2:2">
      <c r="B2323" s="177" t="s">
        <v>2567</v>
      </c>
    </row>
    <row r="2324" spans="2:2">
      <c r="B2324" s="177" t="s">
        <v>2568</v>
      </c>
    </row>
    <row r="2325" spans="2:2">
      <c r="B2325" s="177" t="s">
        <v>2569</v>
      </c>
    </row>
    <row r="2326" spans="2:2">
      <c r="B2326" s="177" t="s">
        <v>2570</v>
      </c>
    </row>
    <row r="2327" spans="2:2">
      <c r="B2327" s="177" t="s">
        <v>2571</v>
      </c>
    </row>
    <row r="2328" spans="2:2">
      <c r="B2328" s="177" t="s">
        <v>2572</v>
      </c>
    </row>
    <row r="2329" spans="2:2">
      <c r="B2329" s="177" t="s">
        <v>2573</v>
      </c>
    </row>
    <row r="2330" spans="2:2">
      <c r="B2330" s="177" t="s">
        <v>2574</v>
      </c>
    </row>
    <row r="2331" spans="2:2">
      <c r="B2331" s="177" t="s">
        <v>2575</v>
      </c>
    </row>
    <row r="2332" spans="2:2">
      <c r="B2332" s="177" t="s">
        <v>2576</v>
      </c>
    </row>
    <row r="2333" spans="2:2">
      <c r="B2333" s="177" t="s">
        <v>2577</v>
      </c>
    </row>
    <row r="2334" spans="2:2">
      <c r="B2334" s="177" t="s">
        <v>2578</v>
      </c>
    </row>
    <row r="2335" spans="2:2">
      <c r="B2335" s="177" t="s">
        <v>2579</v>
      </c>
    </row>
    <row r="2336" spans="2:2">
      <c r="B2336" s="177" t="s">
        <v>2580</v>
      </c>
    </row>
    <row r="2337" spans="2:2">
      <c r="B2337" s="177" t="s">
        <v>2581</v>
      </c>
    </row>
    <row r="2338" spans="2:2">
      <c r="B2338" s="177" t="s">
        <v>2582</v>
      </c>
    </row>
    <row r="2339" spans="2:2">
      <c r="B2339" s="177" t="s">
        <v>2583</v>
      </c>
    </row>
    <row r="2340" spans="2:2">
      <c r="B2340" s="177" t="s">
        <v>2584</v>
      </c>
    </row>
    <row r="2341" spans="2:2">
      <c r="B2341" s="177" t="s">
        <v>2585</v>
      </c>
    </row>
    <row r="2342" spans="2:2">
      <c r="B2342" s="177" t="s">
        <v>2586</v>
      </c>
    </row>
    <row r="2343" spans="2:2">
      <c r="B2343" s="177" t="s">
        <v>2587</v>
      </c>
    </row>
    <row r="2344" spans="2:2">
      <c r="B2344" s="177" t="s">
        <v>2588</v>
      </c>
    </row>
    <row r="2345" spans="2:2">
      <c r="B2345" s="177" t="s">
        <v>2589</v>
      </c>
    </row>
    <row r="2346" spans="2:2">
      <c r="B2346" s="177" t="s">
        <v>2590</v>
      </c>
    </row>
    <row r="2347" spans="2:2">
      <c r="B2347" s="177" t="s">
        <v>2591</v>
      </c>
    </row>
    <row r="2348" spans="2:2">
      <c r="B2348" s="177" t="s">
        <v>2592</v>
      </c>
    </row>
    <row r="2349" spans="2:2">
      <c r="B2349" s="177" t="s">
        <v>2593</v>
      </c>
    </row>
    <row r="2350" spans="2:2">
      <c r="B2350" s="177" t="s">
        <v>2594</v>
      </c>
    </row>
    <row r="2351" spans="2:2">
      <c r="B2351" s="177" t="s">
        <v>2595</v>
      </c>
    </row>
    <row r="2352" spans="2:2">
      <c r="B2352" s="177" t="s">
        <v>2596</v>
      </c>
    </row>
    <row r="2353" spans="2:2">
      <c r="B2353" s="177" t="s">
        <v>2597</v>
      </c>
    </row>
    <row r="2354" spans="2:2">
      <c r="B2354" s="177" t="s">
        <v>2598</v>
      </c>
    </row>
    <row r="2355" spans="2:2">
      <c r="B2355" s="177" t="s">
        <v>2599</v>
      </c>
    </row>
    <row r="2356" spans="2:2">
      <c r="B2356" s="177" t="s">
        <v>2600</v>
      </c>
    </row>
    <row r="2357" spans="2:2">
      <c r="B2357" s="177" t="s">
        <v>2601</v>
      </c>
    </row>
    <row r="2358" spans="2:2">
      <c r="B2358" s="177" t="s">
        <v>2602</v>
      </c>
    </row>
    <row r="2359" spans="2:2">
      <c r="B2359" s="177" t="s">
        <v>2603</v>
      </c>
    </row>
    <row r="2360" spans="2:2">
      <c r="B2360" s="177" t="s">
        <v>2604</v>
      </c>
    </row>
    <row r="2361" spans="2:2">
      <c r="B2361" s="177" t="s">
        <v>2605</v>
      </c>
    </row>
    <row r="2362" spans="2:2">
      <c r="B2362" s="177" t="s">
        <v>2606</v>
      </c>
    </row>
    <row r="2363" spans="2:2">
      <c r="B2363" s="177" t="s">
        <v>2607</v>
      </c>
    </row>
    <row r="2364" spans="2:2">
      <c r="B2364" s="177" t="s">
        <v>2608</v>
      </c>
    </row>
    <row r="2365" spans="2:2">
      <c r="B2365" s="177" t="s">
        <v>2609</v>
      </c>
    </row>
    <row r="2366" spans="2:2">
      <c r="B2366" s="177" t="s">
        <v>2610</v>
      </c>
    </row>
    <row r="2367" spans="2:2">
      <c r="B2367" s="177" t="s">
        <v>2611</v>
      </c>
    </row>
    <row r="2368" spans="2:2">
      <c r="B2368" s="177" t="s">
        <v>2612</v>
      </c>
    </row>
    <row r="2369" spans="2:2">
      <c r="B2369" s="177" t="s">
        <v>2613</v>
      </c>
    </row>
    <row r="2370" spans="2:2">
      <c r="B2370" s="177" t="s">
        <v>2614</v>
      </c>
    </row>
    <row r="2371" spans="2:2">
      <c r="B2371" s="177" t="s">
        <v>2615</v>
      </c>
    </row>
    <row r="2372" spans="2:2">
      <c r="B2372" s="177" t="s">
        <v>2616</v>
      </c>
    </row>
    <row r="2373" spans="2:2">
      <c r="B2373" s="177" t="s">
        <v>2617</v>
      </c>
    </row>
    <row r="2374" spans="2:2">
      <c r="B2374" s="177" t="s">
        <v>2618</v>
      </c>
    </row>
    <row r="2375" spans="2:2">
      <c r="B2375" s="177" t="s">
        <v>2619</v>
      </c>
    </row>
    <row r="2376" spans="2:2">
      <c r="B2376" s="177" t="s">
        <v>2620</v>
      </c>
    </row>
    <row r="2377" spans="2:2">
      <c r="B2377" s="177" t="s">
        <v>2621</v>
      </c>
    </row>
    <row r="2378" spans="2:2">
      <c r="B2378" s="177" t="s">
        <v>2622</v>
      </c>
    </row>
    <row r="2379" spans="2:2">
      <c r="B2379" s="177" t="s">
        <v>2623</v>
      </c>
    </row>
    <row r="2380" spans="2:2">
      <c r="B2380" s="177" t="s">
        <v>2624</v>
      </c>
    </row>
    <row r="2381" spans="2:2">
      <c r="B2381" s="177" t="s">
        <v>2625</v>
      </c>
    </row>
    <row r="2382" spans="2:2">
      <c r="B2382" s="177" t="s">
        <v>2626</v>
      </c>
    </row>
    <row r="2383" spans="2:2">
      <c r="B2383" s="177" t="s">
        <v>2627</v>
      </c>
    </row>
    <row r="2384" spans="2:2">
      <c r="B2384" s="177" t="s">
        <v>2628</v>
      </c>
    </row>
    <row r="2385" spans="2:2">
      <c r="B2385" s="177" t="s">
        <v>2629</v>
      </c>
    </row>
    <row r="2386" spans="2:2">
      <c r="B2386" s="177" t="s">
        <v>2630</v>
      </c>
    </row>
    <row r="2387" spans="2:2">
      <c r="B2387" s="177" t="s">
        <v>2631</v>
      </c>
    </row>
    <row r="2388" spans="2:2">
      <c r="B2388" s="177" t="s">
        <v>2632</v>
      </c>
    </row>
    <row r="2389" spans="2:2">
      <c r="B2389" s="177" t="s">
        <v>2633</v>
      </c>
    </row>
    <row r="2390" spans="2:2">
      <c r="B2390" s="177" t="s">
        <v>2634</v>
      </c>
    </row>
    <row r="2391" spans="2:2">
      <c r="B2391" s="177" t="s">
        <v>2635</v>
      </c>
    </row>
    <row r="2392" spans="2:2">
      <c r="B2392" s="177" t="s">
        <v>2636</v>
      </c>
    </row>
    <row r="2393" spans="2:2">
      <c r="B2393" s="177" t="s">
        <v>2637</v>
      </c>
    </row>
    <row r="2394" spans="2:2">
      <c r="B2394" s="177" t="s">
        <v>2638</v>
      </c>
    </row>
    <row r="2395" spans="2:2">
      <c r="B2395" s="177" t="s">
        <v>2639</v>
      </c>
    </row>
    <row r="2396" spans="2:2">
      <c r="B2396" s="177" t="s">
        <v>2640</v>
      </c>
    </row>
    <row r="2397" spans="2:2">
      <c r="B2397" s="177" t="s">
        <v>2641</v>
      </c>
    </row>
    <row r="2398" spans="2:2">
      <c r="B2398" s="177" t="s">
        <v>2642</v>
      </c>
    </row>
    <row r="2399" spans="2:2">
      <c r="B2399" s="177" t="s">
        <v>2643</v>
      </c>
    </row>
    <row r="2400" spans="2:2">
      <c r="B2400" s="177" t="s">
        <v>2644</v>
      </c>
    </row>
    <row r="2401" spans="2:2">
      <c r="B2401" s="177" t="s">
        <v>2645</v>
      </c>
    </row>
    <row r="2402" spans="2:2">
      <c r="B2402" s="177" t="s">
        <v>2646</v>
      </c>
    </row>
    <row r="2403" spans="2:2">
      <c r="B2403" s="177" t="s">
        <v>2647</v>
      </c>
    </row>
    <row r="2404" spans="2:2">
      <c r="B2404" s="177" t="s">
        <v>2648</v>
      </c>
    </row>
    <row r="2405" spans="2:2">
      <c r="B2405" s="177" t="s">
        <v>2649</v>
      </c>
    </row>
    <row r="2406" spans="2:2">
      <c r="B2406" s="177" t="s">
        <v>2650</v>
      </c>
    </row>
    <row r="2407" spans="2:2">
      <c r="B2407" s="177" t="s">
        <v>2651</v>
      </c>
    </row>
    <row r="2408" spans="2:2">
      <c r="B2408" s="177" t="s">
        <v>2652</v>
      </c>
    </row>
    <row r="2409" spans="2:2">
      <c r="B2409" s="177" t="s">
        <v>2653</v>
      </c>
    </row>
    <row r="2410" spans="2:2">
      <c r="B2410" s="177" t="s">
        <v>2654</v>
      </c>
    </row>
    <row r="2411" spans="2:2">
      <c r="B2411" s="177" t="s">
        <v>2655</v>
      </c>
    </row>
    <row r="2412" spans="2:2">
      <c r="B2412" s="177" t="s">
        <v>2656</v>
      </c>
    </row>
    <row r="2413" spans="2:2">
      <c r="B2413" s="177" t="s">
        <v>2657</v>
      </c>
    </row>
    <row r="2414" spans="2:2">
      <c r="B2414" s="177" t="s">
        <v>2658</v>
      </c>
    </row>
    <row r="2415" spans="2:2">
      <c r="B2415" s="177" t="s">
        <v>2659</v>
      </c>
    </row>
    <row r="2416" spans="2:2">
      <c r="B2416" s="177" t="s">
        <v>2660</v>
      </c>
    </row>
    <row r="2417" spans="2:2">
      <c r="B2417" s="177" t="s">
        <v>2661</v>
      </c>
    </row>
    <row r="2418" spans="2:2">
      <c r="B2418" s="177" t="s">
        <v>2662</v>
      </c>
    </row>
    <row r="2419" spans="2:2">
      <c r="B2419" s="177" t="s">
        <v>2663</v>
      </c>
    </row>
    <row r="2420" spans="2:2">
      <c r="B2420" s="177" t="s">
        <v>2664</v>
      </c>
    </row>
    <row r="2421" spans="2:2">
      <c r="B2421" s="177" t="s">
        <v>2665</v>
      </c>
    </row>
    <row r="2422" spans="2:2">
      <c r="B2422" s="177" t="s">
        <v>2666</v>
      </c>
    </row>
    <row r="2423" spans="2:2">
      <c r="B2423" s="177" t="s">
        <v>2667</v>
      </c>
    </row>
    <row r="2424" spans="2:2">
      <c r="B2424" s="177" t="s">
        <v>2668</v>
      </c>
    </row>
    <row r="2425" spans="2:2">
      <c r="B2425" s="177" t="s">
        <v>2669</v>
      </c>
    </row>
    <row r="2426" spans="2:2">
      <c r="B2426" s="177" t="s">
        <v>2670</v>
      </c>
    </row>
    <row r="2427" spans="2:2">
      <c r="B2427" s="177" t="s">
        <v>2671</v>
      </c>
    </row>
    <row r="2428" spans="2:2">
      <c r="B2428" s="177" t="s">
        <v>2672</v>
      </c>
    </row>
    <row r="2429" spans="2:2">
      <c r="B2429" s="177" t="s">
        <v>2673</v>
      </c>
    </row>
    <row r="2430" spans="2:2">
      <c r="B2430" s="177" t="s">
        <v>2674</v>
      </c>
    </row>
    <row r="2431" spans="2:2">
      <c r="B2431" s="177" t="s">
        <v>2675</v>
      </c>
    </row>
    <row r="2432" spans="2:2">
      <c r="B2432" s="177" t="s">
        <v>2676</v>
      </c>
    </row>
    <row r="2433" spans="2:2">
      <c r="B2433" s="177" t="s">
        <v>2677</v>
      </c>
    </row>
    <row r="2434" spans="2:2">
      <c r="B2434" s="177" t="s">
        <v>2678</v>
      </c>
    </row>
    <row r="2435" spans="2:2">
      <c r="B2435" s="177" t="s">
        <v>2679</v>
      </c>
    </row>
    <row r="2436" spans="2:2">
      <c r="B2436" s="177" t="s">
        <v>2680</v>
      </c>
    </row>
    <row r="2437" spans="2:2">
      <c r="B2437" s="177" t="s">
        <v>2681</v>
      </c>
    </row>
    <row r="2438" spans="2:2">
      <c r="B2438" s="177" t="s">
        <v>2682</v>
      </c>
    </row>
    <row r="2439" spans="2:2">
      <c r="B2439" s="177" t="s">
        <v>2683</v>
      </c>
    </row>
    <row r="2440" spans="2:2">
      <c r="B2440" s="177" t="s">
        <v>2684</v>
      </c>
    </row>
    <row r="2441" spans="2:2">
      <c r="B2441" s="177" t="s">
        <v>2685</v>
      </c>
    </row>
    <row r="2442" spans="2:2">
      <c r="B2442" s="177" t="s">
        <v>2686</v>
      </c>
    </row>
    <row r="2443" spans="2:2">
      <c r="B2443" s="177" t="s">
        <v>2687</v>
      </c>
    </row>
    <row r="2444" spans="2:2">
      <c r="B2444" s="177" t="s">
        <v>2688</v>
      </c>
    </row>
    <row r="2445" spans="2:2">
      <c r="B2445" s="177" t="s">
        <v>2689</v>
      </c>
    </row>
    <row r="2446" spans="2:2">
      <c r="B2446" s="177" t="s">
        <v>2690</v>
      </c>
    </row>
    <row r="2447" spans="2:2">
      <c r="B2447" s="177" t="s">
        <v>2691</v>
      </c>
    </row>
    <row r="2448" spans="2:2">
      <c r="B2448" s="177" t="s">
        <v>2692</v>
      </c>
    </row>
    <row r="2449" spans="2:2">
      <c r="B2449" s="177" t="s">
        <v>2693</v>
      </c>
    </row>
    <row r="2450" spans="2:2">
      <c r="B2450" s="177" t="s">
        <v>2694</v>
      </c>
    </row>
    <row r="2451" spans="2:2">
      <c r="B2451" s="177" t="s">
        <v>2695</v>
      </c>
    </row>
    <row r="2452" spans="2:2">
      <c r="B2452" s="177" t="s">
        <v>2696</v>
      </c>
    </row>
    <row r="2453" spans="2:2">
      <c r="B2453" s="177" t="s">
        <v>2697</v>
      </c>
    </row>
    <row r="2454" spans="2:2">
      <c r="B2454" s="177" t="s">
        <v>2698</v>
      </c>
    </row>
    <row r="2455" spans="2:2">
      <c r="B2455" s="177" t="s">
        <v>2699</v>
      </c>
    </row>
    <row r="2456" spans="2:2">
      <c r="B2456" s="177" t="s">
        <v>2700</v>
      </c>
    </row>
    <row r="2457" spans="2:2">
      <c r="B2457" s="177" t="s">
        <v>2701</v>
      </c>
    </row>
    <row r="2458" spans="2:2">
      <c r="B2458" s="177" t="s">
        <v>2702</v>
      </c>
    </row>
    <row r="2459" spans="2:2">
      <c r="B2459" s="177" t="s">
        <v>2703</v>
      </c>
    </row>
    <row r="2460" spans="2:2">
      <c r="B2460" s="177" t="s">
        <v>2704</v>
      </c>
    </row>
    <row r="2461" spans="2:2">
      <c r="B2461" s="177" t="s">
        <v>2705</v>
      </c>
    </row>
    <row r="2462" spans="2:2">
      <c r="B2462" s="177" t="s">
        <v>2706</v>
      </c>
    </row>
    <row r="2463" spans="2:2">
      <c r="B2463" s="177" t="s">
        <v>2707</v>
      </c>
    </row>
    <row r="2464" spans="2:2">
      <c r="B2464" s="177" t="s">
        <v>2708</v>
      </c>
    </row>
    <row r="2465" spans="2:2">
      <c r="B2465" s="177" t="s">
        <v>2709</v>
      </c>
    </row>
    <row r="2466" spans="2:2">
      <c r="B2466" s="177" t="s">
        <v>2710</v>
      </c>
    </row>
    <row r="2467" spans="2:2">
      <c r="B2467" s="177" t="s">
        <v>2711</v>
      </c>
    </row>
    <row r="2468" spans="2:2">
      <c r="B2468" s="177" t="s">
        <v>2712</v>
      </c>
    </row>
    <row r="2469" spans="2:2">
      <c r="B2469" s="177" t="s">
        <v>2713</v>
      </c>
    </row>
    <row r="2470" spans="2:2">
      <c r="B2470" s="177" t="s">
        <v>2714</v>
      </c>
    </row>
    <row r="2471" spans="2:2">
      <c r="B2471" s="177" t="s">
        <v>2715</v>
      </c>
    </row>
    <row r="2472" spans="2:2">
      <c r="B2472" s="177" t="s">
        <v>2716</v>
      </c>
    </row>
    <row r="2473" spans="2:2">
      <c r="B2473" s="177" t="s">
        <v>2717</v>
      </c>
    </row>
    <row r="2474" spans="2:2">
      <c r="B2474" s="177" t="s">
        <v>2718</v>
      </c>
    </row>
    <row r="2475" spans="2:2">
      <c r="B2475" s="177" t="s">
        <v>2719</v>
      </c>
    </row>
    <row r="2476" spans="2:2">
      <c r="B2476" s="177" t="s">
        <v>2720</v>
      </c>
    </row>
    <row r="2477" spans="2:2">
      <c r="B2477" s="177" t="s">
        <v>2721</v>
      </c>
    </row>
    <row r="2478" spans="2:2">
      <c r="B2478" s="177" t="s">
        <v>2722</v>
      </c>
    </row>
    <row r="2479" spans="2:2">
      <c r="B2479" s="177" t="s">
        <v>2723</v>
      </c>
    </row>
    <row r="2480" spans="2:2">
      <c r="B2480" s="177" t="s">
        <v>2724</v>
      </c>
    </row>
    <row r="2481" spans="2:2">
      <c r="B2481" s="177" t="s">
        <v>2725</v>
      </c>
    </row>
    <row r="2482" spans="2:2">
      <c r="B2482" s="177" t="s">
        <v>2726</v>
      </c>
    </row>
    <row r="2483" spans="2:2">
      <c r="B2483" s="177" t="s">
        <v>2727</v>
      </c>
    </row>
    <row r="2484" spans="2:2">
      <c r="B2484" s="177" t="s">
        <v>2728</v>
      </c>
    </row>
    <row r="2485" spans="2:2">
      <c r="B2485" s="177" t="s">
        <v>2729</v>
      </c>
    </row>
    <row r="2486" spans="2:2">
      <c r="B2486" s="177" t="s">
        <v>2730</v>
      </c>
    </row>
    <row r="2487" spans="2:2">
      <c r="B2487" s="177" t="s">
        <v>2731</v>
      </c>
    </row>
    <row r="2488" spans="2:2">
      <c r="B2488" s="177" t="s">
        <v>2732</v>
      </c>
    </row>
    <row r="2489" spans="2:2">
      <c r="B2489" s="177" t="s">
        <v>2733</v>
      </c>
    </row>
    <row r="2490" spans="2:2">
      <c r="B2490" s="177" t="s">
        <v>2734</v>
      </c>
    </row>
    <row r="2491" spans="2:2">
      <c r="B2491" s="177" t="s">
        <v>2735</v>
      </c>
    </row>
    <row r="2492" spans="2:2">
      <c r="B2492" s="177" t="s">
        <v>2736</v>
      </c>
    </row>
    <row r="2493" spans="2:2">
      <c r="B2493" s="177" t="s">
        <v>2737</v>
      </c>
    </row>
    <row r="2494" spans="2:2">
      <c r="B2494" s="177" t="s">
        <v>2738</v>
      </c>
    </row>
    <row r="2495" spans="2:2">
      <c r="B2495" s="177" t="s">
        <v>2739</v>
      </c>
    </row>
    <row r="2496" spans="2:2">
      <c r="B2496" s="177" t="s">
        <v>2740</v>
      </c>
    </row>
    <row r="2497" spans="2:2">
      <c r="B2497" s="177" t="s">
        <v>2741</v>
      </c>
    </row>
    <row r="2498" spans="2:2">
      <c r="B2498" s="177" t="s">
        <v>2742</v>
      </c>
    </row>
    <row r="2499" spans="2:2">
      <c r="B2499" s="177" t="s">
        <v>2743</v>
      </c>
    </row>
    <row r="2500" spans="2:2">
      <c r="B2500" s="177" t="s">
        <v>2744</v>
      </c>
    </row>
    <row r="2501" spans="2:2">
      <c r="B2501" s="177" t="s">
        <v>2745</v>
      </c>
    </row>
    <row r="2502" spans="2:2">
      <c r="B2502" s="177" t="s">
        <v>2746</v>
      </c>
    </row>
    <row r="2503" spans="2:2">
      <c r="B2503" s="177" t="s">
        <v>2747</v>
      </c>
    </row>
    <row r="2504" spans="2:2">
      <c r="B2504" s="177" t="s">
        <v>2748</v>
      </c>
    </row>
    <row r="2505" spans="2:2">
      <c r="B2505" s="177" t="s">
        <v>2749</v>
      </c>
    </row>
    <row r="2506" spans="2:2">
      <c r="B2506" s="177" t="s">
        <v>2750</v>
      </c>
    </row>
    <row r="2507" spans="2:2">
      <c r="B2507" s="177" t="s">
        <v>2751</v>
      </c>
    </row>
    <row r="2508" spans="2:2">
      <c r="B2508" s="177" t="s">
        <v>2752</v>
      </c>
    </row>
    <row r="2509" spans="2:2">
      <c r="B2509" s="177" t="s">
        <v>2753</v>
      </c>
    </row>
    <row r="2510" spans="2:2">
      <c r="B2510" s="177" t="s">
        <v>2754</v>
      </c>
    </row>
    <row r="2511" spans="2:2">
      <c r="B2511" s="177" t="s">
        <v>2755</v>
      </c>
    </row>
    <row r="2512" spans="2:2">
      <c r="B2512" s="177" t="s">
        <v>2756</v>
      </c>
    </row>
    <row r="2513" spans="2:2">
      <c r="B2513" s="177" t="s">
        <v>2757</v>
      </c>
    </row>
    <row r="2514" spans="2:2">
      <c r="B2514" s="177" t="s">
        <v>2758</v>
      </c>
    </row>
    <row r="2515" spans="2:2">
      <c r="B2515" s="177" t="s">
        <v>2759</v>
      </c>
    </row>
    <row r="2516" spans="2:2">
      <c r="B2516" s="177" t="s">
        <v>2760</v>
      </c>
    </row>
    <row r="2517" spans="2:2">
      <c r="B2517" s="177" t="s">
        <v>2761</v>
      </c>
    </row>
    <row r="2518" spans="2:2">
      <c r="B2518" s="177" t="s">
        <v>2762</v>
      </c>
    </row>
    <row r="2519" spans="2:2">
      <c r="B2519" s="177" t="s">
        <v>2763</v>
      </c>
    </row>
    <row r="2520" spans="2:2">
      <c r="B2520" s="177" t="s">
        <v>2764</v>
      </c>
    </row>
    <row r="2521" spans="2:2">
      <c r="B2521" s="177" t="s">
        <v>2765</v>
      </c>
    </row>
    <row r="2522" spans="2:2">
      <c r="B2522" s="177" t="s">
        <v>2766</v>
      </c>
    </row>
    <row r="2523" spans="2:2">
      <c r="B2523" s="177" t="s">
        <v>2767</v>
      </c>
    </row>
    <row r="2524" spans="2:2">
      <c r="B2524" s="177" t="s">
        <v>2768</v>
      </c>
    </row>
    <row r="2525" spans="2:2">
      <c r="B2525" s="177" t="s">
        <v>2769</v>
      </c>
    </row>
    <row r="2526" spans="2:2">
      <c r="B2526" s="177" t="s">
        <v>2770</v>
      </c>
    </row>
    <row r="2527" spans="2:2">
      <c r="B2527" s="177" t="s">
        <v>2771</v>
      </c>
    </row>
    <row r="2528" spans="2:2">
      <c r="B2528" s="177" t="s">
        <v>2772</v>
      </c>
    </row>
    <row r="2529" spans="2:2">
      <c r="B2529" s="177" t="s">
        <v>2773</v>
      </c>
    </row>
    <row r="2530" spans="2:2">
      <c r="B2530" s="177" t="s">
        <v>2774</v>
      </c>
    </row>
    <row r="2531" spans="2:2">
      <c r="B2531" s="177" t="s">
        <v>2775</v>
      </c>
    </row>
    <row r="2532" spans="2:2">
      <c r="B2532" s="177" t="s">
        <v>2776</v>
      </c>
    </row>
    <row r="2533" spans="2:2">
      <c r="B2533" s="177" t="s">
        <v>2777</v>
      </c>
    </row>
    <row r="2534" spans="2:2">
      <c r="B2534" s="177" t="s">
        <v>2778</v>
      </c>
    </row>
    <row r="2535" spans="2:2">
      <c r="B2535" s="177" t="s">
        <v>2779</v>
      </c>
    </row>
    <row r="2536" spans="2:2">
      <c r="B2536" s="177" t="s">
        <v>2780</v>
      </c>
    </row>
    <row r="2537" spans="2:2">
      <c r="B2537" s="177" t="s">
        <v>2781</v>
      </c>
    </row>
    <row r="2538" spans="2:2">
      <c r="B2538" s="177" t="s">
        <v>2782</v>
      </c>
    </row>
    <row r="2539" spans="2:2">
      <c r="B2539" s="177" t="s">
        <v>2783</v>
      </c>
    </row>
    <row r="2540" spans="2:2">
      <c r="B2540" s="177" t="s">
        <v>2784</v>
      </c>
    </row>
    <row r="2541" spans="2:2">
      <c r="B2541" s="177" t="s">
        <v>2785</v>
      </c>
    </row>
    <row r="2542" spans="2:2">
      <c r="B2542" s="177" t="s">
        <v>2786</v>
      </c>
    </row>
    <row r="2543" spans="2:2">
      <c r="B2543" s="177" t="s">
        <v>2787</v>
      </c>
    </row>
    <row r="2544" spans="2:2">
      <c r="B2544" s="177" t="s">
        <v>2788</v>
      </c>
    </row>
    <row r="2545" spans="2:2">
      <c r="B2545" s="177" t="s">
        <v>2789</v>
      </c>
    </row>
    <row r="2546" spans="2:2">
      <c r="B2546" s="177" t="s">
        <v>2790</v>
      </c>
    </row>
    <row r="2547" spans="2:2">
      <c r="B2547" s="177" t="s">
        <v>2791</v>
      </c>
    </row>
    <row r="2548" spans="2:2">
      <c r="B2548" s="177" t="s">
        <v>2792</v>
      </c>
    </row>
    <row r="2549" spans="2:2">
      <c r="B2549" s="177" t="s">
        <v>2793</v>
      </c>
    </row>
    <row r="2550" spans="2:2">
      <c r="B2550" s="177" t="s">
        <v>2794</v>
      </c>
    </row>
    <row r="2551" spans="2:2">
      <c r="B2551" s="177" t="s">
        <v>2795</v>
      </c>
    </row>
    <row r="2552" spans="2:2">
      <c r="B2552" s="177" t="s">
        <v>2796</v>
      </c>
    </row>
    <row r="2553" spans="2:2">
      <c r="B2553" s="177" t="s">
        <v>2797</v>
      </c>
    </row>
    <row r="2554" spans="2:2">
      <c r="B2554" s="177" t="s">
        <v>2798</v>
      </c>
    </row>
    <row r="2555" spans="2:2">
      <c r="B2555" s="177" t="s">
        <v>2799</v>
      </c>
    </row>
    <row r="2556" spans="2:2">
      <c r="B2556" s="177" t="s">
        <v>2800</v>
      </c>
    </row>
    <row r="2557" spans="2:2">
      <c r="B2557" s="177" t="s">
        <v>2801</v>
      </c>
    </row>
    <row r="2558" spans="2:2">
      <c r="B2558" s="177" t="s">
        <v>2802</v>
      </c>
    </row>
    <row r="2559" spans="2:2">
      <c r="B2559" s="177" t="s">
        <v>2803</v>
      </c>
    </row>
    <row r="2560" spans="2:2">
      <c r="B2560" s="177" t="s">
        <v>2804</v>
      </c>
    </row>
    <row r="2561" spans="2:2">
      <c r="B2561" s="177" t="s">
        <v>2805</v>
      </c>
    </row>
    <row r="2562" spans="2:2">
      <c r="B2562" s="177" t="s">
        <v>2806</v>
      </c>
    </row>
    <row r="2563" spans="2:2">
      <c r="B2563" s="177" t="s">
        <v>2807</v>
      </c>
    </row>
    <row r="2564" spans="2:2">
      <c r="B2564" s="177" t="s">
        <v>2808</v>
      </c>
    </row>
    <row r="2565" spans="2:2">
      <c r="B2565" s="177" t="s">
        <v>2809</v>
      </c>
    </row>
    <row r="2566" spans="2:2">
      <c r="B2566" s="177" t="s">
        <v>2810</v>
      </c>
    </row>
    <row r="2567" spans="2:2">
      <c r="B2567" s="177" t="s">
        <v>2811</v>
      </c>
    </row>
    <row r="2568" spans="2:2">
      <c r="B2568" s="177" t="s">
        <v>2812</v>
      </c>
    </row>
    <row r="2569" spans="2:2">
      <c r="B2569" s="177" t="s">
        <v>2813</v>
      </c>
    </row>
    <row r="2570" spans="2:2">
      <c r="B2570" s="177" t="s">
        <v>2814</v>
      </c>
    </row>
    <row r="2571" spans="2:2">
      <c r="B2571" s="177" t="s">
        <v>2815</v>
      </c>
    </row>
    <row r="2572" spans="2:2">
      <c r="B2572" s="177" t="s">
        <v>2816</v>
      </c>
    </row>
    <row r="2573" spans="2:2">
      <c r="B2573" s="177" t="s">
        <v>2817</v>
      </c>
    </row>
    <row r="2574" spans="2:2">
      <c r="B2574" s="177" t="s">
        <v>2818</v>
      </c>
    </row>
    <row r="2575" spans="2:2">
      <c r="B2575" s="177" t="s">
        <v>2819</v>
      </c>
    </row>
    <row r="2576" spans="2:2">
      <c r="B2576" s="177" t="s">
        <v>2820</v>
      </c>
    </row>
    <row r="2577" spans="2:2">
      <c r="B2577" s="177" t="s">
        <v>2821</v>
      </c>
    </row>
    <row r="2578" spans="2:2">
      <c r="B2578" s="177" t="s">
        <v>2822</v>
      </c>
    </row>
    <row r="2579" spans="2:2">
      <c r="B2579" s="177" t="s">
        <v>2823</v>
      </c>
    </row>
    <row r="2580" spans="2:2">
      <c r="B2580" s="177" t="s">
        <v>2824</v>
      </c>
    </row>
    <row r="2581" spans="2:2">
      <c r="B2581" s="177" t="s">
        <v>2825</v>
      </c>
    </row>
    <row r="2582" spans="2:2">
      <c r="B2582" s="177" t="s">
        <v>2826</v>
      </c>
    </row>
    <row r="2583" spans="2:2">
      <c r="B2583" s="177" t="s">
        <v>2827</v>
      </c>
    </row>
    <row r="2584" spans="2:2">
      <c r="B2584" s="177" t="s">
        <v>2828</v>
      </c>
    </row>
    <row r="2585" spans="2:2">
      <c r="B2585" s="177" t="s">
        <v>2829</v>
      </c>
    </row>
    <row r="2586" spans="2:2">
      <c r="B2586" s="177" t="s">
        <v>2830</v>
      </c>
    </row>
    <row r="2587" spans="2:2">
      <c r="B2587" s="177" t="s">
        <v>2831</v>
      </c>
    </row>
    <row r="2588" spans="2:2">
      <c r="B2588" s="177" t="s">
        <v>2832</v>
      </c>
    </row>
    <row r="2589" spans="2:2">
      <c r="B2589" s="177" t="s">
        <v>2833</v>
      </c>
    </row>
    <row r="2590" spans="2:2">
      <c r="B2590" s="177" t="s">
        <v>2834</v>
      </c>
    </row>
    <row r="2591" spans="2:2">
      <c r="B2591" s="177" t="s">
        <v>2835</v>
      </c>
    </row>
    <row r="2592" spans="2:2">
      <c r="B2592" s="177" t="s">
        <v>2836</v>
      </c>
    </row>
    <row r="2593" spans="2:2">
      <c r="B2593" s="177" t="s">
        <v>2837</v>
      </c>
    </row>
    <row r="2594" spans="2:2">
      <c r="B2594" s="177" t="s">
        <v>2838</v>
      </c>
    </row>
    <row r="2595" spans="2:2">
      <c r="B2595" s="177" t="s">
        <v>2839</v>
      </c>
    </row>
    <row r="2596" spans="2:2">
      <c r="B2596" s="177" t="s">
        <v>2840</v>
      </c>
    </row>
    <row r="2597" spans="2:2">
      <c r="B2597" s="177" t="s">
        <v>2841</v>
      </c>
    </row>
    <row r="2598" spans="2:2">
      <c r="B2598" s="177" t="s">
        <v>2842</v>
      </c>
    </row>
    <row r="2599" spans="2:2">
      <c r="B2599" s="177" t="s">
        <v>2843</v>
      </c>
    </row>
    <row r="2600" spans="2:2">
      <c r="B2600" s="177" t="s">
        <v>2844</v>
      </c>
    </row>
    <row r="2601" spans="2:2">
      <c r="B2601" s="177" t="s">
        <v>2845</v>
      </c>
    </row>
    <row r="2602" spans="2:2">
      <c r="B2602" s="177" t="s">
        <v>2846</v>
      </c>
    </row>
    <row r="2603" spans="2:2">
      <c r="B2603" s="177" t="s">
        <v>2847</v>
      </c>
    </row>
    <row r="2604" spans="2:2">
      <c r="B2604" s="177" t="s">
        <v>2848</v>
      </c>
    </row>
    <row r="2605" spans="2:2">
      <c r="B2605" s="177" t="s">
        <v>2849</v>
      </c>
    </row>
    <row r="2606" spans="2:2">
      <c r="B2606" s="177" t="s">
        <v>2850</v>
      </c>
    </row>
    <row r="2607" spans="2:2">
      <c r="B2607" s="177" t="s">
        <v>2851</v>
      </c>
    </row>
    <row r="2608" spans="2:2">
      <c r="B2608" s="177" t="s">
        <v>2852</v>
      </c>
    </row>
    <row r="2609" spans="2:2">
      <c r="B2609" s="177" t="s">
        <v>2853</v>
      </c>
    </row>
    <row r="2610" spans="2:2">
      <c r="B2610" s="177" t="s">
        <v>2854</v>
      </c>
    </row>
    <row r="2611" spans="2:2">
      <c r="B2611" s="177" t="s">
        <v>2855</v>
      </c>
    </row>
    <row r="2612" spans="2:2">
      <c r="B2612" s="177" t="s">
        <v>2856</v>
      </c>
    </row>
    <row r="2613" spans="2:2">
      <c r="B2613" s="177" t="s">
        <v>2857</v>
      </c>
    </row>
    <row r="2614" spans="2:2">
      <c r="B2614" s="177" t="s">
        <v>2858</v>
      </c>
    </row>
    <row r="2615" spans="2:2">
      <c r="B2615" s="177" t="s">
        <v>2859</v>
      </c>
    </row>
    <row r="2616" spans="2:2">
      <c r="B2616" s="177" t="s">
        <v>2860</v>
      </c>
    </row>
    <row r="2617" spans="2:2">
      <c r="B2617" s="177" t="s">
        <v>2861</v>
      </c>
    </row>
    <row r="2618" spans="2:2">
      <c r="B2618" s="177" t="s">
        <v>2862</v>
      </c>
    </row>
    <row r="2619" spans="2:2">
      <c r="B2619" s="177" t="s">
        <v>2863</v>
      </c>
    </row>
    <row r="2620" spans="2:2">
      <c r="B2620" s="177" t="s">
        <v>2864</v>
      </c>
    </row>
    <row r="2621" spans="2:2">
      <c r="B2621" s="177" t="s">
        <v>2865</v>
      </c>
    </row>
    <row r="2622" spans="2:2">
      <c r="B2622" s="177" t="s">
        <v>2866</v>
      </c>
    </row>
    <row r="2623" spans="2:2">
      <c r="B2623" s="177" t="s">
        <v>2867</v>
      </c>
    </row>
    <row r="2624" spans="2:2">
      <c r="B2624" s="177" t="s">
        <v>2868</v>
      </c>
    </row>
    <row r="2625" spans="2:2">
      <c r="B2625" s="177" t="s">
        <v>2869</v>
      </c>
    </row>
    <row r="2626" spans="2:2">
      <c r="B2626" s="177" t="s">
        <v>2870</v>
      </c>
    </row>
    <row r="2627" spans="2:2">
      <c r="B2627" s="177" t="s">
        <v>2871</v>
      </c>
    </row>
    <row r="2628" spans="2:2">
      <c r="B2628" s="177" t="s">
        <v>2872</v>
      </c>
    </row>
    <row r="2629" spans="2:2">
      <c r="B2629" s="177" t="s">
        <v>2873</v>
      </c>
    </row>
    <row r="2630" spans="2:2">
      <c r="B2630" s="177" t="s">
        <v>2874</v>
      </c>
    </row>
    <row r="2631" spans="2:2">
      <c r="B2631" s="177" t="s">
        <v>2875</v>
      </c>
    </row>
    <row r="2632" spans="2:2">
      <c r="B2632" s="177" t="s">
        <v>2876</v>
      </c>
    </row>
    <row r="2633" spans="2:2">
      <c r="B2633" s="177" t="s">
        <v>2877</v>
      </c>
    </row>
    <row r="2634" spans="2:2">
      <c r="B2634" s="177" t="s">
        <v>2878</v>
      </c>
    </row>
    <row r="2635" spans="2:2">
      <c r="B2635" s="177" t="s">
        <v>2879</v>
      </c>
    </row>
    <row r="2636" spans="2:2">
      <c r="B2636" s="177" t="s">
        <v>2880</v>
      </c>
    </row>
    <row r="2637" spans="2:2">
      <c r="B2637" s="177" t="s">
        <v>2881</v>
      </c>
    </row>
    <row r="2638" spans="2:2">
      <c r="B2638" s="177" t="s">
        <v>2882</v>
      </c>
    </row>
    <row r="2639" spans="2:2">
      <c r="B2639" s="177" t="s">
        <v>2883</v>
      </c>
    </row>
    <row r="2640" spans="2:2">
      <c r="B2640" s="177" t="s">
        <v>2884</v>
      </c>
    </row>
    <row r="2641" spans="2:2">
      <c r="B2641" s="177" t="s">
        <v>2885</v>
      </c>
    </row>
    <row r="2642" spans="2:2">
      <c r="B2642" s="177" t="s">
        <v>2886</v>
      </c>
    </row>
    <row r="2643" spans="2:2">
      <c r="B2643" s="177" t="s">
        <v>2887</v>
      </c>
    </row>
    <row r="2644" spans="2:2">
      <c r="B2644" s="177" t="s">
        <v>2888</v>
      </c>
    </row>
    <row r="2645" spans="2:2">
      <c r="B2645" s="177" t="s">
        <v>2889</v>
      </c>
    </row>
    <row r="2646" spans="2:2">
      <c r="B2646" s="177" t="s">
        <v>2890</v>
      </c>
    </row>
    <row r="2647" spans="2:2">
      <c r="B2647" s="177" t="s">
        <v>2891</v>
      </c>
    </row>
    <row r="2648" spans="2:2">
      <c r="B2648" s="177" t="s">
        <v>2892</v>
      </c>
    </row>
    <row r="2649" spans="2:2">
      <c r="B2649" s="177" t="s">
        <v>2893</v>
      </c>
    </row>
    <row r="2650" spans="2:2">
      <c r="B2650" s="177" t="s">
        <v>2894</v>
      </c>
    </row>
    <row r="2651" spans="2:2">
      <c r="B2651" s="177" t="s">
        <v>2895</v>
      </c>
    </row>
    <row r="2652" spans="2:2">
      <c r="B2652" s="177" t="s">
        <v>2896</v>
      </c>
    </row>
    <row r="2653" spans="2:2">
      <c r="B2653" s="177" t="s">
        <v>2897</v>
      </c>
    </row>
    <row r="2654" spans="2:2">
      <c r="B2654" s="177" t="s">
        <v>2898</v>
      </c>
    </row>
    <row r="2655" spans="2:2">
      <c r="B2655" s="177" t="s">
        <v>2899</v>
      </c>
    </row>
    <row r="2656" spans="2:2">
      <c r="B2656" s="177" t="s">
        <v>2900</v>
      </c>
    </row>
    <row r="2657" spans="2:2">
      <c r="B2657" s="177" t="s">
        <v>2901</v>
      </c>
    </row>
    <row r="2658" spans="2:2">
      <c r="B2658" s="177" t="s">
        <v>2902</v>
      </c>
    </row>
    <row r="2659" spans="2:2">
      <c r="B2659" s="177" t="s">
        <v>2903</v>
      </c>
    </row>
    <row r="2660" spans="2:2">
      <c r="B2660" s="177" t="s">
        <v>2904</v>
      </c>
    </row>
    <row r="2661" spans="2:2">
      <c r="B2661" s="177" t="s">
        <v>2905</v>
      </c>
    </row>
    <row r="2662" spans="2:2">
      <c r="B2662" s="177" t="s">
        <v>2906</v>
      </c>
    </row>
    <row r="2663" spans="2:2">
      <c r="B2663" s="177" t="s">
        <v>2907</v>
      </c>
    </row>
    <row r="2664" spans="2:2">
      <c r="B2664" s="177" t="s">
        <v>2908</v>
      </c>
    </row>
    <row r="2665" spans="2:2">
      <c r="B2665" s="177" t="s">
        <v>2909</v>
      </c>
    </row>
    <row r="2666" spans="2:2">
      <c r="B2666" s="177" t="s">
        <v>2910</v>
      </c>
    </row>
    <row r="2667" spans="2:2">
      <c r="B2667" s="177" t="s">
        <v>2911</v>
      </c>
    </row>
    <row r="2668" spans="2:2">
      <c r="B2668" s="177" t="s">
        <v>2912</v>
      </c>
    </row>
    <row r="2669" spans="2:2">
      <c r="B2669" s="177" t="s">
        <v>2913</v>
      </c>
    </row>
    <row r="2670" spans="2:2">
      <c r="B2670" s="177" t="s">
        <v>2914</v>
      </c>
    </row>
    <row r="2671" spans="2:2">
      <c r="B2671" s="177" t="s">
        <v>2915</v>
      </c>
    </row>
    <row r="2672" spans="2:2">
      <c r="B2672" s="177" t="s">
        <v>2916</v>
      </c>
    </row>
    <row r="2673" spans="2:2">
      <c r="B2673" s="177" t="s">
        <v>2917</v>
      </c>
    </row>
    <row r="2674" spans="2:2">
      <c r="B2674" s="177" t="s">
        <v>2918</v>
      </c>
    </row>
    <row r="2675" spans="2:2">
      <c r="B2675" s="177" t="s">
        <v>2919</v>
      </c>
    </row>
    <row r="2676" spans="2:2">
      <c r="B2676" s="177" t="s">
        <v>2920</v>
      </c>
    </row>
    <row r="2677" spans="2:2">
      <c r="B2677" s="177" t="s">
        <v>2921</v>
      </c>
    </row>
    <row r="2678" spans="2:2">
      <c r="B2678" s="177" t="s">
        <v>2922</v>
      </c>
    </row>
    <row r="2679" spans="2:2">
      <c r="B2679" s="177" t="s">
        <v>2923</v>
      </c>
    </row>
    <row r="2680" spans="2:2">
      <c r="B2680" s="177" t="s">
        <v>2924</v>
      </c>
    </row>
    <row r="2681" spans="2:2">
      <c r="B2681" s="177" t="s">
        <v>2925</v>
      </c>
    </row>
    <row r="2682" spans="2:2">
      <c r="B2682" s="177" t="s">
        <v>2926</v>
      </c>
    </row>
    <row r="2683" spans="2:2">
      <c r="B2683" s="177" t="s">
        <v>2927</v>
      </c>
    </row>
    <row r="2684" spans="2:2">
      <c r="B2684" s="177" t="s">
        <v>2928</v>
      </c>
    </row>
    <row r="2685" spans="2:2">
      <c r="B2685" s="177" t="s">
        <v>2929</v>
      </c>
    </row>
    <row r="2686" spans="2:2">
      <c r="B2686" s="177" t="s">
        <v>2930</v>
      </c>
    </row>
    <row r="2687" spans="2:2">
      <c r="B2687" s="177" t="s">
        <v>2931</v>
      </c>
    </row>
    <row r="2688" spans="2:2">
      <c r="B2688" s="177" t="s">
        <v>2932</v>
      </c>
    </row>
    <row r="2689" spans="2:2">
      <c r="B2689" s="177" t="s">
        <v>2933</v>
      </c>
    </row>
    <row r="2690" spans="2:2">
      <c r="B2690" s="177" t="s">
        <v>2934</v>
      </c>
    </row>
    <row r="2691" spans="2:2">
      <c r="B2691" s="177" t="s">
        <v>2935</v>
      </c>
    </row>
    <row r="2692" spans="2:2">
      <c r="B2692" s="177" t="s">
        <v>2936</v>
      </c>
    </row>
    <row r="2693" spans="2:2">
      <c r="B2693" s="177" t="s">
        <v>2937</v>
      </c>
    </row>
    <row r="2694" spans="2:2">
      <c r="B2694" s="177" t="s">
        <v>2938</v>
      </c>
    </row>
    <row r="2695" spans="2:2">
      <c r="B2695" s="177" t="s">
        <v>2939</v>
      </c>
    </row>
    <row r="2696" spans="2:2">
      <c r="B2696" s="177" t="s">
        <v>2940</v>
      </c>
    </row>
    <row r="2697" spans="2:2">
      <c r="B2697" s="177" t="s">
        <v>2941</v>
      </c>
    </row>
    <row r="2698" spans="2:2">
      <c r="B2698" s="177" t="s">
        <v>2942</v>
      </c>
    </row>
    <row r="2699" spans="2:2">
      <c r="B2699" s="177" t="s">
        <v>2943</v>
      </c>
    </row>
    <row r="2700" spans="2:2">
      <c r="B2700" s="177" t="s">
        <v>2944</v>
      </c>
    </row>
    <row r="2701" spans="2:2">
      <c r="B2701" s="177" t="s">
        <v>2945</v>
      </c>
    </row>
    <row r="2702" spans="2:2">
      <c r="B2702" s="177" t="s">
        <v>2946</v>
      </c>
    </row>
    <row r="2703" spans="2:2">
      <c r="B2703" s="177" t="s">
        <v>2947</v>
      </c>
    </row>
    <row r="2704" spans="2:2">
      <c r="B2704" s="177" t="s">
        <v>2948</v>
      </c>
    </row>
    <row r="2705" spans="2:2">
      <c r="B2705" s="177" t="s">
        <v>2949</v>
      </c>
    </row>
    <row r="2706" spans="2:2">
      <c r="B2706" s="177" t="s">
        <v>2950</v>
      </c>
    </row>
    <row r="2707" spans="2:2">
      <c r="B2707" s="177" t="s">
        <v>2951</v>
      </c>
    </row>
    <row r="2708" spans="2:2">
      <c r="B2708" s="177" t="s">
        <v>2952</v>
      </c>
    </row>
    <row r="2709" spans="2:2">
      <c r="B2709" s="177" t="s">
        <v>2953</v>
      </c>
    </row>
    <row r="2710" spans="2:2">
      <c r="B2710" s="177" t="s">
        <v>2954</v>
      </c>
    </row>
    <row r="2711" spans="2:2">
      <c r="B2711" s="177" t="s">
        <v>2955</v>
      </c>
    </row>
    <row r="2712" spans="2:2">
      <c r="B2712" s="177" t="s">
        <v>2956</v>
      </c>
    </row>
    <row r="2713" spans="2:2">
      <c r="B2713" s="177" t="s">
        <v>2957</v>
      </c>
    </row>
    <row r="2714" spans="2:2">
      <c r="B2714" s="177" t="s">
        <v>2958</v>
      </c>
    </row>
    <row r="2715" spans="2:2">
      <c r="B2715" s="177" t="s">
        <v>2959</v>
      </c>
    </row>
    <row r="2716" spans="2:2">
      <c r="B2716" s="177" t="s">
        <v>2960</v>
      </c>
    </row>
    <row r="2717" spans="2:2">
      <c r="B2717" s="177" t="s">
        <v>2961</v>
      </c>
    </row>
    <row r="2718" spans="2:2">
      <c r="B2718" s="177" t="s">
        <v>2962</v>
      </c>
    </row>
    <row r="2719" spans="2:2">
      <c r="B2719" s="177" t="s">
        <v>2963</v>
      </c>
    </row>
    <row r="2720" spans="2:2">
      <c r="B2720" s="177" t="s">
        <v>2964</v>
      </c>
    </row>
    <row r="2721" spans="2:2">
      <c r="B2721" s="177" t="s">
        <v>2965</v>
      </c>
    </row>
    <row r="2722" spans="2:2">
      <c r="B2722" s="177" t="s">
        <v>2966</v>
      </c>
    </row>
    <row r="2723" spans="2:2">
      <c r="B2723" s="177" t="s">
        <v>2967</v>
      </c>
    </row>
    <row r="2724" spans="2:2">
      <c r="B2724" s="177" t="s">
        <v>2968</v>
      </c>
    </row>
    <row r="2725" spans="2:2">
      <c r="B2725" s="177" t="s">
        <v>2969</v>
      </c>
    </row>
    <row r="2726" spans="2:2">
      <c r="B2726" s="177" t="s">
        <v>2970</v>
      </c>
    </row>
    <row r="2727" spans="2:2">
      <c r="B2727" s="177" t="s">
        <v>2971</v>
      </c>
    </row>
    <row r="2728" spans="2:2">
      <c r="B2728" s="177" t="s">
        <v>2972</v>
      </c>
    </row>
    <row r="2729" spans="2:2">
      <c r="B2729" s="177" t="s">
        <v>2973</v>
      </c>
    </row>
    <row r="2730" spans="2:2">
      <c r="B2730" s="177" t="s">
        <v>2974</v>
      </c>
    </row>
    <row r="2731" spans="2:2">
      <c r="B2731" s="177" t="s">
        <v>2975</v>
      </c>
    </row>
    <row r="2732" spans="2:2">
      <c r="B2732" s="177" t="s">
        <v>2976</v>
      </c>
    </row>
    <row r="2733" spans="2:2">
      <c r="B2733" s="177" t="s">
        <v>2977</v>
      </c>
    </row>
    <row r="2734" spans="2:2">
      <c r="B2734" s="177" t="s">
        <v>2978</v>
      </c>
    </row>
    <row r="2735" spans="2:2">
      <c r="B2735" s="177" t="s">
        <v>2979</v>
      </c>
    </row>
    <row r="2736" spans="2:2">
      <c r="B2736" s="177" t="s">
        <v>2980</v>
      </c>
    </row>
    <row r="2737" spans="2:2">
      <c r="B2737" s="177" t="s">
        <v>2981</v>
      </c>
    </row>
    <row r="2738" spans="2:2">
      <c r="B2738" s="177" t="s">
        <v>2982</v>
      </c>
    </row>
    <row r="2739" spans="2:2">
      <c r="B2739" s="177" t="s">
        <v>2983</v>
      </c>
    </row>
    <row r="2740" spans="2:2">
      <c r="B2740" s="177" t="s">
        <v>2984</v>
      </c>
    </row>
    <row r="2741" spans="2:2">
      <c r="B2741" s="177" t="s">
        <v>2985</v>
      </c>
    </row>
    <row r="2742" spans="2:2">
      <c r="B2742" s="177" t="s">
        <v>2986</v>
      </c>
    </row>
    <row r="2743" spans="2:2">
      <c r="B2743" s="177" t="s">
        <v>2987</v>
      </c>
    </row>
    <row r="2744" spans="2:2">
      <c r="B2744" s="177" t="s">
        <v>2988</v>
      </c>
    </row>
    <row r="2745" spans="2:2">
      <c r="B2745" s="177" t="s">
        <v>2989</v>
      </c>
    </row>
    <row r="2746" spans="2:2">
      <c r="B2746" s="177" t="s">
        <v>2990</v>
      </c>
    </row>
    <row r="2747" spans="2:2">
      <c r="B2747" s="177" t="s">
        <v>2991</v>
      </c>
    </row>
    <row r="2748" spans="2:2">
      <c r="B2748" s="177" t="s">
        <v>2992</v>
      </c>
    </row>
    <row r="2749" spans="2:2">
      <c r="B2749" s="177" t="s">
        <v>2993</v>
      </c>
    </row>
    <row r="2750" spans="2:2">
      <c r="B2750" s="177" t="s">
        <v>2994</v>
      </c>
    </row>
    <row r="2751" spans="2:2">
      <c r="B2751" s="177" t="s">
        <v>2995</v>
      </c>
    </row>
    <row r="2752" spans="2:2">
      <c r="B2752" s="177" t="s">
        <v>2996</v>
      </c>
    </row>
    <row r="2753" spans="2:2">
      <c r="B2753" s="177" t="s">
        <v>2997</v>
      </c>
    </row>
    <row r="2754" spans="2:2">
      <c r="B2754" s="177" t="s">
        <v>2998</v>
      </c>
    </row>
    <row r="2755" spans="2:2">
      <c r="B2755" s="177" t="s">
        <v>2999</v>
      </c>
    </row>
    <row r="2756" spans="2:2">
      <c r="B2756" s="177" t="s">
        <v>3000</v>
      </c>
    </row>
    <row r="2757" spans="2:2">
      <c r="B2757" s="177" t="s">
        <v>3001</v>
      </c>
    </row>
    <row r="2758" spans="2:2">
      <c r="B2758" s="177" t="s">
        <v>3002</v>
      </c>
    </row>
    <row r="2759" spans="2:2">
      <c r="B2759" s="177" t="s">
        <v>3003</v>
      </c>
    </row>
    <row r="2760" spans="2:2">
      <c r="B2760" s="177" t="s">
        <v>3004</v>
      </c>
    </row>
    <row r="2761" spans="2:2">
      <c r="B2761" s="177" t="s">
        <v>3005</v>
      </c>
    </row>
    <row r="2762" spans="2:2">
      <c r="B2762" s="177" t="s">
        <v>3006</v>
      </c>
    </row>
    <row r="2763" spans="2:2">
      <c r="B2763" s="177" t="s">
        <v>3007</v>
      </c>
    </row>
    <row r="2764" spans="2:2">
      <c r="B2764" s="177" t="s">
        <v>3008</v>
      </c>
    </row>
    <row r="2765" spans="2:2">
      <c r="B2765" s="177" t="s">
        <v>3009</v>
      </c>
    </row>
    <row r="2766" spans="2:2">
      <c r="B2766" s="177" t="s">
        <v>3010</v>
      </c>
    </row>
    <row r="2767" spans="2:2">
      <c r="B2767" s="177" t="s">
        <v>3011</v>
      </c>
    </row>
    <row r="2768" spans="2:2">
      <c r="B2768" s="177" t="s">
        <v>3012</v>
      </c>
    </row>
    <row r="2769" spans="2:2">
      <c r="B2769" s="177" t="s">
        <v>3013</v>
      </c>
    </row>
    <row r="2770" spans="2:2">
      <c r="B2770" s="177" t="s">
        <v>3014</v>
      </c>
    </row>
    <row r="2771" spans="2:2">
      <c r="B2771" s="177" t="s">
        <v>3015</v>
      </c>
    </row>
    <row r="2772" spans="2:2">
      <c r="B2772" s="177" t="s">
        <v>3016</v>
      </c>
    </row>
    <row r="2773" spans="2:2">
      <c r="B2773" s="177" t="s">
        <v>3017</v>
      </c>
    </row>
    <row r="2774" spans="2:2">
      <c r="B2774" s="177" t="s">
        <v>3018</v>
      </c>
    </row>
    <row r="2775" spans="2:2">
      <c r="B2775" s="177" t="s">
        <v>3019</v>
      </c>
    </row>
    <row r="2776" spans="2:2">
      <c r="B2776" s="177" t="s">
        <v>3020</v>
      </c>
    </row>
    <row r="2777" spans="2:2">
      <c r="B2777" s="177" t="s">
        <v>3021</v>
      </c>
    </row>
    <row r="2778" spans="2:2">
      <c r="B2778" s="177" t="s">
        <v>3022</v>
      </c>
    </row>
    <row r="2779" spans="2:2">
      <c r="B2779" s="177" t="s">
        <v>3023</v>
      </c>
    </row>
    <row r="2780" spans="2:2">
      <c r="B2780" s="177" t="s">
        <v>3024</v>
      </c>
    </row>
    <row r="2781" spans="2:2">
      <c r="B2781" s="177" t="s">
        <v>3025</v>
      </c>
    </row>
    <row r="2782" spans="2:2">
      <c r="B2782" s="177" t="s">
        <v>3026</v>
      </c>
    </row>
    <row r="2783" spans="2:2">
      <c r="B2783" s="177" t="s">
        <v>3027</v>
      </c>
    </row>
    <row r="2784" spans="2:2">
      <c r="B2784" s="177" t="s">
        <v>3028</v>
      </c>
    </row>
    <row r="2785" spans="2:2">
      <c r="B2785" s="177" t="s">
        <v>3029</v>
      </c>
    </row>
    <row r="2786" spans="2:2">
      <c r="B2786" s="177" t="s">
        <v>3030</v>
      </c>
    </row>
    <row r="2787" spans="2:2">
      <c r="B2787" s="177" t="s">
        <v>3031</v>
      </c>
    </row>
    <row r="2788" spans="2:2">
      <c r="B2788" s="177" t="s">
        <v>3032</v>
      </c>
    </row>
    <row r="2789" spans="2:2">
      <c r="B2789" s="177" t="s">
        <v>3033</v>
      </c>
    </row>
    <row r="2790" spans="2:2">
      <c r="B2790" s="177" t="s">
        <v>3034</v>
      </c>
    </row>
    <row r="2791" spans="2:2">
      <c r="B2791" s="177" t="s">
        <v>3035</v>
      </c>
    </row>
    <row r="2792" spans="2:2">
      <c r="B2792" s="177" t="s">
        <v>3036</v>
      </c>
    </row>
    <row r="2793" spans="2:2">
      <c r="B2793" s="177" t="s">
        <v>3037</v>
      </c>
    </row>
    <row r="2794" spans="2:2">
      <c r="B2794" s="177" t="s">
        <v>3038</v>
      </c>
    </row>
    <row r="2795" spans="2:2">
      <c r="B2795" s="177" t="s">
        <v>3039</v>
      </c>
    </row>
    <row r="2796" spans="2:2">
      <c r="B2796" s="177" t="s">
        <v>3040</v>
      </c>
    </row>
    <row r="2797" spans="2:2">
      <c r="B2797" s="177" t="s">
        <v>3041</v>
      </c>
    </row>
    <row r="2798" spans="2:2">
      <c r="B2798" s="177" t="s">
        <v>3042</v>
      </c>
    </row>
    <row r="2799" spans="2:2">
      <c r="B2799" s="177" t="s">
        <v>3043</v>
      </c>
    </row>
    <row r="2800" spans="2:2">
      <c r="B2800" s="177" t="s">
        <v>3044</v>
      </c>
    </row>
    <row r="2801" spans="2:2">
      <c r="B2801" s="177" t="s">
        <v>3045</v>
      </c>
    </row>
    <row r="2802" spans="2:2">
      <c r="B2802" s="177" t="s">
        <v>3046</v>
      </c>
    </row>
    <row r="2803" spans="2:2">
      <c r="B2803" s="177" t="s">
        <v>3047</v>
      </c>
    </row>
    <row r="2804" spans="2:2">
      <c r="B2804" s="177" t="s">
        <v>3048</v>
      </c>
    </row>
    <row r="2805" spans="2:2">
      <c r="B2805" s="177" t="s">
        <v>3049</v>
      </c>
    </row>
    <row r="2806" spans="2:2">
      <c r="B2806" s="177" t="s">
        <v>3050</v>
      </c>
    </row>
    <row r="2807" spans="2:2">
      <c r="B2807" s="177" t="s">
        <v>3051</v>
      </c>
    </row>
    <row r="2808" spans="2:2">
      <c r="B2808" s="177" t="s">
        <v>3052</v>
      </c>
    </row>
    <row r="2809" spans="2:2">
      <c r="B2809" s="177" t="s">
        <v>3053</v>
      </c>
    </row>
    <row r="2810" spans="2:2">
      <c r="B2810" s="177" t="s">
        <v>3054</v>
      </c>
    </row>
    <row r="2811" spans="2:2">
      <c r="B2811" s="177" t="s">
        <v>3055</v>
      </c>
    </row>
    <row r="2812" spans="2:2">
      <c r="B2812" s="177" t="s">
        <v>3056</v>
      </c>
    </row>
    <row r="2813" spans="2:2">
      <c r="B2813" s="177" t="s">
        <v>3057</v>
      </c>
    </row>
    <row r="2814" spans="2:2">
      <c r="B2814" s="177" t="s">
        <v>3058</v>
      </c>
    </row>
    <row r="2815" spans="2:2">
      <c r="B2815" s="177" t="s">
        <v>3059</v>
      </c>
    </row>
    <row r="2816" spans="2:2">
      <c r="B2816" s="177" t="s">
        <v>3060</v>
      </c>
    </row>
    <row r="2817" spans="2:2">
      <c r="B2817" s="177" t="s">
        <v>3061</v>
      </c>
    </row>
    <row r="2818" spans="2:2">
      <c r="B2818" s="177" t="s">
        <v>3062</v>
      </c>
    </row>
    <row r="2819" spans="2:2">
      <c r="B2819" s="177" t="s">
        <v>3063</v>
      </c>
    </row>
    <row r="2820" spans="2:2">
      <c r="B2820" s="177" t="s">
        <v>3064</v>
      </c>
    </row>
    <row r="2821" spans="2:2">
      <c r="B2821" s="177" t="s">
        <v>3065</v>
      </c>
    </row>
    <row r="2822" spans="2:2">
      <c r="B2822" s="177" t="s">
        <v>3066</v>
      </c>
    </row>
    <row r="2823" spans="2:2">
      <c r="B2823" s="177" t="s">
        <v>3067</v>
      </c>
    </row>
    <row r="2824" spans="2:2">
      <c r="B2824" s="177" t="s">
        <v>3068</v>
      </c>
    </row>
    <row r="2825" spans="2:2">
      <c r="B2825" s="177" t="s">
        <v>3069</v>
      </c>
    </row>
    <row r="2826" spans="2:2">
      <c r="B2826" s="177" t="s">
        <v>3070</v>
      </c>
    </row>
    <row r="2827" spans="2:2">
      <c r="B2827" s="177" t="s">
        <v>3071</v>
      </c>
    </row>
    <row r="2828" spans="2:2">
      <c r="B2828" s="177" t="s">
        <v>3072</v>
      </c>
    </row>
    <row r="2829" spans="2:2">
      <c r="B2829" s="177" t="s">
        <v>3073</v>
      </c>
    </row>
    <row r="2830" spans="2:2">
      <c r="B2830" s="177" t="s">
        <v>3074</v>
      </c>
    </row>
    <row r="2831" spans="2:2">
      <c r="B2831" s="177" t="s">
        <v>3075</v>
      </c>
    </row>
    <row r="2832" spans="2:2">
      <c r="B2832" s="177" t="s">
        <v>3076</v>
      </c>
    </row>
    <row r="2833" spans="2:2">
      <c r="B2833" s="177" t="s">
        <v>3077</v>
      </c>
    </row>
    <row r="2834" spans="2:2">
      <c r="B2834" s="177" t="s">
        <v>3078</v>
      </c>
    </row>
    <row r="2835" spans="2:2">
      <c r="B2835" s="177" t="s">
        <v>3079</v>
      </c>
    </row>
    <row r="2836" spans="2:2">
      <c r="B2836" s="177" t="s">
        <v>3080</v>
      </c>
    </row>
    <row r="2837" spans="2:2">
      <c r="B2837" s="177" t="s">
        <v>3081</v>
      </c>
    </row>
    <row r="2838" spans="2:2">
      <c r="B2838" s="177" t="s">
        <v>3082</v>
      </c>
    </row>
    <row r="2839" spans="2:2">
      <c r="B2839" s="177" t="s">
        <v>3083</v>
      </c>
    </row>
    <row r="2840" spans="2:2">
      <c r="B2840" s="177" t="s">
        <v>3084</v>
      </c>
    </row>
    <row r="2841" spans="2:2">
      <c r="B2841" s="177" t="s">
        <v>3085</v>
      </c>
    </row>
    <row r="2842" spans="2:2">
      <c r="B2842" s="177" t="s">
        <v>3086</v>
      </c>
    </row>
    <row r="2843" spans="2:2">
      <c r="B2843" s="177" t="s">
        <v>3087</v>
      </c>
    </row>
    <row r="2844" spans="2:2">
      <c r="B2844" s="177" t="s">
        <v>3088</v>
      </c>
    </row>
    <row r="2845" spans="2:2">
      <c r="B2845" s="177" t="s">
        <v>3089</v>
      </c>
    </row>
    <row r="2846" spans="2:2">
      <c r="B2846" s="177" t="s">
        <v>3090</v>
      </c>
    </row>
    <row r="2847" spans="2:2">
      <c r="B2847" s="177" t="s">
        <v>3091</v>
      </c>
    </row>
    <row r="2848" spans="2:2">
      <c r="B2848" s="177" t="s">
        <v>3092</v>
      </c>
    </row>
    <row r="2849" spans="2:2">
      <c r="B2849" s="177" t="s">
        <v>3093</v>
      </c>
    </row>
    <row r="2850" spans="2:2">
      <c r="B2850" s="177" t="s">
        <v>3094</v>
      </c>
    </row>
    <row r="2851" spans="2:2">
      <c r="B2851" s="177" t="s">
        <v>3095</v>
      </c>
    </row>
    <row r="2852" spans="2:2">
      <c r="B2852" s="177" t="s">
        <v>3096</v>
      </c>
    </row>
    <row r="2853" spans="2:2">
      <c r="B2853" s="177" t="s">
        <v>3097</v>
      </c>
    </row>
    <row r="2854" spans="2:2">
      <c r="B2854" s="177" t="s">
        <v>3098</v>
      </c>
    </row>
    <row r="2855" spans="2:2">
      <c r="B2855" s="177" t="s">
        <v>3099</v>
      </c>
    </row>
    <row r="2856" spans="2:2">
      <c r="B2856" s="177" t="s">
        <v>3100</v>
      </c>
    </row>
    <row r="2857" spans="2:2">
      <c r="B2857" s="177" t="s">
        <v>3101</v>
      </c>
    </row>
    <row r="2858" spans="2:2">
      <c r="B2858" s="177" t="s">
        <v>3102</v>
      </c>
    </row>
    <row r="2859" spans="2:2">
      <c r="B2859" s="177" t="s">
        <v>3103</v>
      </c>
    </row>
    <row r="2860" spans="2:2">
      <c r="B2860" s="177" t="s">
        <v>3104</v>
      </c>
    </row>
    <row r="2861" spans="2:2">
      <c r="B2861" s="177" t="s">
        <v>3105</v>
      </c>
    </row>
    <row r="2862" spans="2:2">
      <c r="B2862" s="177" t="s">
        <v>3106</v>
      </c>
    </row>
    <row r="2863" spans="2:2">
      <c r="B2863" s="177" t="s">
        <v>3107</v>
      </c>
    </row>
    <row r="2864" spans="2:2">
      <c r="B2864" s="177" t="s">
        <v>3108</v>
      </c>
    </row>
    <row r="2865" spans="2:2">
      <c r="B2865" s="177" t="s">
        <v>3109</v>
      </c>
    </row>
    <row r="2866" spans="2:2">
      <c r="B2866" s="177" t="s">
        <v>3110</v>
      </c>
    </row>
    <row r="2867" spans="2:2">
      <c r="B2867" s="177" t="s">
        <v>3111</v>
      </c>
    </row>
    <row r="2868" spans="2:2">
      <c r="B2868" s="177" t="s">
        <v>3112</v>
      </c>
    </row>
    <row r="2869" spans="2:2">
      <c r="B2869" s="177" t="s">
        <v>3113</v>
      </c>
    </row>
    <row r="2870" spans="2:2">
      <c r="B2870" s="177" t="s">
        <v>3114</v>
      </c>
    </row>
    <row r="2871" spans="2:2">
      <c r="B2871" s="177" t="s">
        <v>3115</v>
      </c>
    </row>
    <row r="2872" spans="2:2">
      <c r="B2872" s="177" t="s">
        <v>3116</v>
      </c>
    </row>
    <row r="2873" spans="2:2">
      <c r="B2873" s="177" t="s">
        <v>3117</v>
      </c>
    </row>
    <row r="2874" spans="2:2">
      <c r="B2874" s="177" t="s">
        <v>3118</v>
      </c>
    </row>
    <row r="2875" spans="2:2">
      <c r="B2875" s="177" t="s">
        <v>3119</v>
      </c>
    </row>
    <row r="2876" spans="2:2">
      <c r="B2876" s="177" t="s">
        <v>3120</v>
      </c>
    </row>
    <row r="2877" spans="2:2">
      <c r="B2877" s="177" t="s">
        <v>3121</v>
      </c>
    </row>
    <row r="2878" spans="2:2">
      <c r="B2878" s="177" t="s">
        <v>3122</v>
      </c>
    </row>
    <row r="2879" spans="2:2">
      <c r="B2879" s="177" t="s">
        <v>3123</v>
      </c>
    </row>
    <row r="2880" spans="2:2">
      <c r="B2880" s="177" t="s">
        <v>3124</v>
      </c>
    </row>
    <row r="2881" spans="2:2">
      <c r="B2881" s="177" t="s">
        <v>3125</v>
      </c>
    </row>
    <row r="2882" spans="2:2">
      <c r="B2882" s="177" t="s">
        <v>3126</v>
      </c>
    </row>
    <row r="2883" spans="2:2">
      <c r="B2883" s="177" t="s">
        <v>3127</v>
      </c>
    </row>
    <row r="2884" spans="2:2">
      <c r="B2884" s="177" t="s">
        <v>3128</v>
      </c>
    </row>
    <row r="2885" spans="2:2">
      <c r="B2885" s="177" t="s">
        <v>3129</v>
      </c>
    </row>
    <row r="2886" spans="2:2">
      <c r="B2886" s="177" t="s">
        <v>3130</v>
      </c>
    </row>
    <row r="2887" spans="2:2">
      <c r="B2887" s="177" t="s">
        <v>3131</v>
      </c>
    </row>
    <row r="2888" spans="2:2">
      <c r="B2888" s="177" t="s">
        <v>3132</v>
      </c>
    </row>
    <row r="2889" spans="2:2">
      <c r="B2889" s="177" t="s">
        <v>3133</v>
      </c>
    </row>
    <row r="2890" spans="2:2">
      <c r="B2890" s="177" t="s">
        <v>3134</v>
      </c>
    </row>
    <row r="2891" spans="2:2">
      <c r="B2891" s="177" t="s">
        <v>3135</v>
      </c>
    </row>
    <row r="2892" spans="2:2">
      <c r="B2892" s="177" t="s">
        <v>3136</v>
      </c>
    </row>
    <row r="2893" spans="2:2">
      <c r="B2893" s="177" t="s">
        <v>3137</v>
      </c>
    </row>
    <row r="2894" spans="2:2">
      <c r="B2894" s="177" t="s">
        <v>3138</v>
      </c>
    </row>
    <row r="2895" spans="2:2">
      <c r="B2895" s="177" t="s">
        <v>3139</v>
      </c>
    </row>
    <row r="2896" spans="2:2">
      <c r="B2896" s="177" t="s">
        <v>3140</v>
      </c>
    </row>
    <row r="2897" spans="2:2">
      <c r="B2897" s="177" t="s">
        <v>3141</v>
      </c>
    </row>
    <row r="2898" spans="2:2">
      <c r="B2898" s="177" t="s">
        <v>3142</v>
      </c>
    </row>
    <row r="2899" spans="2:2">
      <c r="B2899" s="177" t="s">
        <v>3143</v>
      </c>
    </row>
    <row r="2900" spans="2:2">
      <c r="B2900" s="177" t="s">
        <v>3144</v>
      </c>
    </row>
    <row r="2901" spans="2:2">
      <c r="B2901" s="177" t="s">
        <v>3145</v>
      </c>
    </row>
    <row r="2902" spans="2:2">
      <c r="B2902" s="177" t="s">
        <v>3146</v>
      </c>
    </row>
    <row r="2903" spans="2:2">
      <c r="B2903" s="177" t="s">
        <v>3147</v>
      </c>
    </row>
    <row r="2904" spans="2:2">
      <c r="B2904" s="177" t="s">
        <v>3148</v>
      </c>
    </row>
    <row r="2905" spans="2:2">
      <c r="B2905" s="177" t="s">
        <v>3149</v>
      </c>
    </row>
    <row r="2906" spans="2:2">
      <c r="B2906" s="177" t="s">
        <v>3150</v>
      </c>
    </row>
    <row r="2907" spans="2:2">
      <c r="B2907" s="177" t="s">
        <v>3151</v>
      </c>
    </row>
    <row r="2908" spans="2:2">
      <c r="B2908" s="177" t="s">
        <v>3152</v>
      </c>
    </row>
    <row r="2909" spans="2:2">
      <c r="B2909" s="177" t="s">
        <v>3153</v>
      </c>
    </row>
    <row r="2910" spans="2:2">
      <c r="B2910" s="177" t="s">
        <v>3154</v>
      </c>
    </row>
    <row r="2911" spans="2:2">
      <c r="B2911" s="177" t="s">
        <v>3155</v>
      </c>
    </row>
    <row r="2912" spans="2:2">
      <c r="B2912" s="177" t="s">
        <v>3156</v>
      </c>
    </row>
    <row r="2913" spans="2:2">
      <c r="B2913" s="177" t="s">
        <v>3157</v>
      </c>
    </row>
    <row r="2914" spans="2:2">
      <c r="B2914" s="177" t="s">
        <v>3158</v>
      </c>
    </row>
    <row r="2915" spans="2:2">
      <c r="B2915" s="177" t="s">
        <v>3159</v>
      </c>
    </row>
    <row r="2916" spans="2:2">
      <c r="B2916" s="177" t="s">
        <v>3160</v>
      </c>
    </row>
    <row r="2917" spans="2:2">
      <c r="B2917" s="177" t="s">
        <v>3161</v>
      </c>
    </row>
    <row r="2918" spans="2:2">
      <c r="B2918" s="177" t="s">
        <v>3162</v>
      </c>
    </row>
    <row r="2919" spans="2:2">
      <c r="B2919" s="177" t="s">
        <v>3163</v>
      </c>
    </row>
    <row r="2920" spans="2:2">
      <c r="B2920" s="177" t="s">
        <v>3164</v>
      </c>
    </row>
    <row r="2921" spans="2:2">
      <c r="B2921" s="177" t="s">
        <v>3165</v>
      </c>
    </row>
    <row r="2922" spans="2:2">
      <c r="B2922" s="177" t="s">
        <v>3166</v>
      </c>
    </row>
    <row r="2923" spans="2:2">
      <c r="B2923" s="177" t="s">
        <v>3167</v>
      </c>
    </row>
    <row r="2924" spans="2:2">
      <c r="B2924" s="177" t="s">
        <v>3168</v>
      </c>
    </row>
    <row r="2925" spans="2:2">
      <c r="B2925" s="177" t="s">
        <v>3169</v>
      </c>
    </row>
    <row r="2926" spans="2:2">
      <c r="B2926" s="177" t="s">
        <v>3170</v>
      </c>
    </row>
    <row r="2927" spans="2:2">
      <c r="B2927" s="177" t="s">
        <v>3171</v>
      </c>
    </row>
    <row r="2928" spans="2:2">
      <c r="B2928" s="177" t="s">
        <v>3172</v>
      </c>
    </row>
    <row r="2929" spans="2:2">
      <c r="B2929" s="177" t="s">
        <v>3173</v>
      </c>
    </row>
    <row r="2930" spans="2:2">
      <c r="B2930" s="177" t="s">
        <v>3174</v>
      </c>
    </row>
    <row r="2931" spans="2:2">
      <c r="B2931" s="177" t="s">
        <v>3175</v>
      </c>
    </row>
    <row r="2932" spans="2:2">
      <c r="B2932" s="177" t="s">
        <v>3176</v>
      </c>
    </row>
    <row r="2933" spans="2:2">
      <c r="B2933" s="177" t="s">
        <v>3177</v>
      </c>
    </row>
    <row r="2934" spans="2:2">
      <c r="B2934" s="177" t="s">
        <v>3178</v>
      </c>
    </row>
    <row r="2935" spans="2:2">
      <c r="B2935" s="177" t="s">
        <v>3179</v>
      </c>
    </row>
    <row r="2936" spans="2:2">
      <c r="B2936" s="177" t="s">
        <v>3180</v>
      </c>
    </row>
    <row r="2937" spans="2:2">
      <c r="B2937" s="177" t="s">
        <v>3181</v>
      </c>
    </row>
    <row r="2938" spans="2:2">
      <c r="B2938" s="177" t="s">
        <v>3182</v>
      </c>
    </row>
    <row r="2939" spans="2:2">
      <c r="B2939" s="177" t="s">
        <v>3183</v>
      </c>
    </row>
    <row r="2940" spans="2:2">
      <c r="B2940" s="177" t="s">
        <v>3184</v>
      </c>
    </row>
    <row r="2941" spans="2:2">
      <c r="B2941" s="177" t="s">
        <v>3185</v>
      </c>
    </row>
    <row r="2942" spans="2:2">
      <c r="B2942" s="177" t="s">
        <v>3186</v>
      </c>
    </row>
    <row r="2943" spans="2:2">
      <c r="B2943" s="177" t="s">
        <v>3187</v>
      </c>
    </row>
    <row r="2944" spans="2:2">
      <c r="B2944" s="177" t="s">
        <v>3188</v>
      </c>
    </row>
    <row r="2945" spans="2:2">
      <c r="B2945" s="177" t="s">
        <v>3189</v>
      </c>
    </row>
    <row r="2946" spans="2:2">
      <c r="B2946" s="177" t="s">
        <v>3190</v>
      </c>
    </row>
    <row r="2947" spans="2:2">
      <c r="B2947" s="177" t="s">
        <v>3191</v>
      </c>
    </row>
    <row r="2948" spans="2:2">
      <c r="B2948" s="177" t="s">
        <v>3192</v>
      </c>
    </row>
    <row r="2949" spans="2:2">
      <c r="B2949" s="177" t="s">
        <v>3193</v>
      </c>
    </row>
    <row r="2950" spans="2:2">
      <c r="B2950" s="177" t="s">
        <v>3194</v>
      </c>
    </row>
    <row r="2951" spans="2:2">
      <c r="B2951" s="177" t="s">
        <v>3195</v>
      </c>
    </row>
    <row r="2952" spans="2:2">
      <c r="B2952" s="177" t="s">
        <v>3196</v>
      </c>
    </row>
    <row r="2953" spans="2:2">
      <c r="B2953" s="177" t="s">
        <v>3197</v>
      </c>
    </row>
    <row r="2954" spans="2:2">
      <c r="B2954" s="177" t="s">
        <v>3198</v>
      </c>
    </row>
    <row r="2955" spans="2:2">
      <c r="B2955" s="177" t="s">
        <v>3199</v>
      </c>
    </row>
    <row r="2956" spans="2:2">
      <c r="B2956" s="177" t="s">
        <v>3200</v>
      </c>
    </row>
    <row r="2957" spans="2:2">
      <c r="B2957" s="177" t="s">
        <v>3201</v>
      </c>
    </row>
    <row r="2958" spans="2:2">
      <c r="B2958" s="177" t="s">
        <v>3202</v>
      </c>
    </row>
    <row r="2959" spans="2:2">
      <c r="B2959" s="177" t="s">
        <v>3203</v>
      </c>
    </row>
    <row r="2960" spans="2:2">
      <c r="B2960" s="177" t="s">
        <v>3204</v>
      </c>
    </row>
    <row r="2961" spans="2:2">
      <c r="B2961" s="177" t="s">
        <v>3205</v>
      </c>
    </row>
    <row r="2962" spans="2:2">
      <c r="B2962" s="177" t="s">
        <v>3206</v>
      </c>
    </row>
    <row r="2963" spans="2:2">
      <c r="B2963" s="177" t="s">
        <v>3207</v>
      </c>
    </row>
    <row r="2964" spans="2:2">
      <c r="B2964" s="177" t="s">
        <v>3208</v>
      </c>
    </row>
    <row r="2965" spans="2:2">
      <c r="B2965" s="177" t="s">
        <v>3209</v>
      </c>
    </row>
    <row r="2966" spans="2:2">
      <c r="B2966" s="177" t="s">
        <v>3210</v>
      </c>
    </row>
    <row r="2967" spans="2:2">
      <c r="B2967" s="177" t="s">
        <v>3211</v>
      </c>
    </row>
    <row r="2968" spans="2:2">
      <c r="B2968" s="177" t="s">
        <v>3212</v>
      </c>
    </row>
    <row r="2969" spans="2:2">
      <c r="B2969" s="177" t="s">
        <v>3213</v>
      </c>
    </row>
    <row r="2970" spans="2:2">
      <c r="B2970" s="177" t="s">
        <v>3214</v>
      </c>
    </row>
    <row r="2971" spans="2:2">
      <c r="B2971" s="177" t="s">
        <v>3215</v>
      </c>
    </row>
    <row r="2972" spans="2:2">
      <c r="B2972" s="177" t="s">
        <v>3216</v>
      </c>
    </row>
    <row r="2973" spans="2:2">
      <c r="B2973" s="177" t="s">
        <v>3217</v>
      </c>
    </row>
    <row r="2974" spans="2:2">
      <c r="B2974" s="177" t="s">
        <v>3218</v>
      </c>
    </row>
    <row r="2975" spans="2:2">
      <c r="B2975" s="177" t="s">
        <v>3219</v>
      </c>
    </row>
    <row r="2976" spans="2:2">
      <c r="B2976" s="177" t="s">
        <v>3220</v>
      </c>
    </row>
    <row r="2977" spans="2:2">
      <c r="B2977" s="177" t="s">
        <v>3221</v>
      </c>
    </row>
    <row r="2978" spans="2:2">
      <c r="B2978" s="177" t="s">
        <v>3222</v>
      </c>
    </row>
    <row r="2979" spans="2:2">
      <c r="B2979" s="177" t="s">
        <v>3223</v>
      </c>
    </row>
    <row r="2980" spans="2:2">
      <c r="B2980" s="177" t="s">
        <v>3224</v>
      </c>
    </row>
    <row r="2981" spans="2:2">
      <c r="B2981" s="177" t="s">
        <v>3225</v>
      </c>
    </row>
    <row r="2982" spans="2:2">
      <c r="B2982" s="177" t="s">
        <v>3226</v>
      </c>
    </row>
    <row r="2983" spans="2:2">
      <c r="B2983" s="177" t="s">
        <v>3227</v>
      </c>
    </row>
  </sheetData>
  <sheetProtection algorithmName="SHA-512" hashValue="ExWh2th/q31xBlHbby/n7xMIugU3yqQu9tl37ovZzMhJ1lje624ltAoAM28a87xMRjfAfUc/PPaIX0U17F/rMQ==" saltValue="fvReG46hjScGaYKLTS4wyg=="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420D0-C838-404E-BD1D-C0B431CF006F}">
  <sheetPr codeName="Sheet12">
    <tabColor theme="6"/>
  </sheetPr>
  <dimension ref="B1:AI157"/>
  <sheetViews>
    <sheetView topLeftCell="B4" zoomScale="82" zoomScaleNormal="100" workbookViewId="0">
      <selection activeCell="D6" sqref="D6"/>
    </sheetView>
  </sheetViews>
  <sheetFormatPr baseColWidth="10" defaultRowHeight="16"/>
  <cols>
    <col min="1" max="1" width="10.83203125" style="32"/>
    <col min="2" max="2" width="15.33203125" style="32" customWidth="1"/>
    <col min="3" max="3" width="10.83203125" style="32"/>
    <col min="4" max="4" width="17.83203125" style="32" bestFit="1" customWidth="1"/>
    <col min="5" max="5" width="11.83203125" style="32" customWidth="1"/>
    <col min="6" max="7" width="11.33203125" style="32" bestFit="1" customWidth="1"/>
    <col min="8" max="10" width="14" style="32" bestFit="1" customWidth="1"/>
    <col min="11" max="13" width="14.1640625" style="32" bestFit="1" customWidth="1"/>
    <col min="14" max="14" width="13.5" style="32" bestFit="1" customWidth="1"/>
    <col min="15" max="15" width="12.1640625" style="32" bestFit="1" customWidth="1"/>
    <col min="16" max="16" width="11.5" style="32" bestFit="1" customWidth="1"/>
    <col min="17" max="18" width="12.1640625" style="32" bestFit="1" customWidth="1"/>
    <col min="19" max="19" width="12.83203125" style="32" bestFit="1" customWidth="1"/>
    <col min="20" max="22" width="10.83203125" style="32"/>
    <col min="23" max="23" width="11.1640625" style="32" bestFit="1" customWidth="1"/>
    <col min="24" max="25" width="10.83203125" style="32"/>
    <col min="26" max="26" width="16.33203125" style="32" customWidth="1"/>
    <col min="27" max="27" width="11.1640625" style="32" bestFit="1" customWidth="1"/>
    <col min="28" max="28" width="14.1640625" style="32" customWidth="1"/>
    <col min="29" max="29" width="11.1640625" style="32" bestFit="1" customWidth="1"/>
    <col min="30" max="31" width="11" style="32" bestFit="1" customWidth="1"/>
    <col min="32" max="16384" width="10.83203125" style="32"/>
  </cols>
  <sheetData>
    <row r="1" spans="2:31" ht="26">
      <c r="B1" s="772" t="s">
        <v>3365</v>
      </c>
      <c r="C1" s="753" t="str">
        <f>'Data Tables'!C7</f>
        <v>Technology specific emission factors for passenger cars</v>
      </c>
    </row>
    <row r="2" spans="2:31" ht="21">
      <c r="B2" s="773" t="s">
        <v>3366</v>
      </c>
      <c r="C2" s="760" t="s">
        <v>3367</v>
      </c>
      <c r="I2" s="755" t="s">
        <v>3372</v>
      </c>
    </row>
    <row r="3" spans="2:31" ht="21">
      <c r="B3" s="760"/>
      <c r="C3" s="760" t="s">
        <v>3369</v>
      </c>
      <c r="I3" s="755" t="s">
        <v>3373</v>
      </c>
    </row>
    <row r="4" spans="2:31" ht="17" thickBot="1"/>
    <row r="5" spans="2:31" ht="17" thickBot="1">
      <c r="D5" s="2221" t="s">
        <v>22</v>
      </c>
      <c r="E5" s="2222"/>
      <c r="F5" s="2223"/>
      <c r="G5" s="2223"/>
      <c r="H5" s="2223"/>
      <c r="I5" s="2223"/>
      <c r="J5" s="2223"/>
      <c r="K5" s="2223"/>
      <c r="L5" s="2223"/>
      <c r="M5" s="2223"/>
      <c r="N5" s="2223"/>
      <c r="O5" s="2223"/>
      <c r="P5" s="2223"/>
      <c r="Q5" s="2223"/>
      <c r="R5" s="2223"/>
      <c r="S5" s="2224"/>
    </row>
    <row r="6" spans="2:31" ht="52" thickBot="1">
      <c r="B6" s="612"/>
      <c r="C6" s="612"/>
      <c r="D6" s="417" t="s">
        <v>24</v>
      </c>
      <c r="E6" s="1738" t="s">
        <v>23</v>
      </c>
      <c r="F6" s="672" t="s">
        <v>21</v>
      </c>
      <c r="G6" s="656" t="s">
        <v>20</v>
      </c>
      <c r="H6" s="656" t="s">
        <v>19</v>
      </c>
      <c r="I6" s="643" t="s">
        <v>18</v>
      </c>
      <c r="J6" s="656" t="s">
        <v>17</v>
      </c>
      <c r="K6" s="656" t="s">
        <v>16</v>
      </c>
      <c r="L6" s="656" t="s">
        <v>15</v>
      </c>
      <c r="M6" s="656" t="s">
        <v>14</v>
      </c>
      <c r="N6" s="656" t="s">
        <v>13</v>
      </c>
      <c r="O6" s="656" t="s">
        <v>12</v>
      </c>
      <c r="P6" s="656" t="s">
        <v>11</v>
      </c>
      <c r="Q6" s="2228" t="s">
        <v>27</v>
      </c>
      <c r="R6" s="2229"/>
      <c r="S6" s="657" t="s">
        <v>10</v>
      </c>
      <c r="U6" s="997" t="s">
        <v>3560</v>
      </c>
    </row>
    <row r="7" spans="2:31" ht="17" customHeight="1" thickBot="1">
      <c r="B7" s="612"/>
      <c r="C7" s="612"/>
      <c r="D7" s="2204" t="s">
        <v>9</v>
      </c>
      <c r="E7" s="4" t="s">
        <v>8</v>
      </c>
      <c r="F7" s="739">
        <v>10</v>
      </c>
      <c r="G7" s="725">
        <v>130</v>
      </c>
      <c r="H7" s="725">
        <v>6.6713599999999998E-5</v>
      </c>
      <c r="I7" s="716">
        <v>-1.1381466999999999E-2</v>
      </c>
      <c r="J7" s="725">
        <v>0.94595172699999996</v>
      </c>
      <c r="K7" s="725">
        <v>1.9236081490000001</v>
      </c>
      <c r="L7" s="725">
        <v>-5.1504600000000002E-5</v>
      </c>
      <c r="M7" s="725">
        <v>4.2642720000000004E-3</v>
      </c>
      <c r="N7" s="725">
        <v>1</v>
      </c>
      <c r="O7" s="730">
        <v>0.17630645021966401</v>
      </c>
      <c r="P7" s="730">
        <v>0</v>
      </c>
      <c r="Q7" s="792" t="e">
        <f t="shared" ref="Q7:Q18" si="0">$W$9</f>
        <v>#N/A</v>
      </c>
      <c r="R7" s="793" t="e">
        <f t="shared" ref="R7:R18" si="1">IF(Q7&lt;F7,F7,IF(Q7&gt;G7,G7,Q7))</f>
        <v>#N/A</v>
      </c>
      <c r="S7" s="794" t="e">
        <f t="shared" ref="S7:S18" si="2">IF((L7*R7^2+M7*R7+N7)=0,0,(H7*R7^2+I7*R7+J7+(K7/R7))/(L7*R7^2+M7*R7+N7)*(1-O7))</f>
        <v>#N/A</v>
      </c>
      <c r="Z7" s="2207" t="s">
        <v>65</v>
      </c>
      <c r="AA7" s="2208"/>
      <c r="AB7" s="2208"/>
      <c r="AC7" s="2208"/>
      <c r="AD7" s="2208"/>
      <c r="AE7" s="2209"/>
    </row>
    <row r="8" spans="2:31" ht="18" thickBot="1">
      <c r="B8" s="612"/>
      <c r="C8" s="614"/>
      <c r="D8" s="2205"/>
      <c r="E8" s="3" t="s">
        <v>228</v>
      </c>
      <c r="F8" s="739">
        <v>10</v>
      </c>
      <c r="G8" s="725">
        <v>130</v>
      </c>
      <c r="H8" s="725">
        <v>6.6713599999999998E-5</v>
      </c>
      <c r="I8" s="716">
        <v>-1.1381466999999999E-2</v>
      </c>
      <c r="J8" s="725">
        <v>0.94595172699999996</v>
      </c>
      <c r="K8" s="725">
        <v>1.9236081490000001</v>
      </c>
      <c r="L8" s="725">
        <v>-5.1504600000000002E-5</v>
      </c>
      <c r="M8" s="725">
        <v>4.2642720000000004E-3</v>
      </c>
      <c r="N8" s="725">
        <v>1</v>
      </c>
      <c r="O8" s="730">
        <v>0.92</v>
      </c>
      <c r="P8" s="730">
        <v>0</v>
      </c>
      <c r="Q8" s="14" t="e">
        <f t="shared" si="0"/>
        <v>#N/A</v>
      </c>
      <c r="R8" s="463" t="e">
        <f t="shared" si="1"/>
        <v>#N/A</v>
      </c>
      <c r="S8" s="740" t="e">
        <f t="shared" si="2"/>
        <v>#N/A</v>
      </c>
      <c r="U8" s="1881" t="s">
        <v>67</v>
      </c>
      <c r="V8" s="2225"/>
      <c r="W8" s="2225"/>
      <c r="X8" s="1882"/>
      <c r="Z8" s="697" t="s">
        <v>24</v>
      </c>
      <c r="AA8" s="698" t="s">
        <v>7</v>
      </c>
      <c r="AB8" s="699" t="s">
        <v>8</v>
      </c>
      <c r="AC8" s="698" t="s">
        <v>2</v>
      </c>
      <c r="AD8" s="698" t="s">
        <v>1</v>
      </c>
      <c r="AE8" s="557" t="s">
        <v>5</v>
      </c>
    </row>
    <row r="9" spans="2:31">
      <c r="B9" s="612"/>
      <c r="C9" s="614"/>
      <c r="D9" s="2205"/>
      <c r="E9" s="3" t="s">
        <v>2</v>
      </c>
      <c r="F9" s="741">
        <v>10</v>
      </c>
      <c r="G9" s="726">
        <v>130</v>
      </c>
      <c r="H9" s="726">
        <v>6.6713599999999998E-5</v>
      </c>
      <c r="I9" s="717">
        <v>-1.1381466999999999E-2</v>
      </c>
      <c r="J9" s="726">
        <v>0.94595172699999996</v>
      </c>
      <c r="K9" s="726">
        <v>1.9236081490000001</v>
      </c>
      <c r="L9" s="726">
        <v>-5.1504600000000002E-5</v>
      </c>
      <c r="M9" s="726">
        <v>4.2642720000000004E-3</v>
      </c>
      <c r="N9" s="726">
        <v>1</v>
      </c>
      <c r="O9" s="731">
        <v>0</v>
      </c>
      <c r="P9" s="731">
        <v>0</v>
      </c>
      <c r="Q9" s="14" t="e">
        <f t="shared" si="0"/>
        <v>#N/A</v>
      </c>
      <c r="R9" s="463" t="e">
        <f t="shared" si="1"/>
        <v>#N/A</v>
      </c>
      <c r="S9" s="740" t="e">
        <f t="shared" si="2"/>
        <v>#N/A</v>
      </c>
      <c r="U9" s="692" t="s">
        <v>43</v>
      </c>
      <c r="V9" s="693"/>
      <c r="W9" s="694" t="e">
        <f>'Iteration II Simulation'!F62</f>
        <v>#N/A</v>
      </c>
      <c r="X9" s="273" t="s">
        <v>44</v>
      </c>
      <c r="Z9" s="484" t="s">
        <v>9</v>
      </c>
      <c r="AA9" s="700" t="e">
        <f>S8</f>
        <v>#N/A</v>
      </c>
      <c r="AB9" s="79" t="e">
        <f>S7</f>
        <v>#N/A</v>
      </c>
      <c r="AC9" s="79" t="e">
        <f>S9</f>
        <v>#N/A</v>
      </c>
      <c r="AD9" s="79" t="e">
        <f>S10</f>
        <v>#N/A</v>
      </c>
      <c r="AE9" s="80" t="e">
        <f>S11</f>
        <v>#N/A</v>
      </c>
    </row>
    <row r="10" spans="2:31">
      <c r="B10" s="612"/>
      <c r="C10" s="614"/>
      <c r="D10" s="2205"/>
      <c r="E10" s="3" t="s">
        <v>1</v>
      </c>
      <c r="F10" s="741">
        <v>10</v>
      </c>
      <c r="G10" s="726">
        <v>130</v>
      </c>
      <c r="H10" s="726">
        <v>5.6236946173578303E-4</v>
      </c>
      <c r="I10" s="717">
        <v>-7.6397360840037704E-2</v>
      </c>
      <c r="J10" s="726">
        <v>4.1988232048838396</v>
      </c>
      <c r="K10" s="726">
        <v>6.24823694554722E-10</v>
      </c>
      <c r="L10" s="726">
        <v>4.6127323857723799E-15</v>
      </c>
      <c r="M10" s="726">
        <v>-2.0280383123023601E-12</v>
      </c>
      <c r="N10" s="726">
        <v>3.7895516290320002</v>
      </c>
      <c r="O10" s="731">
        <v>0</v>
      </c>
      <c r="P10" s="731">
        <v>0</v>
      </c>
      <c r="Q10" s="14" t="e">
        <f t="shared" si="0"/>
        <v>#N/A</v>
      </c>
      <c r="R10" s="463" t="e">
        <f t="shared" si="1"/>
        <v>#N/A</v>
      </c>
      <c r="S10" s="740" t="e">
        <f t="shared" si="2"/>
        <v>#N/A</v>
      </c>
      <c r="U10" s="2226" t="s">
        <v>61</v>
      </c>
      <c r="V10" s="2068"/>
      <c r="W10" s="2232" t="s">
        <v>48</v>
      </c>
      <c r="X10" s="2233"/>
      <c r="Z10" s="484" t="s">
        <v>6</v>
      </c>
      <c r="AA10" s="558" t="e">
        <f>S12</f>
        <v>#N/A</v>
      </c>
      <c r="AB10" s="27" t="e">
        <f>S12</f>
        <v>#N/A</v>
      </c>
      <c r="AC10" s="27" t="e">
        <f>S13</f>
        <v>#N/A</v>
      </c>
      <c r="AD10" s="27" t="e">
        <f>S14</f>
        <v>#N/A</v>
      </c>
      <c r="AE10" s="21" t="e">
        <f>S15</f>
        <v>#N/A</v>
      </c>
    </row>
    <row r="11" spans="2:31" ht="17" thickBot="1">
      <c r="B11" s="612"/>
      <c r="C11" s="614"/>
      <c r="D11" s="2206"/>
      <c r="E11" s="3" t="s">
        <v>5</v>
      </c>
      <c r="F11" s="742">
        <v>10</v>
      </c>
      <c r="G11" s="727">
        <v>120</v>
      </c>
      <c r="H11" s="727">
        <v>-7.6968820908666902E-4</v>
      </c>
      <c r="I11" s="718">
        <v>0.111214127836632</v>
      </c>
      <c r="J11" s="727">
        <v>4.6819751277605004</v>
      </c>
      <c r="K11" s="727">
        <v>1.15174735647812E-9</v>
      </c>
      <c r="L11" s="727">
        <v>-2.3772227624417699E-3</v>
      </c>
      <c r="M11" s="727">
        <v>0.32946629135039601</v>
      </c>
      <c r="N11" s="727">
        <v>1.66239354038403</v>
      </c>
      <c r="O11" s="732">
        <v>0</v>
      </c>
      <c r="P11" s="732">
        <v>0</v>
      </c>
      <c r="Q11" s="14" t="e">
        <f t="shared" si="0"/>
        <v>#N/A</v>
      </c>
      <c r="R11" s="463" t="e">
        <f t="shared" si="1"/>
        <v>#N/A</v>
      </c>
      <c r="S11" s="740" t="e">
        <f t="shared" si="2"/>
        <v>#N/A</v>
      </c>
      <c r="U11" s="2226" t="s">
        <v>24</v>
      </c>
      <c r="V11" s="2068"/>
      <c r="W11" s="2232">
        <f>'Iteration II Simulation'!F64</f>
        <v>0</v>
      </c>
      <c r="X11" s="2233"/>
      <c r="Z11" s="484" t="s">
        <v>55</v>
      </c>
      <c r="AA11" s="558" t="e">
        <f>S16</f>
        <v>#N/A</v>
      </c>
      <c r="AB11" s="27" t="e">
        <f>S16</f>
        <v>#N/A</v>
      </c>
      <c r="AC11" s="27" t="e">
        <f>S17</f>
        <v>#N/A</v>
      </c>
      <c r="AD11" s="27" t="e">
        <f>S18</f>
        <v>#N/A</v>
      </c>
      <c r="AE11" s="21" t="e">
        <f>AD11</f>
        <v>#N/A</v>
      </c>
    </row>
    <row r="12" spans="2:31" ht="17" thickBot="1">
      <c r="B12" s="612"/>
      <c r="C12" s="614"/>
      <c r="D12" s="2204" t="s">
        <v>6</v>
      </c>
      <c r="E12" s="4" t="s">
        <v>3</v>
      </c>
      <c r="F12" s="737">
        <v>5</v>
      </c>
      <c r="G12" s="724">
        <v>130</v>
      </c>
      <c r="H12" s="724">
        <v>-3.1454067224040601E-4</v>
      </c>
      <c r="I12" s="715">
        <v>0.10305677725233101</v>
      </c>
      <c r="J12" s="724">
        <v>0.23905657595197199</v>
      </c>
      <c r="K12" s="724">
        <v>-0.33927914904049999</v>
      </c>
      <c r="L12" s="724">
        <v>3.45358283618128E-2</v>
      </c>
      <c r="M12" s="724">
        <v>1.9860127455674099</v>
      </c>
      <c r="N12" s="724">
        <v>1.26376326022528</v>
      </c>
      <c r="O12" s="729">
        <v>0</v>
      </c>
      <c r="P12" s="729">
        <v>0</v>
      </c>
      <c r="Q12" s="5" t="e">
        <f t="shared" si="0"/>
        <v>#N/A</v>
      </c>
      <c r="R12" s="691" t="e">
        <f t="shared" si="1"/>
        <v>#N/A</v>
      </c>
      <c r="S12" s="738" t="e">
        <f t="shared" si="2"/>
        <v>#N/A</v>
      </c>
      <c r="U12" s="2226" t="s">
        <v>23</v>
      </c>
      <c r="V12" s="2068"/>
      <c r="W12" s="2232">
        <f>'Iteration II Simulation'!F65</f>
        <v>0</v>
      </c>
      <c r="X12" s="2233"/>
      <c r="Z12" s="368" t="s">
        <v>0</v>
      </c>
      <c r="AA12" s="701">
        <v>0</v>
      </c>
      <c r="AB12" s="556">
        <v>0</v>
      </c>
      <c r="AC12" s="556">
        <v>0</v>
      </c>
      <c r="AD12" s="556">
        <v>0</v>
      </c>
      <c r="AE12" s="515">
        <v>0</v>
      </c>
    </row>
    <row r="13" spans="2:31" ht="17" thickBot="1">
      <c r="B13" s="612"/>
      <c r="C13" s="614"/>
      <c r="D13" s="2205"/>
      <c r="E13" s="3" t="s">
        <v>2</v>
      </c>
      <c r="F13" s="741">
        <v>5</v>
      </c>
      <c r="G13" s="726">
        <v>130</v>
      </c>
      <c r="H13" s="726">
        <v>-3.1454067224040601E-4</v>
      </c>
      <c r="I13" s="717">
        <v>0.10305677725233101</v>
      </c>
      <c r="J13" s="726">
        <v>0.23905657595197199</v>
      </c>
      <c r="K13" s="726">
        <v>-0.33927914904049999</v>
      </c>
      <c r="L13" s="726">
        <v>3.45358283618128E-2</v>
      </c>
      <c r="M13" s="726">
        <v>1.9860127455674099</v>
      </c>
      <c r="N13" s="726">
        <v>1.26376326022528</v>
      </c>
      <c r="O13" s="731">
        <v>0</v>
      </c>
      <c r="P13" s="731">
        <v>0</v>
      </c>
      <c r="Q13" s="14" t="e">
        <f t="shared" si="0"/>
        <v>#N/A</v>
      </c>
      <c r="R13" s="463" t="e">
        <f t="shared" si="1"/>
        <v>#N/A</v>
      </c>
      <c r="S13" s="740" t="e">
        <f t="shared" si="2"/>
        <v>#N/A</v>
      </c>
      <c r="U13" s="2226" t="s">
        <v>63</v>
      </c>
      <c r="V13" s="2068"/>
      <c r="W13" s="2234" t="e">
        <f>INDEX(AA9:AE12,MATCH(W11,Z9:Z12,0),MATCH(W12,AA8:AE8,0))</f>
        <v>#N/A</v>
      </c>
      <c r="X13" s="2235"/>
    </row>
    <row r="14" spans="2:31" ht="17" thickBot="1">
      <c r="B14" s="612"/>
      <c r="C14" s="614"/>
      <c r="D14" s="2205"/>
      <c r="E14" s="3" t="s">
        <v>1</v>
      </c>
      <c r="F14" s="741">
        <v>5</v>
      </c>
      <c r="G14" s="726">
        <v>130</v>
      </c>
      <c r="H14" s="726">
        <v>3.8556695344259902E-5</v>
      </c>
      <c r="I14" s="717">
        <v>-8.5802223442083495E-3</v>
      </c>
      <c r="J14" s="726">
        <v>0.57734626176161596</v>
      </c>
      <c r="K14" s="726">
        <v>1.3065307894768099E-12</v>
      </c>
      <c r="L14" s="726">
        <v>2.7017638737420099E-17</v>
      </c>
      <c r="M14" s="726">
        <v>-1.3076690238313699E-13</v>
      </c>
      <c r="N14" s="726">
        <v>5.4305204710158401</v>
      </c>
      <c r="O14" s="731">
        <v>0</v>
      </c>
      <c r="P14" s="731">
        <v>0</v>
      </c>
      <c r="Q14" s="14" t="e">
        <f t="shared" si="0"/>
        <v>#N/A</v>
      </c>
      <c r="R14" s="463" t="e">
        <f t="shared" si="1"/>
        <v>#N/A</v>
      </c>
      <c r="S14" s="740" t="e">
        <f t="shared" si="2"/>
        <v>#N/A</v>
      </c>
      <c r="U14" s="2227" t="s">
        <v>62</v>
      </c>
      <c r="V14" s="2069"/>
      <c r="W14" s="2230" t="e">
        <f>INDEX(AA16:AE19,MATCH(W11,Z16:Z19,0),MATCH(W12,AA15:AE15,0))</f>
        <v>#N/A</v>
      </c>
      <c r="X14" s="2231"/>
      <c r="Z14" s="2207" t="s">
        <v>66</v>
      </c>
      <c r="AA14" s="2208"/>
      <c r="AB14" s="2208"/>
      <c r="AC14" s="2208"/>
      <c r="AD14" s="2208"/>
      <c r="AE14" s="2209"/>
    </row>
    <row r="15" spans="2:31" ht="18" thickBot="1">
      <c r="B15" s="612"/>
      <c r="C15" s="614"/>
      <c r="D15" s="2206"/>
      <c r="E15" s="3" t="s">
        <v>5</v>
      </c>
      <c r="F15" s="742">
        <v>5</v>
      </c>
      <c r="G15" s="727">
        <v>130</v>
      </c>
      <c r="H15" s="727">
        <v>1.83250132932115E-5</v>
      </c>
      <c r="I15" s="718">
        <v>-4.1813583164781896E-3</v>
      </c>
      <c r="J15" s="727">
        <v>0.260842824674338</v>
      </c>
      <c r="K15" s="727">
        <v>6.5621269289821697E-12</v>
      </c>
      <c r="L15" s="727">
        <v>1.11409345755782E-4</v>
      </c>
      <c r="M15" s="727">
        <v>-3.4236625142234897E-2</v>
      </c>
      <c r="N15" s="727">
        <v>2.8062807493139199</v>
      </c>
      <c r="O15" s="732">
        <v>0</v>
      </c>
      <c r="P15" s="732">
        <v>0</v>
      </c>
      <c r="Q15" s="14" t="e">
        <f t="shared" si="0"/>
        <v>#N/A</v>
      </c>
      <c r="R15" s="463" t="e">
        <f t="shared" si="1"/>
        <v>#N/A</v>
      </c>
      <c r="S15" s="740" t="e">
        <f t="shared" si="2"/>
        <v>#N/A</v>
      </c>
      <c r="Z15" s="697" t="s">
        <v>24</v>
      </c>
      <c r="AA15" s="408" t="s">
        <v>7</v>
      </c>
      <c r="AB15" s="699" t="s">
        <v>8</v>
      </c>
      <c r="AC15" s="698" t="s">
        <v>2</v>
      </c>
      <c r="AD15" s="698" t="s">
        <v>1</v>
      </c>
      <c r="AE15" s="557" t="s">
        <v>5</v>
      </c>
    </row>
    <row r="16" spans="2:31" ht="19" customHeight="1">
      <c r="B16" s="612"/>
      <c r="C16" s="614"/>
      <c r="D16" s="2204" t="s">
        <v>4</v>
      </c>
      <c r="E16" s="4" t="s">
        <v>3</v>
      </c>
      <c r="F16" s="743">
        <v>20</v>
      </c>
      <c r="G16" s="728">
        <v>130</v>
      </c>
      <c r="H16" s="728">
        <v>-6.2369304592199199E-5</v>
      </c>
      <c r="I16" s="719">
        <v>1.08482779795935E-2</v>
      </c>
      <c r="J16" s="728">
        <v>-0.165875810083388</v>
      </c>
      <c r="K16" s="728">
        <v>-3.9824186906755902E-11</v>
      </c>
      <c r="L16" s="728">
        <v>1.0002013722690201E-14</v>
      </c>
      <c r="M16" s="728">
        <v>-2.0465760597194401E-12</v>
      </c>
      <c r="N16" s="728">
        <v>16.587581008724101</v>
      </c>
      <c r="O16" s="733">
        <v>0</v>
      </c>
      <c r="P16" s="733">
        <v>0</v>
      </c>
      <c r="Q16" s="5" t="e">
        <f t="shared" si="0"/>
        <v>#N/A</v>
      </c>
      <c r="R16" s="691" t="e">
        <f t="shared" si="1"/>
        <v>#N/A</v>
      </c>
      <c r="S16" s="744" t="e">
        <f t="shared" si="2"/>
        <v>#N/A</v>
      </c>
      <c r="U16" s="997"/>
      <c r="Z16" s="367" t="s">
        <v>9</v>
      </c>
      <c r="AA16" s="700" t="e">
        <f>S24</f>
        <v>#N/A</v>
      </c>
      <c r="AB16" s="275" t="e">
        <f>S24</f>
        <v>#N/A</v>
      </c>
      <c r="AC16" s="79" t="e">
        <f>S25</f>
        <v>#N/A</v>
      </c>
      <c r="AD16" s="79" t="e">
        <f>S26</f>
        <v>#N/A</v>
      </c>
      <c r="AE16" s="80" t="e">
        <f>S27</f>
        <v>#N/A</v>
      </c>
    </row>
    <row r="17" spans="2:35">
      <c r="B17" s="612"/>
      <c r="C17" s="614"/>
      <c r="D17" s="2205"/>
      <c r="E17" s="3" t="s">
        <v>2</v>
      </c>
      <c r="F17" s="741">
        <v>20</v>
      </c>
      <c r="G17" s="726">
        <v>130</v>
      </c>
      <c r="H17" s="726">
        <v>-6.2369304592199199E-5</v>
      </c>
      <c r="I17" s="717">
        <v>1.08482779795935E-2</v>
      </c>
      <c r="J17" s="726">
        <v>-0.165875810083388</v>
      </c>
      <c r="K17" s="726">
        <v>-3.9824186906755902E-11</v>
      </c>
      <c r="L17" s="726">
        <v>1.0002013722690201E-14</v>
      </c>
      <c r="M17" s="726">
        <v>-2.0465760597194401E-12</v>
      </c>
      <c r="N17" s="726">
        <v>16.587581008724101</v>
      </c>
      <c r="O17" s="731">
        <v>0</v>
      </c>
      <c r="P17" s="731">
        <v>0</v>
      </c>
      <c r="Q17" s="14" t="e">
        <f t="shared" si="0"/>
        <v>#N/A</v>
      </c>
      <c r="R17" s="463" t="e">
        <f t="shared" si="1"/>
        <v>#N/A</v>
      </c>
      <c r="S17" s="745" t="e">
        <f t="shared" si="2"/>
        <v>#N/A</v>
      </c>
      <c r="Z17" s="484" t="s">
        <v>6</v>
      </c>
      <c r="AA17" s="558" t="e">
        <f>S29</f>
        <v>#N/A</v>
      </c>
      <c r="AB17" s="285" t="e">
        <f>S28</f>
        <v>#N/A</v>
      </c>
      <c r="AC17" s="27" t="e">
        <f>S30</f>
        <v>#N/A</v>
      </c>
      <c r="AD17" s="27" t="e">
        <f>S31</f>
        <v>#N/A</v>
      </c>
      <c r="AE17" s="21" t="e">
        <f>S32</f>
        <v>#N/A</v>
      </c>
    </row>
    <row r="18" spans="2:35" ht="17" thickBot="1">
      <c r="B18" s="612"/>
      <c r="C18" s="614"/>
      <c r="D18" s="2206"/>
      <c r="E18" s="2" t="s">
        <v>1</v>
      </c>
      <c r="F18" s="746">
        <v>20</v>
      </c>
      <c r="G18" s="747">
        <v>130</v>
      </c>
      <c r="H18" s="747">
        <v>-6.2369304592199199E-5</v>
      </c>
      <c r="I18" s="720">
        <v>1.08482779795935E-2</v>
      </c>
      <c r="J18" s="747">
        <v>-0.165875810083388</v>
      </c>
      <c r="K18" s="747">
        <v>-3.9824186906755902E-11</v>
      </c>
      <c r="L18" s="747">
        <v>1.0002013722690201E-14</v>
      </c>
      <c r="M18" s="747">
        <v>-2.0465760597194401E-12</v>
      </c>
      <c r="N18" s="747">
        <v>16.587581008724101</v>
      </c>
      <c r="O18" s="748">
        <v>0</v>
      </c>
      <c r="P18" s="748">
        <v>0</v>
      </c>
      <c r="Q18" s="15" t="e">
        <f t="shared" si="0"/>
        <v>#N/A</v>
      </c>
      <c r="R18" s="640" t="e">
        <f t="shared" si="1"/>
        <v>#N/A</v>
      </c>
      <c r="S18" s="749" t="e">
        <f t="shared" si="2"/>
        <v>#N/A</v>
      </c>
      <c r="Z18" s="484" t="s">
        <v>55</v>
      </c>
      <c r="AA18" s="558" t="e">
        <f>S34</f>
        <v>#N/A</v>
      </c>
      <c r="AB18" s="27" t="e">
        <f>S33</f>
        <v>#N/A</v>
      </c>
      <c r="AC18" s="27" t="e">
        <f>S35</f>
        <v>#N/A</v>
      </c>
      <c r="AD18" s="27" t="e">
        <f>S36</f>
        <v>#N/A</v>
      </c>
      <c r="AE18" s="21" t="e">
        <f>AD18</f>
        <v>#N/A</v>
      </c>
    </row>
    <row r="19" spans="2:35" ht="16" customHeight="1" thickBot="1">
      <c r="B19" s="612"/>
      <c r="C19" s="614"/>
      <c r="D19" s="1" t="s">
        <v>0</v>
      </c>
      <c r="E19" s="420"/>
      <c r="F19" s="721"/>
      <c r="G19" s="720"/>
      <c r="H19" s="720"/>
      <c r="I19" s="720"/>
      <c r="J19" s="720"/>
      <c r="K19" s="720"/>
      <c r="L19" s="720"/>
      <c r="M19" s="720"/>
      <c r="N19" s="720"/>
      <c r="O19" s="720"/>
      <c r="P19" s="720"/>
      <c r="Q19" s="497"/>
      <c r="R19" s="720"/>
      <c r="S19" s="722">
        <v>0</v>
      </c>
      <c r="U19" s="32" t="e">
        <f>((H7*R7^2+I7*R7+J7+(K7/R7))/(L7*R7^2+M7*R7+N7))*(1-O7)</f>
        <v>#N/A</v>
      </c>
      <c r="Z19" s="368" t="s">
        <v>0</v>
      </c>
      <c r="AA19" s="701">
        <v>0</v>
      </c>
      <c r="AB19" s="556">
        <f>0</f>
        <v>0</v>
      </c>
      <c r="AC19" s="556">
        <v>0</v>
      </c>
      <c r="AD19" s="556">
        <v>0</v>
      </c>
      <c r="AE19" s="515">
        <v>0</v>
      </c>
    </row>
    <row r="20" spans="2:35">
      <c r="B20" s="612"/>
      <c r="C20" s="614"/>
      <c r="U20" s="32" t="e">
        <f>(H7*R7^2+I7*R7+J7+(K7/R7))/((L7*R7^2+M7*R7+N7)*(1-O7))</f>
        <v>#N/A</v>
      </c>
    </row>
    <row r="21" spans="2:35" ht="17" thickBot="1">
      <c r="B21" s="612"/>
      <c r="C21" s="614"/>
    </row>
    <row r="22" spans="2:35" ht="17" thickBot="1">
      <c r="B22" s="613"/>
      <c r="C22" s="614"/>
      <c r="D22" s="2221" t="s">
        <v>28</v>
      </c>
      <c r="E22" s="2222"/>
      <c r="F22" s="2223"/>
      <c r="G22" s="2223"/>
      <c r="H22" s="2223"/>
      <c r="I22" s="2223"/>
      <c r="J22" s="2223"/>
      <c r="K22" s="2223"/>
      <c r="L22" s="2223"/>
      <c r="M22" s="2223"/>
      <c r="N22" s="2223"/>
      <c r="O22" s="2223"/>
      <c r="P22" s="2223"/>
      <c r="Q22" s="2223"/>
      <c r="R22" s="2223"/>
      <c r="S22" s="2224"/>
      <c r="T22" s="6"/>
      <c r="U22" s="6"/>
      <c r="V22" s="6"/>
      <c r="W22" s="6"/>
      <c r="X22" s="6"/>
      <c r="Y22" s="6"/>
      <c r="Z22" s="6"/>
      <c r="AA22" s="6"/>
      <c r="AB22" s="6"/>
      <c r="AC22" s="6"/>
      <c r="AD22" s="6"/>
      <c r="AE22" s="6"/>
      <c r="AF22" s="622"/>
      <c r="AG22" s="6"/>
    </row>
    <row r="23" spans="2:35" ht="52" thickBot="1">
      <c r="B23" s="611"/>
      <c r="C23" s="611"/>
      <c r="D23" s="418" t="s">
        <v>24</v>
      </c>
      <c r="E23" s="418" t="s">
        <v>23</v>
      </c>
      <c r="F23" s="734" t="s">
        <v>21</v>
      </c>
      <c r="G23" s="735" t="s">
        <v>20</v>
      </c>
      <c r="H23" s="735" t="s">
        <v>19</v>
      </c>
      <c r="I23" s="735" t="s">
        <v>18</v>
      </c>
      <c r="J23" s="735" t="s">
        <v>17</v>
      </c>
      <c r="K23" s="735" t="s">
        <v>16</v>
      </c>
      <c r="L23" s="735" t="s">
        <v>15</v>
      </c>
      <c r="M23" s="735" t="s">
        <v>14</v>
      </c>
      <c r="N23" s="735" t="s">
        <v>13</v>
      </c>
      <c r="O23" s="735" t="s">
        <v>12</v>
      </c>
      <c r="P23" s="735" t="s">
        <v>11</v>
      </c>
      <c r="Q23" s="2212" t="s">
        <v>27</v>
      </c>
      <c r="R23" s="2212"/>
      <c r="S23" s="736" t="s">
        <v>10</v>
      </c>
      <c r="Y23" s="997" t="s">
        <v>3561</v>
      </c>
      <c r="Z23"/>
      <c r="AA23"/>
      <c r="AB23"/>
      <c r="AC23"/>
      <c r="AD23"/>
      <c r="AE23"/>
      <c r="AF23"/>
      <c r="AG23"/>
      <c r="AH23"/>
      <c r="AI23"/>
    </row>
    <row r="24" spans="2:35" ht="17" thickBot="1">
      <c r="B24" s="611"/>
      <c r="C24" s="611"/>
      <c r="D24" s="2204" t="s">
        <v>9</v>
      </c>
      <c r="E24" s="4" t="s">
        <v>3</v>
      </c>
      <c r="F24" s="737">
        <v>10</v>
      </c>
      <c r="G24" s="724">
        <v>130</v>
      </c>
      <c r="H24" s="724">
        <v>4.6729930630773602E-4</v>
      </c>
      <c r="I24" s="724">
        <v>6.64094975805683E-2</v>
      </c>
      <c r="J24" s="724">
        <v>-0.32501059271070698</v>
      </c>
      <c r="K24" s="724">
        <v>0.96076263512902105</v>
      </c>
      <c r="L24" s="724">
        <v>1.13723865568225</v>
      </c>
      <c r="M24" s="724">
        <v>0.54617955489948</v>
      </c>
      <c r="N24" s="724">
        <v>0.28963315164995401</v>
      </c>
      <c r="O24" s="729">
        <v>0</v>
      </c>
      <c r="P24" s="729">
        <v>0</v>
      </c>
      <c r="Q24" s="5" t="e">
        <f t="shared" ref="Q24:Q36" si="3">$W$9</f>
        <v>#N/A</v>
      </c>
      <c r="R24" s="715" t="e">
        <f t="shared" ref="R24:R34" si="4">IF(Q24&lt;F24,F24,IF(Q24&gt;G24,G24,Q24))</f>
        <v>#N/A</v>
      </c>
      <c r="S24" s="750" t="e">
        <f t="shared" ref="S24:S36" si="5">IF((L24*R24^2+M24*R24+N24)=0,0,(H24*R24^2+I24*R24+J24+(K24/R24))/(L24*R24^2+M24*R24+N24)*(1-O24))</f>
        <v>#N/A</v>
      </c>
      <c r="Y24" s="2213" t="s">
        <v>69</v>
      </c>
      <c r="Z24" s="2214"/>
      <c r="AA24" s="998" t="s">
        <v>3562</v>
      </c>
      <c r="AB24" s="999" t="s">
        <v>3563</v>
      </c>
      <c r="AC24" s="999" t="s">
        <v>3564</v>
      </c>
      <c r="AD24"/>
      <c r="AE24"/>
      <c r="AF24"/>
      <c r="AG24"/>
      <c r="AH24"/>
      <c r="AI24" s="1000"/>
    </row>
    <row r="25" spans="2:35" ht="16" customHeight="1">
      <c r="B25" s="612"/>
      <c r="C25" s="612"/>
      <c r="D25" s="2205"/>
      <c r="E25" s="3" t="s">
        <v>2</v>
      </c>
      <c r="F25" s="741">
        <v>10</v>
      </c>
      <c r="G25" s="726">
        <v>130</v>
      </c>
      <c r="H25" s="726">
        <v>-2.6893265816017797E-7</v>
      </c>
      <c r="I25" s="726">
        <v>7.5661217252746195E-5</v>
      </c>
      <c r="J25" s="726">
        <v>2.3884063854649501E-2</v>
      </c>
      <c r="K25" s="726">
        <v>8.2659394814377896E-2</v>
      </c>
      <c r="L25" s="726">
        <v>-6.0795895544535296E-4</v>
      </c>
      <c r="M25" s="726">
        <v>0.211453856298329</v>
      </c>
      <c r="N25" s="726">
        <v>4.4555819878050604</v>
      </c>
      <c r="O25" s="731">
        <v>0</v>
      </c>
      <c r="P25" s="731">
        <v>0</v>
      </c>
      <c r="Q25" s="12" t="e">
        <f t="shared" si="3"/>
        <v>#N/A</v>
      </c>
      <c r="R25" s="716" t="e">
        <f t="shared" si="4"/>
        <v>#N/A</v>
      </c>
      <c r="S25" s="751" t="e">
        <f t="shared" si="5"/>
        <v>#N/A</v>
      </c>
      <c r="Y25" s="1001" t="s">
        <v>3565</v>
      </c>
      <c r="Z25" s="1002" t="s">
        <v>3566</v>
      </c>
      <c r="AA25" s="1003"/>
      <c r="AB25" s="107" t="s">
        <v>64</v>
      </c>
      <c r="AC25" s="158" t="s">
        <v>54</v>
      </c>
      <c r="AD25"/>
      <c r="AE25"/>
      <c r="AF25"/>
      <c r="AG25"/>
      <c r="AH25"/>
      <c r="AI25" s="175"/>
    </row>
    <row r="26" spans="2:35">
      <c r="B26" s="612"/>
      <c r="C26" s="612"/>
      <c r="D26" s="2205"/>
      <c r="E26" s="3" t="s">
        <v>1</v>
      </c>
      <c r="F26" s="741">
        <v>10</v>
      </c>
      <c r="G26" s="726">
        <v>130</v>
      </c>
      <c r="H26" s="726">
        <v>1.17230719517754E-5</v>
      </c>
      <c r="I26" s="726">
        <v>-1.8157286729905599E-3</v>
      </c>
      <c r="J26" s="726">
        <v>0.15159144765226801</v>
      </c>
      <c r="K26" s="726">
        <v>2.4430455539583699E-14</v>
      </c>
      <c r="L26" s="726">
        <v>-4.45455986348868E-18</v>
      </c>
      <c r="M26" s="726">
        <v>-3.2796484767579701E-15</v>
      </c>
      <c r="N26" s="726">
        <v>3.36869883671713</v>
      </c>
      <c r="O26" s="731">
        <v>0</v>
      </c>
      <c r="P26" s="731">
        <v>0</v>
      </c>
      <c r="Q26" s="12" t="e">
        <f t="shared" si="3"/>
        <v>#N/A</v>
      </c>
      <c r="R26" s="716" t="e">
        <f t="shared" si="4"/>
        <v>#N/A</v>
      </c>
      <c r="S26" s="751" t="e">
        <f t="shared" si="5"/>
        <v>#N/A</v>
      </c>
      <c r="Y26" s="1004" t="s">
        <v>3567</v>
      </c>
      <c r="Z26" s="1002" t="s">
        <v>3568</v>
      </c>
      <c r="AA26" s="1003"/>
      <c r="AB26" s="107" t="s">
        <v>64</v>
      </c>
      <c r="AC26" s="1003" t="s">
        <v>56</v>
      </c>
      <c r="AD26"/>
      <c r="AE26"/>
      <c r="AF26"/>
      <c r="AG26"/>
      <c r="AH26"/>
      <c r="AI26" s="175"/>
    </row>
    <row r="27" spans="2:35" ht="17" thickBot="1">
      <c r="B27" s="612"/>
      <c r="C27" s="614"/>
      <c r="D27" s="2206"/>
      <c r="E27" s="3" t="s">
        <v>5</v>
      </c>
      <c r="F27" s="742">
        <v>10</v>
      </c>
      <c r="G27" s="727">
        <v>130</v>
      </c>
      <c r="H27" s="727">
        <v>5.0341066182892897E-5</v>
      </c>
      <c r="I27" s="727">
        <v>-5.45568204937758E-3</v>
      </c>
      <c r="J27" s="727">
        <v>0.31928139266246303</v>
      </c>
      <c r="K27" s="727">
        <v>-1.2999642831484599E-13</v>
      </c>
      <c r="L27" s="727">
        <v>-3.0731839105480098E-16</v>
      </c>
      <c r="M27" s="727">
        <v>2.9708299283133397E-14</v>
      </c>
      <c r="N27" s="727">
        <v>6.1996386924745401</v>
      </c>
      <c r="O27" s="732">
        <v>0</v>
      </c>
      <c r="P27" s="732">
        <v>0</v>
      </c>
      <c r="Q27" s="159" t="e">
        <f t="shared" si="3"/>
        <v>#N/A</v>
      </c>
      <c r="R27" s="716" t="e">
        <f t="shared" si="4"/>
        <v>#N/A</v>
      </c>
      <c r="S27" s="751" t="e">
        <f t="shared" si="5"/>
        <v>#N/A</v>
      </c>
      <c r="Y27" s="1005" t="s">
        <v>3569</v>
      </c>
      <c r="Z27" s="646" t="s">
        <v>3570</v>
      </c>
      <c r="AA27" s="982" t="s">
        <v>44</v>
      </c>
      <c r="AB27" s="640" t="s">
        <v>151</v>
      </c>
      <c r="AC27" s="982" t="s">
        <v>45</v>
      </c>
      <c r="AD27"/>
      <c r="AE27"/>
      <c r="AF27"/>
      <c r="AG27"/>
      <c r="AH27"/>
      <c r="AI27" s="175"/>
    </row>
    <row r="28" spans="2:35" ht="17" thickBot="1">
      <c r="B28" s="612"/>
      <c r="C28" s="614"/>
      <c r="D28" s="2204" t="s">
        <v>6</v>
      </c>
      <c r="E28" s="4" t="s">
        <v>8</v>
      </c>
      <c r="F28" s="737">
        <v>10</v>
      </c>
      <c r="G28" s="724">
        <v>130</v>
      </c>
      <c r="H28" s="724">
        <v>7.3573156677707295E-7</v>
      </c>
      <c r="I28" s="724">
        <v>-1.5813219636839101E-4</v>
      </c>
      <c r="J28" s="724">
        <v>9.2847050599379997E-3</v>
      </c>
      <c r="K28" s="724">
        <v>4.1086429949994403E-2</v>
      </c>
      <c r="L28" s="724">
        <v>2.6876798647675201E-4</v>
      </c>
      <c r="M28" s="724">
        <v>-7.7925013927850895E-2</v>
      </c>
      <c r="N28" s="724">
        <v>6.0210532290157497</v>
      </c>
      <c r="O28" s="729">
        <v>0</v>
      </c>
      <c r="P28" s="729">
        <v>0</v>
      </c>
      <c r="Q28" s="11" t="e">
        <f t="shared" si="3"/>
        <v>#N/A</v>
      </c>
      <c r="R28" s="715" t="e">
        <f t="shared" si="4"/>
        <v>#N/A</v>
      </c>
      <c r="S28" s="750" t="e">
        <f t="shared" si="5"/>
        <v>#N/A</v>
      </c>
      <c r="Y28"/>
      <c r="Z28"/>
      <c r="AA28"/>
      <c r="AB28"/>
      <c r="AC28"/>
      <c r="AD28"/>
      <c r="AE28"/>
      <c r="AF28"/>
      <c r="AG28"/>
      <c r="AH28"/>
      <c r="AI28" s="175"/>
    </row>
    <row r="29" spans="2:35" ht="17" thickBot="1">
      <c r="B29" s="612"/>
      <c r="C29" s="614"/>
      <c r="D29" s="2205"/>
      <c r="E29" s="3" t="s">
        <v>228</v>
      </c>
      <c r="F29" s="739">
        <v>10</v>
      </c>
      <c r="G29" s="725">
        <v>130</v>
      </c>
      <c r="H29" s="725">
        <v>5.5963383688101605E-7</v>
      </c>
      <c r="I29" s="725">
        <v>-1.16929002324928E-4</v>
      </c>
      <c r="J29" s="725">
        <v>7.4595106182461903E-3</v>
      </c>
      <c r="K29" s="725">
        <v>7.4017493426207798E-3</v>
      </c>
      <c r="L29" s="725">
        <v>9.3327729909336405E-5</v>
      </c>
      <c r="M29" s="725">
        <v>-3.48876754043125E-2</v>
      </c>
      <c r="N29" s="725">
        <v>3.5051064974608299</v>
      </c>
      <c r="O29" s="730">
        <v>0.5</v>
      </c>
      <c r="P29" s="730">
        <v>0</v>
      </c>
      <c r="Q29" s="12" t="e">
        <f t="shared" si="3"/>
        <v>#N/A</v>
      </c>
      <c r="R29" s="716" t="e">
        <f t="shared" si="4"/>
        <v>#N/A</v>
      </c>
      <c r="S29" s="751" t="e">
        <f t="shared" si="5"/>
        <v>#N/A</v>
      </c>
      <c r="Y29" s="1006" t="s">
        <v>3571</v>
      </c>
      <c r="Z29" s="1007"/>
      <c r="AA29" s="999"/>
      <c r="AB29" s="1008"/>
      <c r="AC29" s="1009"/>
      <c r="AD29"/>
      <c r="AE29"/>
      <c r="AF29"/>
      <c r="AG29"/>
      <c r="AH29"/>
      <c r="AI29" s="175"/>
    </row>
    <row r="30" spans="2:35" ht="17">
      <c r="B30" s="612"/>
      <c r="C30" s="614"/>
      <c r="D30" s="2205"/>
      <c r="E30" s="3" t="s">
        <v>2</v>
      </c>
      <c r="F30" s="741">
        <v>10</v>
      </c>
      <c r="G30" s="726">
        <v>130</v>
      </c>
      <c r="H30" s="726">
        <v>5.7273971422094802E-7</v>
      </c>
      <c r="I30" s="726">
        <v>-1.25894610058486E-4</v>
      </c>
      <c r="J30" s="726">
        <v>6.9071946160854398E-3</v>
      </c>
      <c r="K30" s="726">
        <v>6.4229411197660999E-2</v>
      </c>
      <c r="L30" s="726">
        <v>3.2975702779345701E-4</v>
      </c>
      <c r="M30" s="726">
        <v>-8.7766408742326399E-2</v>
      </c>
      <c r="N30" s="726">
        <v>6.0119212913630999</v>
      </c>
      <c r="O30" s="731">
        <v>0</v>
      </c>
      <c r="P30" s="731">
        <v>0</v>
      </c>
      <c r="Q30" s="12" t="e">
        <f t="shared" si="3"/>
        <v>#N/A</v>
      </c>
      <c r="R30" s="716" t="e">
        <f t="shared" si="4"/>
        <v>#N/A</v>
      </c>
      <c r="S30" s="751" t="e">
        <f t="shared" si="5"/>
        <v>#N/A</v>
      </c>
      <c r="Y30" s="1010" t="s">
        <v>3565</v>
      </c>
      <c r="Z30" s="1011" t="s">
        <v>3572</v>
      </c>
      <c r="AA30" s="176"/>
      <c r="AB30" s="1012"/>
      <c r="AC30" s="158" t="s">
        <v>44</v>
      </c>
      <c r="AD30"/>
      <c r="AE30"/>
      <c r="AF30"/>
      <c r="AG30"/>
      <c r="AH30"/>
      <c r="AI30" s="1000"/>
    </row>
    <row r="31" spans="2:35" ht="17">
      <c r="B31" s="612"/>
      <c r="C31" s="619"/>
      <c r="D31" s="2205"/>
      <c r="E31" s="3" t="s">
        <v>1</v>
      </c>
      <c r="F31" s="741">
        <v>10</v>
      </c>
      <c r="G31" s="726">
        <v>130</v>
      </c>
      <c r="H31" s="726">
        <v>0</v>
      </c>
      <c r="I31" s="726">
        <v>0</v>
      </c>
      <c r="J31" s="726">
        <v>1.2800000000000001E-3</v>
      </c>
      <c r="K31" s="726">
        <v>0</v>
      </c>
      <c r="L31" s="726">
        <v>0</v>
      </c>
      <c r="M31" s="726">
        <v>0</v>
      </c>
      <c r="N31" s="726">
        <v>1</v>
      </c>
      <c r="O31" s="731">
        <v>0</v>
      </c>
      <c r="P31" s="731">
        <v>0</v>
      </c>
      <c r="Q31" s="12" t="e">
        <f t="shared" si="3"/>
        <v>#N/A</v>
      </c>
      <c r="R31" s="716" t="e">
        <f t="shared" si="4"/>
        <v>#N/A</v>
      </c>
      <c r="S31" s="751" t="e">
        <f t="shared" si="5"/>
        <v>#N/A</v>
      </c>
      <c r="Y31" s="1013" t="s">
        <v>3567</v>
      </c>
      <c r="Z31" s="176" t="s">
        <v>3573</v>
      </c>
      <c r="AA31" s="176"/>
      <c r="AB31" s="1014"/>
      <c r="AC31" s="1003" t="s">
        <v>44</v>
      </c>
      <c r="AD31"/>
      <c r="AE31"/>
      <c r="AF31"/>
      <c r="AG31"/>
      <c r="AH31"/>
      <c r="AI31" s="175"/>
    </row>
    <row r="32" spans="2:35" ht="18" thickBot="1">
      <c r="B32" s="612"/>
      <c r="C32" s="619"/>
      <c r="D32" s="2205"/>
      <c r="E32" s="3" t="s">
        <v>5</v>
      </c>
      <c r="F32" s="741">
        <v>10</v>
      </c>
      <c r="G32" s="726">
        <v>130</v>
      </c>
      <c r="H32" s="726">
        <v>0</v>
      </c>
      <c r="I32" s="726">
        <v>0</v>
      </c>
      <c r="J32" s="726">
        <v>1.2800000000000001E-3</v>
      </c>
      <c r="K32" s="726">
        <v>0</v>
      </c>
      <c r="L32" s="726">
        <v>0</v>
      </c>
      <c r="M32" s="726">
        <v>0</v>
      </c>
      <c r="N32" s="726">
        <v>1</v>
      </c>
      <c r="O32" s="731">
        <v>0</v>
      </c>
      <c r="P32" s="731">
        <v>0</v>
      </c>
      <c r="Q32" s="12" t="e">
        <f t="shared" si="3"/>
        <v>#N/A</v>
      </c>
      <c r="R32" s="716" t="e">
        <f t="shared" si="4"/>
        <v>#N/A</v>
      </c>
      <c r="S32" s="751" t="e">
        <f t="shared" si="5"/>
        <v>#N/A</v>
      </c>
      <c r="Y32" s="1013" t="s">
        <v>3569</v>
      </c>
      <c r="Z32" s="176" t="s">
        <v>19</v>
      </c>
      <c r="AA32" s="176"/>
      <c r="AB32" s="1014"/>
      <c r="AC32" s="1003" t="s">
        <v>41</v>
      </c>
      <c r="AD32"/>
      <c r="AE32"/>
      <c r="AF32"/>
      <c r="AG32"/>
      <c r="AH32"/>
      <c r="AI32" s="175"/>
    </row>
    <row r="33" spans="2:35" ht="17">
      <c r="B33" s="612"/>
      <c r="C33" s="619"/>
      <c r="D33" s="2204" t="s">
        <v>4</v>
      </c>
      <c r="E33" s="4" t="s">
        <v>8</v>
      </c>
      <c r="F33" s="743">
        <v>10</v>
      </c>
      <c r="G33" s="728">
        <v>130</v>
      </c>
      <c r="H33" s="728">
        <v>7.3573156677707295E-7</v>
      </c>
      <c r="I33" s="728">
        <v>-1.5813219636839101E-4</v>
      </c>
      <c r="J33" s="728">
        <v>9.2847050599379997E-3</v>
      </c>
      <c r="K33" s="728">
        <v>4.1086429949994403E-2</v>
      </c>
      <c r="L33" s="728">
        <v>2.6876798647675201E-4</v>
      </c>
      <c r="M33" s="728">
        <v>-7.7925013927850895E-2</v>
      </c>
      <c r="N33" s="728">
        <v>6.0210532290157497</v>
      </c>
      <c r="O33" s="733">
        <v>0</v>
      </c>
      <c r="P33" s="733">
        <v>0</v>
      </c>
      <c r="Q33" s="11" t="e">
        <f t="shared" si="3"/>
        <v>#N/A</v>
      </c>
      <c r="R33" s="715" t="e">
        <f t="shared" si="4"/>
        <v>#N/A</v>
      </c>
      <c r="S33" s="750" t="e">
        <f t="shared" si="5"/>
        <v>#N/A</v>
      </c>
      <c r="Y33" s="1013" t="s">
        <v>3574</v>
      </c>
      <c r="Z33" s="176" t="s">
        <v>18</v>
      </c>
      <c r="AA33" s="176"/>
      <c r="AB33" s="1014"/>
      <c r="AC33" s="1003" t="s">
        <v>41</v>
      </c>
      <c r="AD33"/>
      <c r="AE33"/>
      <c r="AF33"/>
      <c r="AG33"/>
      <c r="AH33"/>
      <c r="AI33" s="175"/>
    </row>
    <row r="34" spans="2:35" ht="17">
      <c r="B34" s="612"/>
      <c r="C34" s="614"/>
      <c r="D34" s="2205"/>
      <c r="E34" s="3" t="s">
        <v>228</v>
      </c>
      <c r="F34" s="741">
        <v>10</v>
      </c>
      <c r="G34" s="726">
        <v>130</v>
      </c>
      <c r="H34" s="726">
        <v>5.5963383688101605E-7</v>
      </c>
      <c r="I34" s="726">
        <v>-1.16929002324928E-4</v>
      </c>
      <c r="J34" s="726">
        <v>7.4595106182461903E-3</v>
      </c>
      <c r="K34" s="726">
        <v>7.4017493426207798E-3</v>
      </c>
      <c r="L34" s="726">
        <v>9.3327729909336405E-5</v>
      </c>
      <c r="M34" s="726">
        <v>-3.48876754043125E-2</v>
      </c>
      <c r="N34" s="726">
        <v>3.5051064974608299</v>
      </c>
      <c r="O34" s="731">
        <v>0.5</v>
      </c>
      <c r="P34" s="731">
        <v>0</v>
      </c>
      <c r="Q34" s="12" t="e">
        <f t="shared" si="3"/>
        <v>#N/A</v>
      </c>
      <c r="R34" s="716" t="e">
        <f t="shared" si="4"/>
        <v>#N/A</v>
      </c>
      <c r="S34" s="751" t="e">
        <f t="shared" si="5"/>
        <v>#N/A</v>
      </c>
      <c r="Y34" s="1013" t="s">
        <v>3575</v>
      </c>
      <c r="Z34" s="176" t="s">
        <v>17</v>
      </c>
      <c r="AA34" s="176"/>
      <c r="AB34" s="1014"/>
      <c r="AC34" s="1003" t="s">
        <v>41</v>
      </c>
      <c r="AD34"/>
      <c r="AE34"/>
      <c r="AF34"/>
      <c r="AG34"/>
      <c r="AH34"/>
      <c r="AI34" s="175"/>
    </row>
    <row r="35" spans="2:35" ht="17">
      <c r="B35" s="612"/>
      <c r="C35" s="619"/>
      <c r="D35" s="2205"/>
      <c r="E35" s="3" t="s">
        <v>2</v>
      </c>
      <c r="F35" s="741">
        <v>10</v>
      </c>
      <c r="G35" s="726">
        <v>130</v>
      </c>
      <c r="H35" s="726">
        <v>5.7273971422094802E-7</v>
      </c>
      <c r="I35" s="726">
        <v>-1.25894610058486E-4</v>
      </c>
      <c r="J35" s="726">
        <v>6.9071946160854398E-3</v>
      </c>
      <c r="K35" s="726">
        <v>6.4229411197660999E-2</v>
      </c>
      <c r="L35" s="726">
        <v>3.2975702779345701E-4</v>
      </c>
      <c r="M35" s="726">
        <v>-8.7766408742326399E-2</v>
      </c>
      <c r="N35" s="726">
        <v>6.0119212913630999</v>
      </c>
      <c r="O35" s="731">
        <v>0</v>
      </c>
      <c r="P35" s="731">
        <v>0</v>
      </c>
      <c r="Q35" s="12" t="e">
        <f t="shared" si="3"/>
        <v>#N/A</v>
      </c>
      <c r="R35" s="716" t="e">
        <f>IF(Q35&lt;F35,F35,IF(Q35&gt;G35,G35,Q35))</f>
        <v>#N/A</v>
      </c>
      <c r="S35" s="751" t="e">
        <f t="shared" si="5"/>
        <v>#N/A</v>
      </c>
      <c r="Y35" s="1013" t="s">
        <v>3576</v>
      </c>
      <c r="Z35" s="176" t="s">
        <v>16</v>
      </c>
      <c r="AA35" s="176"/>
      <c r="AB35" s="1014"/>
      <c r="AC35" s="1003" t="s">
        <v>41</v>
      </c>
      <c r="AD35"/>
      <c r="AE35"/>
      <c r="AF35"/>
      <c r="AG35" s="1015"/>
      <c r="AH35" s="1016"/>
      <c r="AI35" s="175"/>
    </row>
    <row r="36" spans="2:35" ht="18" thickBot="1">
      <c r="B36" s="612"/>
      <c r="C36" s="619"/>
      <c r="D36" s="2205"/>
      <c r="E36" s="2" t="s">
        <v>1</v>
      </c>
      <c r="F36" s="746">
        <v>10</v>
      </c>
      <c r="G36" s="747">
        <v>130</v>
      </c>
      <c r="H36" s="747">
        <v>0</v>
      </c>
      <c r="I36" s="747">
        <v>0</v>
      </c>
      <c r="J36" s="747">
        <v>1.2800000000000001E-3</v>
      </c>
      <c r="K36" s="747">
        <v>0</v>
      </c>
      <c r="L36" s="747">
        <v>0</v>
      </c>
      <c r="M36" s="747">
        <v>0</v>
      </c>
      <c r="N36" s="747">
        <v>1</v>
      </c>
      <c r="O36" s="748">
        <v>0</v>
      </c>
      <c r="P36" s="748">
        <v>0</v>
      </c>
      <c r="Q36" s="13" t="e">
        <f t="shared" si="3"/>
        <v>#N/A</v>
      </c>
      <c r="R36" s="723" t="e">
        <f>IF(Q36&lt;F36,F36,IF(Q36&gt;G36,G36,Q36))</f>
        <v>#N/A</v>
      </c>
      <c r="S36" s="752" t="e">
        <f t="shared" si="5"/>
        <v>#N/A</v>
      </c>
      <c r="Y36" s="1013" t="s">
        <v>3577</v>
      </c>
      <c r="Z36" s="176" t="s">
        <v>15</v>
      </c>
      <c r="AA36" s="176"/>
      <c r="AB36" s="1014"/>
      <c r="AC36" s="1003" t="s">
        <v>41</v>
      </c>
      <c r="AD36"/>
      <c r="AE36"/>
      <c r="AF36"/>
      <c r="AG36" s="1015"/>
      <c r="AH36" s="1016"/>
      <c r="AI36" s="1016"/>
    </row>
    <row r="37" spans="2:35" ht="18" thickBot="1">
      <c r="B37" s="612"/>
      <c r="C37" s="619"/>
      <c r="D37" s="419" t="s">
        <v>0</v>
      </c>
      <c r="E37" s="420"/>
      <c r="F37" s="721"/>
      <c r="G37" s="720"/>
      <c r="H37" s="720"/>
      <c r="I37" s="720"/>
      <c r="J37" s="720"/>
      <c r="K37" s="720"/>
      <c r="L37" s="720"/>
      <c r="M37" s="720"/>
      <c r="N37" s="720"/>
      <c r="O37" s="720"/>
      <c r="P37" s="720"/>
      <c r="Q37" s="497"/>
      <c r="R37" s="720"/>
      <c r="S37" s="722">
        <v>0</v>
      </c>
      <c r="Y37" s="1013" t="s">
        <v>3578</v>
      </c>
      <c r="Z37" s="176" t="s">
        <v>14</v>
      </c>
      <c r="AA37" s="176"/>
      <c r="AB37" s="1014"/>
      <c r="AC37" s="1003" t="s">
        <v>41</v>
      </c>
      <c r="AD37"/>
      <c r="AE37"/>
      <c r="AF37"/>
      <c r="AG37" s="1017"/>
      <c r="AH37" s="177"/>
      <c r="AI37"/>
    </row>
    <row r="38" spans="2:35" ht="17">
      <c r="B38" s="612"/>
      <c r="C38" s="619"/>
      <c r="D38" s="614"/>
      <c r="E38" s="620"/>
      <c r="F38" s="609"/>
      <c r="G38" s="609"/>
      <c r="H38" s="609"/>
      <c r="I38" s="609"/>
      <c r="J38" s="609"/>
      <c r="K38" s="609"/>
      <c r="L38" s="609"/>
      <c r="M38" s="609"/>
      <c r="N38" s="609"/>
      <c r="O38" s="616"/>
      <c r="P38" s="616"/>
      <c r="Q38" s="609"/>
      <c r="R38" s="610"/>
      <c r="S38" s="609"/>
      <c r="Y38" s="1013" t="s">
        <v>3579</v>
      </c>
      <c r="Z38" s="176" t="s">
        <v>13</v>
      </c>
      <c r="AA38" s="176"/>
      <c r="AB38" s="1014"/>
      <c r="AC38" s="1003" t="s">
        <v>41</v>
      </c>
      <c r="AD38"/>
      <c r="AE38"/>
      <c r="AF38"/>
      <c r="AG38"/>
      <c r="AH38" s="177"/>
      <c r="AI38" s="71"/>
    </row>
    <row r="39" spans="2:35" ht="18" thickBot="1">
      <c r="B39" s="612"/>
      <c r="C39" s="619"/>
      <c r="D39" s="614"/>
      <c r="E39" s="623"/>
      <c r="F39" s="609"/>
      <c r="G39" s="609"/>
      <c r="H39" s="609"/>
      <c r="I39" s="609"/>
      <c r="J39" s="609"/>
      <c r="K39" s="609"/>
      <c r="L39" s="609"/>
      <c r="M39" s="609"/>
      <c r="N39" s="609"/>
      <c r="O39" s="616"/>
      <c r="P39" s="616"/>
      <c r="Q39" s="609"/>
      <c r="R39" s="610"/>
      <c r="S39" s="609"/>
      <c r="Y39" s="1018" t="s">
        <v>3580</v>
      </c>
      <c r="Z39" s="646" t="s">
        <v>3581</v>
      </c>
      <c r="AA39" s="646"/>
      <c r="AB39" s="1019"/>
      <c r="AC39" s="1020" t="s">
        <v>41</v>
      </c>
      <c r="AD39"/>
      <c r="AE39"/>
      <c r="AF39"/>
      <c r="AG39"/>
      <c r="AH39" s="177"/>
      <c r="AI39" s="71"/>
    </row>
    <row r="40" spans="2:35" ht="17" thickBot="1">
      <c r="B40" s="612"/>
      <c r="C40" s="619"/>
      <c r="G40" s="609"/>
      <c r="H40" s="609"/>
      <c r="I40" s="609"/>
      <c r="J40" s="609"/>
      <c r="K40" s="609"/>
      <c r="L40" s="609"/>
      <c r="M40" s="609"/>
      <c r="N40" s="609"/>
      <c r="O40" s="616"/>
      <c r="P40" s="616"/>
      <c r="Q40" s="609"/>
      <c r="R40" s="610"/>
      <c r="S40" s="609"/>
      <c r="Y40" s="1021"/>
      <c r="Z40"/>
      <c r="AA40"/>
      <c r="AB40" s="175"/>
      <c r="AC40" s="1000"/>
      <c r="AD40" s="1000"/>
      <c r="AE40"/>
      <c r="AF40"/>
      <c r="AG40"/>
      <c r="AH40" s="177"/>
      <c r="AI40" s="71"/>
    </row>
    <row r="41" spans="2:35" ht="17" thickBot="1">
      <c r="B41" s="612"/>
      <c r="C41" s="619"/>
      <c r="G41"/>
      <c r="H41"/>
      <c r="I41"/>
      <c r="J41"/>
      <c r="K41"/>
      <c r="L41"/>
      <c r="M41" s="609"/>
      <c r="N41" s="609"/>
      <c r="O41" s="616"/>
      <c r="P41" s="616"/>
      <c r="Q41" s="609"/>
      <c r="R41" s="610"/>
      <c r="S41" s="609"/>
      <c r="Y41" s="2215" t="s">
        <v>70</v>
      </c>
      <c r="Z41" s="2216"/>
      <c r="AA41" s="999"/>
      <c r="AB41" s="999"/>
      <c r="AC41" s="1009"/>
      <c r="AD41" s="1009"/>
      <c r="AE41" s="1009"/>
      <c r="AF41"/>
      <c r="AG41"/>
      <c r="AH41" s="177"/>
      <c r="AI41" s="71"/>
    </row>
    <row r="42" spans="2:35" ht="17">
      <c r="B42" s="612"/>
      <c r="C42" s="619"/>
      <c r="O42" s="618"/>
      <c r="P42" s="618"/>
      <c r="Q42" s="609"/>
      <c r="R42" s="610"/>
      <c r="S42" s="609"/>
      <c r="Y42" s="1010" t="s">
        <v>3565</v>
      </c>
      <c r="Z42" s="1011" t="s">
        <v>3582</v>
      </c>
      <c r="AA42" s="1011"/>
      <c r="AB42" s="1011"/>
      <c r="AC42" s="691"/>
      <c r="AD42" s="691"/>
      <c r="AE42" s="1012"/>
      <c r="AF42"/>
      <c r="AG42"/>
      <c r="AH42" s="177"/>
      <c r="AI42" s="71"/>
    </row>
    <row r="43" spans="2:35" ht="16" customHeight="1">
      <c r="B43" s="612"/>
      <c r="C43" s="614"/>
      <c r="O43" s="616"/>
      <c r="P43" s="616"/>
      <c r="Q43" s="609"/>
      <c r="R43" s="610"/>
      <c r="S43" s="609"/>
      <c r="Y43" s="1013"/>
      <c r="Z43" s="1022" t="s">
        <v>3583</v>
      </c>
      <c r="AA43" s="1023"/>
      <c r="AB43" s="2217" t="s">
        <v>27</v>
      </c>
      <c r="AC43" s="2218"/>
      <c r="AD43" s="156"/>
      <c r="AE43" s="1014"/>
      <c r="AF43"/>
      <c r="AG43"/>
      <c r="AH43" s="177"/>
      <c r="AI43" s="1024"/>
    </row>
    <row r="44" spans="2:35">
      <c r="B44" s="612"/>
      <c r="C44" s="614"/>
      <c r="D44" s="592"/>
      <c r="E44" s="592"/>
      <c r="F44" s="603"/>
      <c r="G44" s="603"/>
      <c r="H44" s="603"/>
      <c r="I44" s="596"/>
      <c r="J44" s="603"/>
      <c r="K44" s="603"/>
      <c r="L44" s="592"/>
      <c r="M44" s="592"/>
      <c r="N44" s="617"/>
      <c r="O44" s="616"/>
      <c r="P44" s="616"/>
      <c r="Q44" s="609"/>
      <c r="R44" s="610"/>
      <c r="S44" s="609"/>
      <c r="Y44" s="1013"/>
      <c r="Z44" s="1025" t="s">
        <v>3584</v>
      </c>
      <c r="AA44" s="151"/>
      <c r="AB44" s="2219" t="s">
        <v>3585</v>
      </c>
      <c r="AC44" s="2220"/>
      <c r="AD44" s="176"/>
      <c r="AE44" s="1014"/>
      <c r="AF44"/>
      <c r="AG44"/>
      <c r="AH44" s="177"/>
      <c r="AI44" s="71"/>
    </row>
    <row r="45" spans="2:35">
      <c r="B45" s="612"/>
      <c r="C45" s="614"/>
      <c r="D45" s="596"/>
      <c r="E45" s="596"/>
      <c r="F45" s="596"/>
      <c r="G45" s="592"/>
      <c r="H45" s="596"/>
      <c r="I45" s="596"/>
      <c r="J45" s="596"/>
      <c r="K45" s="596"/>
      <c r="L45" s="8"/>
      <c r="M45" s="596"/>
      <c r="N45" s="596"/>
      <c r="O45" s="616"/>
      <c r="P45" s="616"/>
      <c r="Q45" s="609"/>
      <c r="R45" s="610"/>
      <c r="S45" s="609"/>
      <c r="Y45" s="1013"/>
      <c r="Z45" s="1025" t="s">
        <v>3586</v>
      </c>
      <c r="AA45" s="151"/>
      <c r="AB45" s="2219" t="s">
        <v>3587</v>
      </c>
      <c r="AC45" s="2220"/>
      <c r="AD45" s="156"/>
      <c r="AE45" s="1014"/>
      <c r="AF45"/>
      <c r="AG45"/>
      <c r="AH45" s="177"/>
      <c r="AI45" s="71"/>
    </row>
    <row r="46" spans="2:35">
      <c r="B46" s="612"/>
      <c r="C46" s="619"/>
      <c r="D46" s="596"/>
      <c r="E46" s="596"/>
      <c r="F46" s="596"/>
      <c r="G46" s="596"/>
      <c r="H46" s="1481"/>
      <c r="I46" s="596"/>
      <c r="J46" s="596"/>
      <c r="K46" s="1482"/>
      <c r="L46" s="605"/>
      <c r="M46" s="596"/>
      <c r="N46" s="592"/>
      <c r="O46" s="616"/>
      <c r="P46" s="616"/>
      <c r="Q46" s="609"/>
      <c r="R46" s="610"/>
      <c r="S46" s="609"/>
      <c r="Y46" s="1026"/>
      <c r="Z46" s="1027" t="s">
        <v>3588</v>
      </c>
      <c r="AA46" s="1028"/>
      <c r="AB46" s="2210" t="s">
        <v>3589</v>
      </c>
      <c r="AC46" s="2211"/>
      <c r="AD46" s="176"/>
      <c r="AE46" s="1014"/>
      <c r="AF46"/>
      <c r="AG46"/>
      <c r="AH46"/>
      <c r="AI46"/>
    </row>
    <row r="47" spans="2:35">
      <c r="B47" s="612"/>
      <c r="C47" s="619"/>
      <c r="D47" s="596"/>
      <c r="E47" s="596"/>
      <c r="F47" s="596"/>
      <c r="G47" s="596"/>
      <c r="H47" s="1481"/>
      <c r="I47" s="596"/>
      <c r="J47" s="596"/>
      <c r="K47" s="1482"/>
      <c r="L47" s="605"/>
      <c r="M47" s="596"/>
      <c r="N47" s="592"/>
      <c r="O47" s="616"/>
      <c r="P47" s="616"/>
      <c r="Q47" s="609"/>
      <c r="R47" s="610"/>
      <c r="S47" s="609"/>
      <c r="Y47" s="1029"/>
      <c r="Z47" s="176"/>
      <c r="AA47" s="176"/>
      <c r="AB47" s="176"/>
      <c r="AC47" s="176"/>
      <c r="AD47" s="176"/>
      <c r="AE47" s="1014"/>
      <c r="AF47"/>
      <c r="AG47"/>
      <c r="AH47"/>
      <c r="AI47"/>
    </row>
    <row r="48" spans="2:35">
      <c r="B48" s="612"/>
      <c r="C48" s="619"/>
      <c r="D48" s="596"/>
      <c r="E48" s="596"/>
      <c r="F48" s="596"/>
      <c r="G48" s="596"/>
      <c r="H48" s="1481"/>
      <c r="I48" s="596"/>
      <c r="J48" s="596"/>
      <c r="K48" s="1482"/>
      <c r="L48" s="605"/>
      <c r="M48" s="596"/>
      <c r="N48" s="592"/>
      <c r="O48" s="616"/>
      <c r="P48" s="616"/>
      <c r="Q48" s="609"/>
      <c r="R48" s="610"/>
      <c r="S48" s="609"/>
      <c r="Y48" s="1004" t="s">
        <v>3567</v>
      </c>
      <c r="Z48" s="176" t="s">
        <v>3590</v>
      </c>
      <c r="AA48" s="176"/>
      <c r="AB48" s="176"/>
      <c r="AC48" s="176"/>
      <c r="AD48" s="176"/>
      <c r="AE48" s="1014"/>
      <c r="AF48"/>
      <c r="AG48"/>
      <c r="AH48"/>
      <c r="AI48"/>
    </row>
    <row r="49" spans="2:35">
      <c r="B49" s="612"/>
      <c r="C49" s="619"/>
      <c r="D49" s="596"/>
      <c r="E49" s="596"/>
      <c r="F49" s="596"/>
      <c r="G49" s="596"/>
      <c r="H49" s="1481"/>
      <c r="I49" s="596"/>
      <c r="J49" s="596"/>
      <c r="K49" s="1482"/>
      <c r="L49" s="605"/>
      <c r="M49" s="596"/>
      <c r="N49" s="592"/>
      <c r="O49" s="616"/>
      <c r="P49" s="616"/>
      <c r="Q49" s="609"/>
      <c r="R49" s="610"/>
      <c r="S49" s="609"/>
      <c r="Y49" s="1029"/>
      <c r="Z49" s="176"/>
      <c r="AA49" s="176"/>
      <c r="AB49" s="176"/>
      <c r="AC49" s="176"/>
      <c r="AD49" s="176"/>
      <c r="AE49" s="1014"/>
      <c r="AF49"/>
      <c r="AG49"/>
      <c r="AH49"/>
      <c r="AI49"/>
    </row>
    <row r="50" spans="2:35">
      <c r="B50" s="612"/>
      <c r="C50" s="619"/>
      <c r="D50" s="596"/>
      <c r="E50" s="596"/>
      <c r="F50" s="596"/>
      <c r="G50" s="596"/>
      <c r="H50" s="1481"/>
      <c r="I50" s="596"/>
      <c r="J50" s="596"/>
      <c r="K50" s="1482"/>
      <c r="L50" s="605"/>
      <c r="M50" s="609"/>
      <c r="N50" s="592"/>
      <c r="O50" s="616"/>
      <c r="P50" s="616"/>
      <c r="Q50" s="609"/>
      <c r="R50" s="610"/>
      <c r="S50" s="609"/>
      <c r="Y50" s="1029"/>
      <c r="Z50" s="176"/>
      <c r="AA50" s="176"/>
      <c r="AB50" s="176"/>
      <c r="AC50" s="176"/>
      <c r="AD50" s="176"/>
      <c r="AE50" s="1014"/>
      <c r="AF50"/>
      <c r="AG50"/>
      <c r="AH50"/>
      <c r="AI50"/>
    </row>
    <row r="51" spans="2:35">
      <c r="B51" s="613"/>
      <c r="C51" s="619"/>
      <c r="D51" s="614"/>
      <c r="G51" s="596"/>
      <c r="H51" s="1481"/>
      <c r="I51" s="596"/>
      <c r="J51" s="596"/>
      <c r="K51" s="1482"/>
      <c r="L51" s="605"/>
      <c r="M51" s="609"/>
      <c r="N51" s="592"/>
      <c r="O51" s="609"/>
      <c r="P51" s="609"/>
      <c r="Q51" s="611"/>
      <c r="R51" s="609"/>
      <c r="S51" s="610"/>
      <c r="T51" s="605"/>
      <c r="U51" s="605"/>
      <c r="V51" s="605"/>
      <c r="W51" s="605"/>
      <c r="X51" s="605"/>
      <c r="Y51" s="1029"/>
      <c r="Z51" s="176"/>
      <c r="AA51" s="176"/>
      <c r="AB51" s="176"/>
      <c r="AC51" s="176"/>
      <c r="AD51" s="176"/>
      <c r="AE51" s="1014"/>
      <c r="AF51"/>
      <c r="AG51"/>
      <c r="AH51"/>
      <c r="AI51"/>
    </row>
    <row r="52" spans="2:35" ht="17" thickBot="1">
      <c r="B52" s="611"/>
      <c r="C52" s="619"/>
      <c r="D52"/>
      <c r="E52" s="588"/>
      <c r="F52" s="588"/>
      <c r="G52" s="596"/>
      <c r="H52" s="1481"/>
      <c r="I52" s="596"/>
      <c r="J52" s="596"/>
      <c r="K52" s="1482"/>
      <c r="L52" s="605"/>
      <c r="M52" s="609"/>
      <c r="N52" s="592"/>
      <c r="O52" s="611"/>
      <c r="P52" s="611"/>
      <c r="Q52" s="611"/>
      <c r="R52" s="611"/>
      <c r="S52" s="611"/>
      <c r="T52" s="605"/>
      <c r="U52" s="605"/>
      <c r="V52" s="605"/>
      <c r="W52" s="605"/>
      <c r="X52" s="605"/>
      <c r="Y52" s="94"/>
      <c r="Z52" s="646"/>
      <c r="AA52" s="646"/>
      <c r="AB52" s="646"/>
      <c r="AC52" s="646"/>
      <c r="AD52" s="646"/>
      <c r="AE52" s="1019"/>
      <c r="AF52"/>
      <c r="AG52"/>
      <c r="AH52"/>
      <c r="AI52"/>
    </row>
    <row r="53" spans="2:35">
      <c r="B53" s="611"/>
      <c r="C53" s="623"/>
      <c r="D53" s="609"/>
      <c r="E53" s="596"/>
      <c r="F53" s="596"/>
      <c r="G53" s="596"/>
      <c r="H53" s="1481"/>
      <c r="I53" s="596"/>
      <c r="J53" s="596"/>
      <c r="K53" s="1482"/>
      <c r="L53" s="605"/>
      <c r="M53" s="609"/>
      <c r="N53" s="592"/>
      <c r="O53" s="611"/>
      <c r="P53" s="611"/>
      <c r="Q53" s="611"/>
      <c r="R53" s="611"/>
      <c r="S53" s="611"/>
      <c r="T53" s="605"/>
      <c r="U53" s="605"/>
      <c r="V53" s="605"/>
      <c r="W53" s="605"/>
      <c r="X53" s="605"/>
      <c r="Y53" s="175"/>
      <c r="Z53"/>
      <c r="AA53"/>
      <c r="AB53"/>
      <c r="AC53"/>
      <c r="AD53"/>
      <c r="AE53"/>
      <c r="AF53"/>
      <c r="AG53"/>
      <c r="AH53"/>
      <c r="AI53"/>
    </row>
    <row r="54" spans="2:35">
      <c r="B54" s="611"/>
      <c r="C54" s="611"/>
      <c r="D54" s="592"/>
      <c r="E54" s="592"/>
      <c r="F54" s="596"/>
      <c r="G54" s="1739"/>
      <c r="H54" s="605"/>
      <c r="I54" s="605"/>
      <c r="J54" s="605"/>
      <c r="K54" s="605"/>
      <c r="L54" s="605"/>
      <c r="M54" s="609"/>
      <c r="N54" s="611"/>
      <c r="O54" s="611"/>
      <c r="P54" s="611"/>
      <c r="Q54" s="611"/>
      <c r="R54" s="611"/>
      <c r="S54" s="611"/>
      <c r="T54" s="605"/>
      <c r="U54" s="605"/>
      <c r="V54" s="605"/>
      <c r="W54" s="605"/>
      <c r="X54" s="605"/>
    </row>
    <row r="55" spans="2:35">
      <c r="B55" s="611"/>
      <c r="C55" s="603"/>
      <c r="D55" s="603"/>
      <c r="E55" s="596"/>
      <c r="F55" s="8"/>
      <c r="G55" s="8"/>
      <c r="H55" s="8"/>
      <c r="I55" s="8"/>
      <c r="J55" s="8"/>
      <c r="K55" s="8"/>
      <c r="L55" s="8"/>
      <c r="M55" s="609"/>
      <c r="N55" s="609"/>
      <c r="O55" s="611"/>
      <c r="P55" s="611"/>
      <c r="Q55" s="611"/>
      <c r="R55" s="611"/>
      <c r="S55" s="611"/>
      <c r="T55" s="605"/>
      <c r="U55" s="605"/>
      <c r="V55" s="605"/>
      <c r="W55" s="605"/>
      <c r="X55" s="605"/>
    </row>
    <row r="56" spans="2:35">
      <c r="B56" s="609"/>
      <c r="C56" s="611"/>
      <c r="D56" s="611"/>
      <c r="E56" s="596"/>
      <c r="F56" s="8"/>
      <c r="G56" s="8"/>
      <c r="H56" s="8"/>
      <c r="I56" s="596"/>
      <c r="J56" s="8"/>
      <c r="K56" s="8"/>
      <c r="L56" s="8"/>
      <c r="M56" s="596"/>
      <c r="N56" s="596"/>
      <c r="O56" s="611"/>
      <c r="P56" s="611"/>
      <c r="Q56" s="611"/>
      <c r="R56" s="611"/>
      <c r="S56" s="611"/>
      <c r="T56" s="605"/>
      <c r="U56" s="605"/>
      <c r="V56" s="605"/>
      <c r="W56" s="605"/>
      <c r="X56" s="605"/>
    </row>
    <row r="57" spans="2:35">
      <c r="B57" s="611"/>
      <c r="C57" s="1747"/>
      <c r="D57" s="1740"/>
      <c r="E57" s="1740"/>
      <c r="F57" s="1741"/>
      <c r="G57" s="1742"/>
      <c r="H57" s="1741"/>
      <c r="I57" s="1741"/>
      <c r="J57" s="1741"/>
      <c r="K57" s="1743"/>
      <c r="L57" s="8"/>
      <c r="M57" s="609"/>
      <c r="N57" s="609"/>
      <c r="O57" s="611"/>
      <c r="P57" s="611"/>
      <c r="Q57" s="611"/>
      <c r="R57" s="611"/>
      <c r="S57" s="611"/>
      <c r="T57" s="605"/>
      <c r="U57" s="605"/>
      <c r="V57" s="605"/>
      <c r="W57" s="605"/>
      <c r="X57" s="605"/>
    </row>
    <row r="58" spans="2:35">
      <c r="B58" s="611"/>
      <c r="C58" s="1747"/>
      <c r="D58" s="1740"/>
      <c r="E58" s="1740"/>
      <c r="F58" s="1741"/>
      <c r="G58" s="1742"/>
      <c r="H58" s="1741"/>
      <c r="I58" s="1741"/>
      <c r="J58" s="1741"/>
      <c r="K58" s="1743"/>
      <c r="L58" s="8"/>
      <c r="M58" s="609"/>
      <c r="N58" s="609"/>
      <c r="O58" s="611"/>
      <c r="P58" s="611"/>
      <c r="Q58" s="611"/>
      <c r="R58" s="611"/>
      <c r="S58" s="611"/>
      <c r="T58" s="605"/>
      <c r="U58" s="605"/>
      <c r="V58" s="605"/>
      <c r="W58" s="605"/>
      <c r="X58" s="605"/>
    </row>
    <row r="59" spans="2:35">
      <c r="B59" s="611"/>
      <c r="C59" s="1747"/>
      <c r="D59" s="1740"/>
      <c r="E59" s="1741"/>
      <c r="F59" s="1741"/>
      <c r="G59" s="1742"/>
      <c r="H59" s="1741"/>
      <c r="I59" s="1741"/>
      <c r="J59" s="1741"/>
      <c r="K59" s="1743"/>
      <c r="L59" s="8"/>
      <c r="M59" s="609"/>
      <c r="N59" s="609"/>
      <c r="O59" s="611"/>
      <c r="P59" s="611"/>
      <c r="Q59" s="611"/>
      <c r="R59" s="611"/>
      <c r="S59" s="611"/>
      <c r="T59" s="605"/>
      <c r="U59" s="605"/>
      <c r="V59" s="605"/>
      <c r="W59" s="605"/>
      <c r="X59" s="605"/>
    </row>
    <row r="60" spans="2:35">
      <c r="B60" s="611"/>
      <c r="C60" s="1747"/>
      <c r="D60" s="1740"/>
      <c r="E60" s="1741"/>
      <c r="F60" s="1741"/>
      <c r="G60" s="1742"/>
      <c r="H60" s="1741"/>
      <c r="I60" s="1741"/>
      <c r="J60" s="1741"/>
      <c r="K60" s="1743"/>
      <c r="L60" s="8"/>
      <c r="M60" s="609"/>
      <c r="N60" s="609"/>
      <c r="O60" s="611"/>
      <c r="P60" s="611"/>
      <c r="Q60" s="611"/>
      <c r="R60" s="611"/>
      <c r="S60" s="611"/>
      <c r="T60" s="605"/>
      <c r="U60" s="605"/>
      <c r="V60" s="605"/>
      <c r="W60" s="605"/>
      <c r="X60" s="605"/>
    </row>
    <row r="61" spans="2:35">
      <c r="B61" s="611"/>
      <c r="C61" s="1747"/>
      <c r="D61" s="1740"/>
      <c r="E61" s="1740"/>
      <c r="F61" s="1741"/>
      <c r="G61" s="1742"/>
      <c r="H61" s="1741"/>
      <c r="I61" s="1741"/>
      <c r="J61" s="1741"/>
      <c r="K61" s="1743"/>
      <c r="L61" s="8"/>
      <c r="M61" s="609"/>
      <c r="N61" s="609"/>
      <c r="O61" s="611"/>
      <c r="P61" s="611"/>
      <c r="Q61" s="611"/>
      <c r="R61" s="611"/>
      <c r="S61" s="611"/>
      <c r="T61" s="605"/>
      <c r="U61" s="605"/>
      <c r="V61" s="605"/>
      <c r="W61" s="605"/>
      <c r="X61" s="605"/>
    </row>
    <row r="62" spans="2:35">
      <c r="B62" s="611"/>
      <c r="C62" s="1747"/>
      <c r="D62" s="1740"/>
      <c r="E62" s="1740"/>
      <c r="F62" s="1741"/>
      <c r="G62" s="1742"/>
      <c r="H62" s="1741"/>
      <c r="I62" s="1741"/>
      <c r="J62" s="1741"/>
      <c r="K62" s="1743"/>
      <c r="L62" s="8"/>
      <c r="M62" s="609"/>
      <c r="N62" s="609"/>
      <c r="O62" s="611"/>
      <c r="P62" s="611"/>
      <c r="Q62" s="611"/>
      <c r="R62" s="611"/>
      <c r="S62" s="611"/>
      <c r="T62" s="605"/>
      <c r="U62" s="605"/>
      <c r="V62" s="605"/>
      <c r="W62" s="605"/>
      <c r="X62" s="605"/>
    </row>
    <row r="63" spans="2:35">
      <c r="B63" s="611"/>
      <c r="C63" s="1747"/>
      <c r="D63" s="1740"/>
      <c r="E63" s="1741"/>
      <c r="F63" s="1741"/>
      <c r="G63" s="1742"/>
      <c r="H63" s="1741"/>
      <c r="I63" s="1741"/>
      <c r="J63" s="1741"/>
      <c r="K63" s="1743"/>
      <c r="L63" s="8"/>
      <c r="M63" s="609"/>
      <c r="N63" s="609"/>
      <c r="O63" s="611"/>
      <c r="P63" s="611"/>
      <c r="Q63" s="611"/>
      <c r="R63" s="611"/>
      <c r="S63" s="611"/>
      <c r="T63" s="605"/>
      <c r="U63" s="605"/>
      <c r="V63" s="605"/>
      <c r="W63" s="605"/>
      <c r="X63" s="605"/>
    </row>
    <row r="64" spans="2:35">
      <c r="B64" s="611"/>
      <c r="C64" s="1747"/>
      <c r="D64" s="1740"/>
      <c r="E64" s="1741"/>
      <c r="F64" s="1741"/>
      <c r="G64" s="1742"/>
      <c r="H64" s="1741"/>
      <c r="I64" s="1741"/>
      <c r="J64" s="1741"/>
      <c r="K64" s="1482"/>
      <c r="L64" s="8"/>
      <c r="M64" s="609"/>
      <c r="N64" s="609"/>
      <c r="O64" s="611"/>
      <c r="P64" s="611"/>
      <c r="Q64" s="611"/>
      <c r="R64" s="611"/>
      <c r="S64" s="611"/>
      <c r="T64" s="605"/>
      <c r="U64" s="605"/>
      <c r="V64" s="605"/>
      <c r="W64" s="605"/>
      <c r="X64" s="605"/>
    </row>
    <row r="65" spans="2:24">
      <c r="B65" s="611"/>
      <c r="C65" s="1746"/>
      <c r="D65" s="609"/>
      <c r="E65" s="609"/>
      <c r="F65" s="8"/>
      <c r="G65" s="8"/>
      <c r="H65" s="8"/>
      <c r="I65" s="8"/>
      <c r="J65" s="782"/>
      <c r="K65" s="8"/>
      <c r="L65" s="8"/>
      <c r="M65" s="609"/>
      <c r="N65" s="609"/>
      <c r="O65" s="611"/>
      <c r="P65" s="611"/>
      <c r="Q65" s="611"/>
      <c r="R65" s="611"/>
      <c r="S65" s="611"/>
      <c r="T65" s="605"/>
      <c r="U65" s="605"/>
      <c r="V65" s="605"/>
      <c r="W65" s="605"/>
      <c r="X65" s="605"/>
    </row>
    <row r="66" spans="2:24">
      <c r="B66" s="611"/>
      <c r="C66" s="1746"/>
      <c r="D66" s="8"/>
      <c r="E66" s="8"/>
      <c r="F66" s="8"/>
      <c r="G66" s="8"/>
      <c r="H66" s="8"/>
      <c r="I66" s="8"/>
      <c r="J66" s="8"/>
      <c r="K66" s="8"/>
      <c r="L66" s="8"/>
      <c r="M66" s="609"/>
      <c r="N66" s="609"/>
      <c r="O66" s="611"/>
      <c r="P66" s="611"/>
      <c r="Q66" s="611"/>
      <c r="R66" s="611"/>
      <c r="S66" s="611"/>
      <c r="T66" s="605"/>
      <c r="U66" s="605"/>
      <c r="V66" s="605"/>
      <c r="W66" s="605"/>
      <c r="X66" s="605"/>
    </row>
    <row r="67" spans="2:24">
      <c r="B67" s="611"/>
      <c r="C67" s="1746"/>
      <c r="D67" s="8"/>
      <c r="E67" s="8"/>
      <c r="F67" s="8"/>
      <c r="G67" s="8"/>
      <c r="H67" s="8"/>
      <c r="I67" s="8"/>
      <c r="J67" s="8"/>
      <c r="K67" s="8"/>
      <c r="L67" s="8"/>
      <c r="M67" s="609"/>
      <c r="N67" s="609"/>
      <c r="O67" s="611"/>
      <c r="P67" s="611"/>
      <c r="Q67" s="611"/>
      <c r="R67" s="611"/>
      <c r="S67" s="611"/>
      <c r="T67" s="605"/>
      <c r="U67" s="605"/>
      <c r="V67" s="605"/>
      <c r="W67" s="605"/>
      <c r="X67" s="605"/>
    </row>
    <row r="68" spans="2:24">
      <c r="B68" s="611"/>
      <c r="C68" s="8"/>
      <c r="D68" s="8"/>
      <c r="E68" s="8"/>
      <c r="F68" s="8"/>
      <c r="G68" s="8"/>
      <c r="H68" s="8"/>
      <c r="I68" s="8"/>
      <c r="J68" s="8"/>
      <c r="K68" s="8"/>
      <c r="L68" s="8"/>
      <c r="M68" s="609"/>
      <c r="N68" s="609"/>
      <c r="O68" s="611"/>
      <c r="P68" s="611"/>
      <c r="Q68" s="611"/>
      <c r="R68" s="611"/>
      <c r="S68" s="611"/>
      <c r="T68" s="605"/>
      <c r="U68" s="605"/>
      <c r="V68" s="605"/>
      <c r="W68" s="605"/>
      <c r="X68" s="605"/>
    </row>
    <row r="69" spans="2:24">
      <c r="B69" s="611"/>
      <c r="C69" s="605"/>
      <c r="D69" s="605"/>
      <c r="E69" s="605"/>
      <c r="F69" s="605"/>
      <c r="G69" s="605"/>
      <c r="H69" s="605"/>
      <c r="I69" s="605"/>
      <c r="J69" s="605"/>
      <c r="K69" s="605"/>
      <c r="L69" s="605"/>
      <c r="M69" s="611"/>
      <c r="N69" s="611"/>
      <c r="O69" s="611"/>
      <c r="P69" s="611"/>
      <c r="Q69" s="611"/>
      <c r="R69" s="611"/>
      <c r="S69" s="611"/>
      <c r="T69" s="605"/>
      <c r="U69" s="605"/>
      <c r="V69" s="605"/>
      <c r="W69" s="605"/>
      <c r="X69" s="605"/>
    </row>
    <row r="70" spans="2:24">
      <c r="B70" s="611"/>
      <c r="C70" s="605"/>
      <c r="D70" s="603"/>
      <c r="E70" s="603"/>
      <c r="F70" s="603"/>
      <c r="G70" s="603"/>
      <c r="H70" s="603"/>
      <c r="I70" s="592"/>
      <c r="J70" s="605"/>
      <c r="K70" s="605"/>
      <c r="L70" s="605"/>
      <c r="M70" s="611"/>
      <c r="N70" s="611"/>
      <c r="O70" s="611"/>
      <c r="P70" s="611"/>
      <c r="Q70" s="611"/>
      <c r="R70" s="611"/>
      <c r="S70" s="611"/>
      <c r="T70" s="605"/>
      <c r="U70" s="605"/>
      <c r="V70" s="605"/>
      <c r="W70" s="605"/>
      <c r="X70" s="605"/>
    </row>
    <row r="71" spans="2:24">
      <c r="B71" s="611"/>
      <c r="C71" s="605"/>
      <c r="D71" s="596"/>
      <c r="E71" s="596"/>
      <c r="F71" s="596"/>
      <c r="G71" s="596"/>
      <c r="H71" s="596"/>
      <c r="I71" s="596"/>
      <c r="J71" s="605"/>
      <c r="K71" s="605"/>
      <c r="L71" s="605"/>
      <c r="M71" s="611"/>
      <c r="N71" s="611"/>
      <c r="O71" s="611"/>
      <c r="P71" s="611"/>
      <c r="Q71" s="611"/>
      <c r="R71" s="611"/>
      <c r="S71" s="611"/>
    </row>
    <row r="72" spans="2:24">
      <c r="B72" s="611"/>
      <c r="C72" s="605"/>
      <c r="D72" s="596"/>
      <c r="E72" s="596"/>
      <c r="F72" s="596"/>
      <c r="G72" s="1482"/>
      <c r="H72" s="1481"/>
      <c r="I72" s="596"/>
      <c r="J72" s="605"/>
      <c r="K72" s="605"/>
      <c r="L72" s="605"/>
      <c r="M72" s="611"/>
      <c r="N72" s="611"/>
      <c r="O72" s="611"/>
      <c r="P72" s="611"/>
      <c r="Q72" s="611"/>
      <c r="R72" s="611"/>
      <c r="S72" s="611"/>
    </row>
    <row r="73" spans="2:24">
      <c r="B73" s="611"/>
      <c r="C73" s="605"/>
      <c r="D73" s="1744"/>
      <c r="E73" s="596"/>
      <c r="F73" s="596"/>
      <c r="G73" s="1482"/>
      <c r="H73" s="1481"/>
      <c r="I73" s="596"/>
      <c r="J73" s="611"/>
      <c r="K73" s="621"/>
      <c r="L73" s="611"/>
      <c r="M73" s="611"/>
      <c r="N73" s="611"/>
      <c r="O73" s="611"/>
      <c r="P73" s="611"/>
      <c r="Q73" s="611"/>
      <c r="R73" s="611"/>
      <c r="S73" s="611"/>
    </row>
    <row r="74" spans="2:24">
      <c r="B74" s="611"/>
      <c r="C74" s="605"/>
      <c r="D74" s="596"/>
      <c r="E74" s="596"/>
      <c r="F74" s="596"/>
      <c r="G74" s="1482"/>
      <c r="H74" s="1481"/>
      <c r="I74" s="596"/>
      <c r="J74" s="611"/>
      <c r="K74" s="611"/>
      <c r="L74" s="611"/>
      <c r="M74" s="611"/>
      <c r="N74" s="611"/>
      <c r="O74" s="611"/>
      <c r="P74" s="611"/>
      <c r="Q74" s="611"/>
      <c r="R74" s="611"/>
      <c r="S74" s="611"/>
    </row>
    <row r="75" spans="2:24">
      <c r="B75" s="626"/>
      <c r="C75" s="605"/>
      <c r="D75" s="596"/>
      <c r="E75" s="596"/>
      <c r="F75" s="596"/>
      <c r="G75" s="1482"/>
      <c r="H75" s="1481"/>
      <c r="I75" s="596"/>
      <c r="J75" s="611"/>
      <c r="K75" s="611"/>
      <c r="L75" s="611"/>
      <c r="M75" s="611"/>
      <c r="N75" s="611"/>
      <c r="O75" s="611"/>
      <c r="P75" s="611"/>
      <c r="Q75" s="611"/>
      <c r="R75" s="611"/>
      <c r="S75" s="611"/>
    </row>
    <row r="76" spans="2:24">
      <c r="B76" s="626"/>
      <c r="C76" s="605"/>
      <c r="D76" s="596"/>
      <c r="E76" s="596"/>
      <c r="F76" s="596"/>
      <c r="G76" s="1482"/>
      <c r="H76" s="1481"/>
      <c r="I76" s="596"/>
      <c r="J76" s="611"/>
      <c r="K76" s="611"/>
      <c r="L76" s="611"/>
      <c r="M76" s="611"/>
      <c r="N76" s="611"/>
      <c r="O76" s="611"/>
      <c r="P76" s="611"/>
      <c r="Q76" s="611"/>
      <c r="R76" s="611"/>
      <c r="S76" s="611"/>
    </row>
    <row r="77" spans="2:24">
      <c r="B77" s="626"/>
      <c r="C77" s="605"/>
      <c r="D77" s="596"/>
      <c r="E77" s="596"/>
      <c r="F77" s="596"/>
      <c r="G77" s="1482"/>
      <c r="H77" s="1481"/>
      <c r="I77" s="596"/>
      <c r="J77" s="611"/>
      <c r="K77" s="611"/>
      <c r="L77" s="611"/>
      <c r="M77" s="611"/>
      <c r="N77" s="611"/>
      <c r="O77" s="611"/>
      <c r="P77" s="611"/>
      <c r="Q77" s="611"/>
      <c r="R77" s="611"/>
      <c r="S77" s="611"/>
    </row>
    <row r="78" spans="2:24">
      <c r="B78" s="626"/>
      <c r="C78" s="611"/>
      <c r="D78" s="611"/>
      <c r="E78" s="611"/>
      <c r="F78" s="611"/>
      <c r="G78" s="611"/>
      <c r="H78" s="611"/>
      <c r="I78" s="611"/>
      <c r="J78" s="611"/>
      <c r="K78" s="611"/>
      <c r="L78" s="611"/>
      <c r="M78" s="611"/>
      <c r="N78" s="611"/>
      <c r="O78" s="611"/>
      <c r="P78" s="611"/>
      <c r="Q78" s="611"/>
      <c r="R78" s="611"/>
      <c r="S78" s="611"/>
    </row>
    <row r="79" spans="2:24">
      <c r="B79" s="611"/>
      <c r="C79" s="611"/>
      <c r="D79" s="611"/>
      <c r="E79" s="596"/>
      <c r="F79" s="8"/>
      <c r="G79" s="8"/>
      <c r="H79" s="8"/>
      <c r="I79" s="596"/>
      <c r="J79" s="8"/>
      <c r="K79" s="8"/>
      <c r="L79" s="8"/>
      <c r="M79" s="596"/>
      <c r="N79" s="596"/>
      <c r="O79" s="611"/>
      <c r="P79" s="611"/>
      <c r="Q79" s="611"/>
      <c r="R79" s="611"/>
      <c r="S79" s="611"/>
    </row>
    <row r="80" spans="2:24">
      <c r="B80" s="627"/>
      <c r="C80" s="614"/>
      <c r="D80" s="596"/>
      <c r="E80" s="596"/>
      <c r="F80" s="8"/>
      <c r="G80" s="1745"/>
      <c r="H80" s="8"/>
      <c r="I80" s="8"/>
      <c r="J80" s="8"/>
      <c r="K80" s="1743"/>
      <c r="L80" s="8"/>
      <c r="M80" s="609"/>
      <c r="N80" s="609"/>
      <c r="O80" s="611"/>
      <c r="P80" s="611"/>
      <c r="Q80" s="611"/>
      <c r="R80" s="611"/>
      <c r="S80" s="611"/>
    </row>
    <row r="81" spans="2:19">
      <c r="B81" s="627"/>
      <c r="C81" s="614"/>
      <c r="D81" s="596"/>
      <c r="E81" s="596"/>
      <c r="F81" s="8"/>
      <c r="G81" s="1745"/>
      <c r="H81" s="8"/>
      <c r="I81" s="8"/>
      <c r="J81" s="8"/>
      <c r="K81" s="1743"/>
      <c r="L81" s="8"/>
      <c r="M81" s="609"/>
      <c r="N81" s="609"/>
      <c r="O81" s="611"/>
      <c r="P81" s="611"/>
      <c r="Q81" s="611"/>
      <c r="R81" s="611"/>
      <c r="S81" s="611"/>
    </row>
    <row r="82" spans="2:19">
      <c r="B82" s="611"/>
      <c r="C82" s="614"/>
      <c r="D82" s="596"/>
      <c r="E82" s="609"/>
      <c r="F82" s="8"/>
      <c r="G82" s="1745"/>
      <c r="H82" s="8"/>
      <c r="I82" s="8"/>
      <c r="J82" s="8"/>
      <c r="K82" s="1743"/>
      <c r="L82" s="8"/>
      <c r="M82" s="609"/>
      <c r="N82" s="609"/>
      <c r="O82" s="611"/>
      <c r="P82" s="611"/>
      <c r="Q82" s="611"/>
      <c r="R82" s="611"/>
      <c r="S82" s="611"/>
    </row>
    <row r="83" spans="2:19">
      <c r="B83" s="611"/>
      <c r="C83" s="614"/>
      <c r="D83" s="596"/>
      <c r="E83" s="609"/>
      <c r="F83" s="8"/>
      <c r="G83" s="1745"/>
      <c r="H83" s="8"/>
      <c r="I83" s="8"/>
      <c r="J83" s="8"/>
      <c r="K83" s="1743"/>
      <c r="L83" s="8"/>
      <c r="M83" s="609"/>
      <c r="N83" s="609"/>
      <c r="O83" s="611"/>
      <c r="P83" s="611"/>
      <c r="Q83" s="611"/>
      <c r="R83" s="611"/>
      <c r="S83" s="611"/>
    </row>
    <row r="84" spans="2:19">
      <c r="B84" s="611"/>
      <c r="C84" s="614"/>
      <c r="D84" s="596"/>
      <c r="E84" s="596"/>
      <c r="F84" s="8"/>
      <c r="G84" s="8"/>
      <c r="H84" s="8"/>
      <c r="I84" s="8"/>
      <c r="J84" s="8"/>
      <c r="K84" s="8"/>
      <c r="L84" s="8"/>
      <c r="M84" s="609"/>
      <c r="N84" s="609"/>
      <c r="O84" s="611"/>
      <c r="P84" s="611"/>
      <c r="Q84" s="611"/>
      <c r="R84" s="611"/>
      <c r="S84" s="611"/>
    </row>
    <row r="85" spans="2:19">
      <c r="B85" s="611"/>
      <c r="C85" s="614"/>
      <c r="D85" s="596"/>
      <c r="E85" s="596"/>
      <c r="F85" s="8"/>
      <c r="G85" s="8"/>
      <c r="H85" s="8"/>
      <c r="I85" s="8"/>
      <c r="J85" s="8"/>
      <c r="K85" s="8"/>
      <c r="L85" s="8"/>
      <c r="M85" s="609"/>
      <c r="N85" s="609"/>
      <c r="O85" s="611"/>
      <c r="P85" s="611"/>
      <c r="Q85" s="611"/>
      <c r="R85" s="611"/>
      <c r="S85" s="611"/>
    </row>
    <row r="86" spans="2:19">
      <c r="B86" s="611"/>
      <c r="C86" s="614"/>
      <c r="D86" s="596"/>
      <c r="E86" s="609"/>
      <c r="F86" s="8"/>
      <c r="G86" s="8"/>
      <c r="H86" s="8"/>
      <c r="I86" s="8"/>
      <c r="J86" s="8"/>
      <c r="K86" s="8"/>
      <c r="L86" s="8"/>
      <c r="M86" s="609"/>
      <c r="N86" s="609"/>
      <c r="O86" s="611"/>
      <c r="P86" s="611"/>
      <c r="Q86" s="611"/>
      <c r="R86" s="611"/>
      <c r="S86" s="611"/>
    </row>
    <row r="87" spans="2:19">
      <c r="B87" s="611"/>
      <c r="C87" s="614"/>
      <c r="D87" s="596"/>
      <c r="E87" s="609"/>
      <c r="F87" s="8"/>
      <c r="G87" s="8"/>
      <c r="H87" s="8"/>
      <c r="I87" s="8"/>
      <c r="J87" s="8"/>
      <c r="K87" s="8"/>
      <c r="L87" s="8"/>
      <c r="M87" s="609"/>
      <c r="N87" s="609"/>
      <c r="O87" s="611"/>
      <c r="P87" s="611"/>
      <c r="Q87" s="611"/>
      <c r="R87" s="611"/>
      <c r="S87" s="611"/>
    </row>
    <row r="88" spans="2:19">
      <c r="B88" s="611"/>
      <c r="C88" s="1746"/>
      <c r="D88" s="609"/>
      <c r="E88" s="609"/>
      <c r="F88" s="8"/>
      <c r="G88" s="8"/>
      <c r="H88" s="8"/>
      <c r="I88" s="8"/>
      <c r="J88" s="8"/>
      <c r="K88" s="8"/>
      <c r="L88" s="8"/>
      <c r="M88" s="609"/>
      <c r="N88" s="609"/>
      <c r="O88" s="611"/>
      <c r="P88" s="611"/>
      <c r="Q88" s="611"/>
      <c r="R88" s="611"/>
      <c r="S88" s="611"/>
    </row>
    <row r="89" spans="2:19">
      <c r="B89" s="611"/>
      <c r="C89" s="1746"/>
      <c r="D89" s="8"/>
      <c r="E89" s="8"/>
      <c r="F89" s="8"/>
      <c r="G89" s="8"/>
      <c r="H89" s="8"/>
      <c r="I89" s="8"/>
      <c r="J89" s="8"/>
      <c r="K89" s="8"/>
      <c r="L89" s="8"/>
      <c r="M89" s="609"/>
      <c r="N89" s="609"/>
      <c r="O89" s="611"/>
      <c r="P89" s="611"/>
      <c r="Q89" s="611"/>
      <c r="R89" s="611"/>
      <c r="S89" s="611"/>
    </row>
    <row r="90" spans="2:19">
      <c r="B90" s="611"/>
      <c r="C90" s="1746"/>
      <c r="D90" s="8"/>
      <c r="E90" s="8"/>
      <c r="F90" s="8"/>
      <c r="G90" s="8"/>
      <c r="H90" s="8"/>
      <c r="I90" s="8"/>
      <c r="J90" s="8"/>
      <c r="K90" s="8"/>
      <c r="L90" s="8"/>
      <c r="M90" s="609"/>
      <c r="N90" s="609"/>
      <c r="O90" s="611"/>
      <c r="P90" s="611"/>
      <c r="Q90" s="611"/>
      <c r="R90" s="611"/>
      <c r="S90" s="611"/>
    </row>
    <row r="91" spans="2:19">
      <c r="B91" s="611"/>
      <c r="C91" s="8"/>
      <c r="D91" s="8"/>
      <c r="E91" s="8"/>
      <c r="F91" s="8"/>
      <c r="G91" s="8"/>
      <c r="H91" s="8"/>
      <c r="I91" s="8"/>
      <c r="J91" s="8"/>
      <c r="K91" s="8"/>
      <c r="L91" s="8"/>
      <c r="M91" s="609"/>
      <c r="N91" s="609"/>
      <c r="O91" s="611"/>
      <c r="P91" s="611"/>
      <c r="Q91" s="611"/>
      <c r="R91" s="611"/>
      <c r="S91" s="611"/>
    </row>
    <row r="92" spans="2:19">
      <c r="B92" s="611"/>
      <c r="O92" s="611"/>
      <c r="P92" s="611"/>
      <c r="Q92" s="611"/>
      <c r="R92" s="611"/>
      <c r="S92" s="611"/>
    </row>
    <row r="93" spans="2:19">
      <c r="B93" s="611"/>
      <c r="O93" s="611"/>
      <c r="P93" s="611"/>
      <c r="Q93" s="611"/>
      <c r="R93" s="611"/>
      <c r="S93" s="611"/>
    </row>
    <row r="94" spans="2:19">
      <c r="B94" s="611"/>
      <c r="O94" s="611"/>
      <c r="P94" s="611"/>
      <c r="Q94" s="611"/>
      <c r="R94" s="611"/>
      <c r="S94" s="611"/>
    </row>
    <row r="95" spans="2:19">
      <c r="B95" s="611"/>
      <c r="O95" s="611"/>
      <c r="P95" s="611"/>
      <c r="Q95" s="611"/>
      <c r="R95" s="611"/>
      <c r="S95" s="611"/>
    </row>
    <row r="96" spans="2:19">
      <c r="B96" s="614"/>
      <c r="C96" s="624"/>
      <c r="D96" s="611"/>
      <c r="E96" s="615"/>
      <c r="F96" s="611"/>
      <c r="G96" s="611"/>
      <c r="H96" s="611"/>
      <c r="I96" s="611"/>
      <c r="J96" s="611"/>
      <c r="K96" s="611"/>
      <c r="L96" s="611"/>
      <c r="M96" s="611"/>
      <c r="N96" s="611"/>
      <c r="O96" s="611"/>
      <c r="P96" s="611"/>
      <c r="Q96" s="611"/>
      <c r="R96" s="611"/>
      <c r="S96" s="611"/>
    </row>
    <row r="97" spans="2:19">
      <c r="B97" s="614"/>
      <c r="C97" s="624"/>
      <c r="D97" s="611"/>
      <c r="E97" s="615"/>
      <c r="F97" s="611"/>
      <c r="G97" s="611"/>
      <c r="H97" s="611"/>
      <c r="I97" s="611"/>
      <c r="J97" s="611"/>
      <c r="K97" s="611"/>
      <c r="L97" s="611"/>
      <c r="M97" s="611"/>
      <c r="N97" s="611"/>
      <c r="O97" s="611"/>
      <c r="P97" s="611"/>
      <c r="Q97" s="611"/>
      <c r="R97" s="611"/>
      <c r="S97" s="611"/>
    </row>
    <row r="98" spans="2:19">
      <c r="B98" s="614"/>
      <c r="C98" s="625"/>
      <c r="D98" s="611"/>
      <c r="E98" s="615"/>
      <c r="F98" s="611"/>
      <c r="G98" s="611"/>
      <c r="H98" s="611"/>
      <c r="I98" s="611"/>
      <c r="J98" s="611"/>
      <c r="K98" s="611"/>
      <c r="L98" s="611"/>
      <c r="M98" s="611"/>
      <c r="N98" s="611"/>
      <c r="O98" s="611"/>
      <c r="P98" s="611"/>
      <c r="Q98" s="611"/>
      <c r="R98" s="611"/>
      <c r="S98" s="611"/>
    </row>
    <row r="99" spans="2:19">
      <c r="B99" s="614"/>
      <c r="C99" s="628"/>
      <c r="D99" s="611"/>
      <c r="E99" s="616"/>
      <c r="F99" s="611"/>
      <c r="G99" s="611"/>
      <c r="H99" s="611"/>
      <c r="I99" s="611"/>
      <c r="J99" s="611"/>
      <c r="K99" s="611"/>
      <c r="L99" s="611"/>
      <c r="M99" s="611"/>
      <c r="N99" s="611"/>
      <c r="O99" s="611"/>
      <c r="P99" s="611"/>
      <c r="Q99" s="611"/>
      <c r="R99" s="611"/>
      <c r="S99" s="611"/>
    </row>
    <row r="100" spans="2:19">
      <c r="B100" s="614"/>
      <c r="C100" s="628"/>
      <c r="D100" s="611"/>
      <c r="E100" s="616"/>
      <c r="F100" s="611"/>
      <c r="G100" s="611"/>
      <c r="H100" s="611"/>
      <c r="I100" s="611"/>
      <c r="J100" s="611"/>
      <c r="K100" s="611"/>
      <c r="L100" s="611"/>
      <c r="M100" s="611"/>
      <c r="N100" s="611"/>
      <c r="O100" s="611"/>
      <c r="P100" s="611"/>
      <c r="Q100" s="611"/>
      <c r="R100" s="611"/>
      <c r="S100" s="611"/>
    </row>
    <row r="101" spans="2:19">
      <c r="B101" s="611"/>
      <c r="C101" s="611"/>
      <c r="D101" s="611"/>
      <c r="E101" s="611"/>
      <c r="F101" s="611"/>
      <c r="G101" s="611"/>
      <c r="H101" s="611"/>
      <c r="I101" s="611"/>
      <c r="J101" s="611"/>
      <c r="K101" s="611"/>
      <c r="L101" s="611"/>
      <c r="M101" s="611"/>
      <c r="N101" s="611"/>
      <c r="O101" s="611"/>
      <c r="P101" s="611"/>
      <c r="Q101" s="611"/>
      <c r="R101" s="611"/>
      <c r="S101" s="611"/>
    </row>
    <row r="102" spans="2:19">
      <c r="B102" s="611"/>
      <c r="C102" s="611"/>
      <c r="D102" s="611"/>
      <c r="E102" s="611"/>
      <c r="F102" s="611"/>
      <c r="G102" s="611"/>
      <c r="H102" s="611"/>
      <c r="I102" s="611"/>
      <c r="J102" s="611"/>
      <c r="K102" s="611"/>
      <c r="L102" s="611"/>
      <c r="M102" s="611"/>
      <c r="N102" s="611"/>
      <c r="O102" s="611"/>
      <c r="P102" s="611"/>
      <c r="Q102" s="611"/>
      <c r="R102" s="611"/>
      <c r="S102" s="611"/>
    </row>
    <row r="103" spans="2:19">
      <c r="B103" s="611"/>
      <c r="C103" s="611"/>
      <c r="D103" s="611"/>
      <c r="E103" s="611"/>
      <c r="F103" s="611"/>
      <c r="G103" s="611"/>
      <c r="H103" s="611"/>
      <c r="I103" s="611"/>
      <c r="J103" s="611"/>
      <c r="K103" s="611"/>
      <c r="L103" s="611"/>
      <c r="M103" s="611"/>
      <c r="N103" s="611"/>
      <c r="O103" s="611"/>
      <c r="P103" s="611"/>
      <c r="Q103" s="611"/>
      <c r="R103" s="611"/>
      <c r="S103" s="611"/>
    </row>
    <row r="104" spans="2:19">
      <c r="B104" s="611"/>
      <c r="C104" s="611"/>
      <c r="D104" s="611"/>
      <c r="E104" s="611"/>
      <c r="F104" s="611"/>
      <c r="G104" s="611"/>
      <c r="H104" s="611"/>
      <c r="I104" s="611"/>
      <c r="J104" s="611"/>
      <c r="K104" s="611"/>
      <c r="L104" s="611"/>
      <c r="M104" s="611"/>
      <c r="N104" s="611"/>
      <c r="O104" s="611"/>
      <c r="P104" s="611"/>
      <c r="Q104" s="611"/>
      <c r="R104" s="611"/>
      <c r="S104" s="611"/>
    </row>
    <row r="105" spans="2:19">
      <c r="B105" s="611"/>
      <c r="C105" s="611"/>
      <c r="D105" s="611"/>
      <c r="E105" s="611"/>
      <c r="F105" s="611"/>
      <c r="G105" s="611"/>
      <c r="H105" s="611"/>
      <c r="I105" s="611"/>
      <c r="J105" s="611"/>
      <c r="K105" s="611"/>
      <c r="L105" s="611"/>
      <c r="M105" s="611"/>
      <c r="N105" s="611"/>
      <c r="O105" s="611"/>
      <c r="P105" s="611"/>
      <c r="Q105" s="611"/>
      <c r="R105" s="611"/>
      <c r="S105" s="611"/>
    </row>
    <row r="106" spans="2:19">
      <c r="B106" s="611"/>
      <c r="C106" s="611"/>
      <c r="D106" s="611"/>
      <c r="E106" s="611"/>
      <c r="F106" s="611"/>
      <c r="G106" s="611"/>
      <c r="H106" s="611"/>
      <c r="I106" s="611"/>
      <c r="J106" s="611"/>
      <c r="K106" s="611"/>
      <c r="L106" s="611"/>
      <c r="M106" s="611"/>
      <c r="N106" s="611"/>
      <c r="O106" s="611"/>
      <c r="P106" s="611"/>
      <c r="Q106" s="611"/>
      <c r="R106" s="611"/>
      <c r="S106" s="611"/>
    </row>
    <row r="107" spans="2:19">
      <c r="B107" s="611"/>
      <c r="C107" s="611"/>
      <c r="D107" s="611"/>
      <c r="E107" s="611"/>
      <c r="F107" s="611"/>
      <c r="G107" s="611"/>
      <c r="H107" s="611"/>
      <c r="I107" s="611"/>
      <c r="J107" s="611"/>
      <c r="K107" s="611"/>
      <c r="L107" s="611"/>
      <c r="M107" s="611"/>
      <c r="N107" s="611"/>
      <c r="O107" s="611"/>
      <c r="P107" s="611"/>
      <c r="Q107" s="611"/>
      <c r="R107" s="611"/>
      <c r="S107" s="611"/>
    </row>
    <row r="108" spans="2:19">
      <c r="B108" s="611"/>
      <c r="C108" s="611"/>
      <c r="D108" s="611"/>
      <c r="E108" s="611"/>
      <c r="F108" s="611"/>
      <c r="G108" s="611"/>
      <c r="H108" s="611"/>
      <c r="I108" s="611"/>
      <c r="J108" s="611"/>
      <c r="K108" s="611"/>
      <c r="L108" s="611"/>
      <c r="M108" s="611"/>
      <c r="N108" s="611"/>
      <c r="O108" s="611"/>
      <c r="P108" s="611"/>
      <c r="Q108" s="611"/>
      <c r="R108" s="611"/>
      <c r="S108" s="611"/>
    </row>
    <row r="140" ht="16" customHeight="1"/>
    <row r="146" ht="17" customHeight="1"/>
    <row r="157" ht="16" customHeight="1"/>
  </sheetData>
  <sheetProtection algorithmName="SHA-512" hashValue="pjpmuMQx7mrFZUvyoRaO48nTayddj58iFvLoOYPNc78sF/Zob3Vg1Nz8Z4IAMaYnALKefqDRahBSZlF0veUt0A==" saltValue="SvSKuCkPoIvbOV0FyVa0yw==" spinCount="100000" sheet="1" objects="1" scenarios="1"/>
  <mergeCells count="29">
    <mergeCell ref="D5:S5"/>
    <mergeCell ref="D22:S22"/>
    <mergeCell ref="U8:X8"/>
    <mergeCell ref="U10:V10"/>
    <mergeCell ref="U11:V11"/>
    <mergeCell ref="U12:V12"/>
    <mergeCell ref="U13:V13"/>
    <mergeCell ref="U14:V14"/>
    <mergeCell ref="Q6:R6"/>
    <mergeCell ref="W14:X14"/>
    <mergeCell ref="W10:X10"/>
    <mergeCell ref="W11:X11"/>
    <mergeCell ref="W12:X12"/>
    <mergeCell ref="W13:X13"/>
    <mergeCell ref="D7:D11"/>
    <mergeCell ref="D12:D15"/>
    <mergeCell ref="D16:D18"/>
    <mergeCell ref="Z7:AE7"/>
    <mergeCell ref="Z14:AE14"/>
    <mergeCell ref="AB46:AC46"/>
    <mergeCell ref="D33:D36"/>
    <mergeCell ref="Q23:R23"/>
    <mergeCell ref="D24:D27"/>
    <mergeCell ref="D28:D32"/>
    <mergeCell ref="Y24:Z24"/>
    <mergeCell ref="Y41:Z41"/>
    <mergeCell ref="AB43:AC43"/>
    <mergeCell ref="AB44:AC44"/>
    <mergeCell ref="AB45:AC4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BE759-9E29-2E4E-9688-BD1C2C8BDDDB}">
  <sheetPr codeName="Sheet13">
    <tabColor theme="6"/>
  </sheetPr>
  <dimension ref="B1:BA3000"/>
  <sheetViews>
    <sheetView zoomScale="65" zoomScaleNormal="100" workbookViewId="0">
      <selection activeCell="H59" sqref="H59"/>
    </sheetView>
  </sheetViews>
  <sheetFormatPr baseColWidth="10" defaultRowHeight="16"/>
  <cols>
    <col min="2" max="2" width="7.1640625" style="177" bestFit="1" customWidth="1"/>
    <col min="4" max="4" width="12.5" bestFit="1" customWidth="1"/>
    <col min="5" max="5" width="10.83203125" style="175"/>
    <col min="7" max="8" width="10.83203125" style="177"/>
  </cols>
  <sheetData>
    <row r="1" spans="2:53" ht="26">
      <c r="B1" s="178"/>
      <c r="C1" s="768" t="s">
        <v>3390</v>
      </c>
      <c r="D1" s="767" t="str">
        <f>'Data Tables'!C8</f>
        <v>Damage costs for pollutants at different region in road transport sector</v>
      </c>
      <c r="E1" s="71"/>
      <c r="G1"/>
      <c r="H1"/>
    </row>
    <row r="2" spans="2:53" ht="24">
      <c r="B2" s="758"/>
      <c r="C2" s="771" t="s">
        <v>3366</v>
      </c>
      <c r="D2" s="758" t="s">
        <v>3426</v>
      </c>
      <c r="E2" s="757"/>
      <c r="G2"/>
      <c r="H2"/>
      <c r="R2" s="756" t="s">
        <v>3376</v>
      </c>
    </row>
    <row r="3" spans="2:53" ht="24">
      <c r="B3" s="758"/>
      <c r="C3" s="759"/>
      <c r="D3" s="758" t="s">
        <v>3381</v>
      </c>
      <c r="E3" s="757"/>
      <c r="G3"/>
      <c r="H3"/>
      <c r="R3" s="756" t="s">
        <v>3371</v>
      </c>
    </row>
    <row r="4" spans="2:53" ht="24">
      <c r="B4" s="758"/>
      <c r="C4" s="759"/>
      <c r="D4" s="758" t="s">
        <v>3377</v>
      </c>
      <c r="E4" s="757"/>
      <c r="G4"/>
      <c r="H4"/>
      <c r="R4" s="756" t="s">
        <v>3375</v>
      </c>
    </row>
    <row r="5" spans="2:53" ht="24">
      <c r="B5" s="758"/>
      <c r="C5" s="759"/>
      <c r="D5" s="758" t="s">
        <v>3380</v>
      </c>
      <c r="E5" s="757"/>
      <c r="G5"/>
      <c r="H5"/>
      <c r="R5" s="756" t="s">
        <v>3379</v>
      </c>
    </row>
    <row r="6" spans="2:53" ht="25" thickBot="1">
      <c r="B6" s="758"/>
      <c r="C6" s="759"/>
      <c r="D6" s="758" t="s">
        <v>3378</v>
      </c>
      <c r="E6" s="757"/>
      <c r="G6"/>
      <c r="H6"/>
      <c r="R6" s="756" t="s">
        <v>3374</v>
      </c>
    </row>
    <row r="7" spans="2:53" ht="17" thickBot="1">
      <c r="B7"/>
      <c r="C7" s="231"/>
      <c r="D7" s="231"/>
      <c r="E7" s="71"/>
      <c r="G7"/>
      <c r="H7"/>
      <c r="AF7" s="16" t="s">
        <v>150</v>
      </c>
      <c r="AG7" s="17" t="s">
        <v>42</v>
      </c>
      <c r="AH7" s="17" t="s">
        <v>29</v>
      </c>
      <c r="AI7" s="64" t="s">
        <v>119</v>
      </c>
      <c r="AJ7" s="64" t="s">
        <v>120</v>
      </c>
      <c r="AK7" s="66" t="s">
        <v>121</v>
      </c>
      <c r="AL7" s="64" t="s">
        <v>125</v>
      </c>
      <c r="AM7" s="65" t="s">
        <v>123</v>
      </c>
      <c r="AN7" s="66" t="s">
        <v>124</v>
      </c>
      <c r="AO7" s="68" t="s">
        <v>25</v>
      </c>
      <c r="AP7" s="66" t="s">
        <v>26</v>
      </c>
      <c r="AV7" s="176"/>
      <c r="AW7" s="176"/>
      <c r="AX7" s="2236" t="s">
        <v>227</v>
      </c>
      <c r="AY7" s="2236"/>
      <c r="AZ7" s="2236"/>
      <c r="BA7" s="176"/>
    </row>
    <row r="8" spans="2:53" ht="17" thickBot="1">
      <c r="B8" s="702"/>
      <c r="C8" s="714" t="s">
        <v>26</v>
      </c>
      <c r="D8" s="714" t="s">
        <v>25</v>
      </c>
      <c r="E8" s="71"/>
      <c r="G8"/>
      <c r="H8"/>
      <c r="AF8" s="18" t="s">
        <v>30</v>
      </c>
      <c r="AG8" s="19" t="s">
        <v>31</v>
      </c>
      <c r="AH8" s="19" t="s">
        <v>32</v>
      </c>
      <c r="AI8" s="67">
        <v>3</v>
      </c>
      <c r="AJ8" s="104">
        <v>9721</v>
      </c>
      <c r="AK8" s="104">
        <v>3361</v>
      </c>
      <c r="AL8" s="67" t="s">
        <v>122</v>
      </c>
      <c r="AM8" s="104">
        <v>0</v>
      </c>
      <c r="AN8" s="20">
        <v>1</v>
      </c>
      <c r="AO8" s="69">
        <v>1111831</v>
      </c>
      <c r="AP8" s="70">
        <v>57517</v>
      </c>
      <c r="AR8" s="71"/>
      <c r="AT8" t="s">
        <v>117</v>
      </c>
      <c r="AV8" s="176"/>
      <c r="AW8" s="176"/>
      <c r="AX8" s="176"/>
      <c r="AY8" s="158" t="s">
        <v>26</v>
      </c>
      <c r="AZ8" s="158" t="s">
        <v>25</v>
      </c>
      <c r="BA8" s="176"/>
    </row>
    <row r="9" spans="2:53">
      <c r="B9" s="415" t="s">
        <v>266</v>
      </c>
      <c r="C9" s="1111">
        <v>12994</v>
      </c>
      <c r="D9" s="1111">
        <v>247045</v>
      </c>
      <c r="E9" s="179"/>
    </row>
    <row r="10" spans="2:53">
      <c r="B10" s="412" t="s">
        <v>267</v>
      </c>
      <c r="C10" s="1112">
        <v>12994</v>
      </c>
      <c r="D10" s="1112">
        <v>247045</v>
      </c>
    </row>
    <row r="11" spans="2:53">
      <c r="B11" s="412" t="s">
        <v>268</v>
      </c>
      <c r="C11" s="1112">
        <v>13898.421580928481</v>
      </c>
      <c r="D11" s="1112">
        <v>264537.28105395235</v>
      </c>
    </row>
    <row r="12" spans="2:53">
      <c r="B12" s="412" t="s">
        <v>269</v>
      </c>
      <c r="C12" s="1112">
        <v>13064.139534883721</v>
      </c>
      <c r="D12" s="1112">
        <v>248401.55813953487</v>
      </c>
      <c r="E12" s="179"/>
    </row>
    <row r="13" spans="2:53">
      <c r="B13" s="412" t="s">
        <v>270</v>
      </c>
      <c r="C13" s="1112">
        <v>13015.239436619719</v>
      </c>
      <c r="D13" s="1112">
        <v>247455.78873239437</v>
      </c>
    </row>
    <row r="14" spans="2:53">
      <c r="B14" s="412" t="s">
        <v>271</v>
      </c>
      <c r="C14" s="1112">
        <v>13010.943820224718</v>
      </c>
      <c r="D14" s="1112">
        <v>247372.70786516854</v>
      </c>
    </row>
    <row r="15" spans="2:53">
      <c r="B15" s="412" t="s">
        <v>272</v>
      </c>
      <c r="C15" s="1112">
        <v>12994</v>
      </c>
      <c r="D15" s="1112">
        <v>247045</v>
      </c>
      <c r="E15" s="179"/>
    </row>
    <row r="16" spans="2:53">
      <c r="B16" s="412" t="s">
        <v>273</v>
      </c>
      <c r="C16" s="1112">
        <v>14000.628865979381</v>
      </c>
      <c r="D16" s="1112">
        <v>266514.05670103093</v>
      </c>
    </row>
    <row r="17" spans="2:6">
      <c r="B17" s="412" t="s">
        <v>274</v>
      </c>
      <c r="C17" s="1112">
        <v>12994</v>
      </c>
      <c r="D17" s="1112">
        <v>247045</v>
      </c>
    </row>
    <row r="18" spans="2:6">
      <c r="B18" s="412" t="s">
        <v>275</v>
      </c>
      <c r="C18" s="1112">
        <v>14200.4</v>
      </c>
      <c r="D18" s="1112">
        <v>270377.8</v>
      </c>
      <c r="E18" s="179"/>
    </row>
    <row r="19" spans="2:6">
      <c r="B19" s="412" t="s">
        <v>276</v>
      </c>
      <c r="C19" s="1112">
        <v>12994</v>
      </c>
      <c r="D19" s="1112">
        <v>247045</v>
      </c>
    </row>
    <row r="20" spans="2:6">
      <c r="B20" s="412" t="s">
        <v>277</v>
      </c>
      <c r="C20" s="1112">
        <v>12994</v>
      </c>
      <c r="D20" s="1112">
        <v>247045</v>
      </c>
      <c r="F20" s="231"/>
    </row>
    <row r="21" spans="2:6">
      <c r="B21" s="412" t="s">
        <v>278</v>
      </c>
      <c r="C21" s="1112">
        <v>15961.974522292994</v>
      </c>
      <c r="D21" s="1112">
        <v>304448.14649681526</v>
      </c>
      <c r="E21" s="179"/>
    </row>
    <row r="22" spans="2:6">
      <c r="B22" s="412" t="s">
        <v>279</v>
      </c>
      <c r="C22" s="1112">
        <v>16000.676970633695</v>
      </c>
      <c r="D22" s="1112">
        <v>305196.68469860894</v>
      </c>
    </row>
    <row r="23" spans="2:6">
      <c r="B23" s="412" t="s">
        <v>280</v>
      </c>
      <c r="C23" s="1112">
        <v>16001.668508287294</v>
      </c>
      <c r="D23" s="1112">
        <v>305215.86187845306</v>
      </c>
    </row>
    <row r="24" spans="2:6">
      <c r="B24" s="412" t="s">
        <v>281</v>
      </c>
      <c r="C24" s="1112">
        <v>16010</v>
      </c>
      <c r="D24" s="1112">
        <v>305377</v>
      </c>
      <c r="E24" s="179"/>
    </row>
    <row r="25" spans="2:6">
      <c r="B25" s="412" t="s">
        <v>282</v>
      </c>
      <c r="C25" s="1112">
        <v>16010</v>
      </c>
      <c r="D25" s="1112">
        <v>305377</v>
      </c>
    </row>
    <row r="26" spans="2:6">
      <c r="B26" s="412" t="s">
        <v>283</v>
      </c>
      <c r="C26" s="1112">
        <v>16010</v>
      </c>
      <c r="D26" s="1112">
        <v>305377</v>
      </c>
    </row>
    <row r="27" spans="2:6">
      <c r="B27" s="412" t="s">
        <v>284</v>
      </c>
      <c r="C27" s="1112">
        <v>16010</v>
      </c>
      <c r="D27" s="1112">
        <v>305377</v>
      </c>
      <c r="E27" s="179"/>
    </row>
    <row r="28" spans="2:6">
      <c r="B28" s="412" t="s">
        <v>285</v>
      </c>
      <c r="C28" s="1112">
        <v>10868.71264367816</v>
      </c>
      <c r="D28" s="1112">
        <v>203861.13793103449</v>
      </c>
    </row>
    <row r="29" spans="2:6">
      <c r="B29" s="412" t="s">
        <v>286</v>
      </c>
      <c r="C29" s="1112">
        <v>10844</v>
      </c>
      <c r="D29" s="1112">
        <v>203359</v>
      </c>
    </row>
    <row r="30" spans="2:6">
      <c r="B30" s="412" t="s">
        <v>287</v>
      </c>
      <c r="C30" s="1112">
        <v>16010</v>
      </c>
      <c r="D30" s="1112">
        <v>305377</v>
      </c>
      <c r="E30" s="179"/>
    </row>
    <row r="31" spans="2:6">
      <c r="B31" s="412" t="s">
        <v>288</v>
      </c>
      <c r="C31" s="1112">
        <v>16010</v>
      </c>
      <c r="D31" s="1112">
        <v>305377</v>
      </c>
    </row>
    <row r="32" spans="2:6">
      <c r="B32" s="412" t="s">
        <v>289</v>
      </c>
      <c r="C32" s="1112">
        <v>16010</v>
      </c>
      <c r="D32" s="1112">
        <v>305377</v>
      </c>
    </row>
    <row r="33" spans="2:5">
      <c r="B33" s="412" t="s">
        <v>290</v>
      </c>
      <c r="C33" s="1112">
        <v>16010</v>
      </c>
      <c r="D33" s="1112">
        <v>305377</v>
      </c>
      <c r="E33" s="179"/>
    </row>
    <row r="34" spans="2:5">
      <c r="B34" s="412" t="s">
        <v>291</v>
      </c>
      <c r="C34" s="1112">
        <v>16010</v>
      </c>
      <c r="D34" s="1112">
        <v>305377</v>
      </c>
    </row>
    <row r="35" spans="2:5">
      <c r="B35" s="412" t="s">
        <v>292</v>
      </c>
      <c r="C35" s="1112">
        <v>15993.227272727272</v>
      </c>
      <c r="D35" s="1112">
        <v>305045.77272727271</v>
      </c>
    </row>
    <row r="36" spans="2:5">
      <c r="B36" s="412" t="s">
        <v>293</v>
      </c>
      <c r="C36" s="1112">
        <v>16010</v>
      </c>
      <c r="D36" s="1112">
        <v>305377</v>
      </c>
      <c r="E36" s="179"/>
    </row>
    <row r="37" spans="2:5">
      <c r="B37" s="412" t="s">
        <v>294</v>
      </c>
      <c r="C37" s="1112">
        <v>16010</v>
      </c>
      <c r="D37" s="1112">
        <v>305377</v>
      </c>
    </row>
    <row r="38" spans="2:5">
      <c r="B38" s="412" t="s">
        <v>295</v>
      </c>
      <c r="C38" s="1112">
        <v>16010</v>
      </c>
      <c r="D38" s="1112">
        <v>305377</v>
      </c>
    </row>
    <row r="39" spans="2:5">
      <c r="B39" s="412" t="s">
        <v>296</v>
      </c>
      <c r="C39" s="1112">
        <v>15537.5</v>
      </c>
      <c r="D39" s="1112">
        <v>296046.08536585368</v>
      </c>
      <c r="E39" s="179"/>
    </row>
    <row r="40" spans="2:5">
      <c r="B40" s="412" t="s">
        <v>297</v>
      </c>
      <c r="C40" s="1112">
        <v>10916.760563380281</v>
      </c>
      <c r="D40" s="1112">
        <v>204795.87323943662</v>
      </c>
    </row>
    <row r="41" spans="2:5">
      <c r="B41" s="412" t="s">
        <v>298</v>
      </c>
      <c r="C41" s="1112">
        <v>10892.507042253521</v>
      </c>
      <c r="D41" s="1112">
        <v>204316.91549295775</v>
      </c>
    </row>
    <row r="42" spans="2:5">
      <c r="B42" s="412" t="s">
        <v>299</v>
      </c>
      <c r="C42" s="1112">
        <v>12994</v>
      </c>
      <c r="D42" s="1112">
        <v>247045</v>
      </c>
      <c r="E42" s="179"/>
    </row>
    <row r="43" spans="2:5">
      <c r="B43" s="412" t="s">
        <v>300</v>
      </c>
      <c r="C43" s="1112">
        <v>12994</v>
      </c>
      <c r="D43" s="1112">
        <v>247045</v>
      </c>
    </row>
    <row r="44" spans="2:5">
      <c r="B44" s="412" t="s">
        <v>301</v>
      </c>
      <c r="C44" s="1112">
        <v>12994</v>
      </c>
      <c r="D44" s="1112">
        <v>247045</v>
      </c>
    </row>
    <row r="45" spans="2:5">
      <c r="B45" s="412" t="s">
        <v>302</v>
      </c>
      <c r="C45" s="1112">
        <v>12994</v>
      </c>
      <c r="D45" s="1112">
        <v>247045</v>
      </c>
      <c r="E45" s="179"/>
    </row>
    <row r="46" spans="2:5">
      <c r="B46" s="412" t="s">
        <v>303</v>
      </c>
      <c r="C46" s="1112">
        <v>12997.174736842106</v>
      </c>
      <c r="D46" s="1112">
        <v>247106.40210526317</v>
      </c>
    </row>
    <row r="47" spans="2:5">
      <c r="B47" s="412" t="s">
        <v>304</v>
      </c>
      <c r="C47" s="1112">
        <v>12994</v>
      </c>
      <c r="D47" s="1112">
        <v>247045</v>
      </c>
    </row>
    <row r="48" spans="2:5">
      <c r="B48" s="412" t="s">
        <v>305</v>
      </c>
      <c r="C48" s="1112">
        <v>13002.511759172154</v>
      </c>
      <c r="D48" s="1112">
        <v>247209.62464722485</v>
      </c>
      <c r="E48" s="179"/>
    </row>
    <row r="49" spans="2:5">
      <c r="B49" s="412" t="s">
        <v>306</v>
      </c>
      <c r="C49" s="1112">
        <v>12994</v>
      </c>
      <c r="D49" s="1112">
        <v>247045</v>
      </c>
    </row>
    <row r="50" spans="2:5">
      <c r="B50" s="412" t="s">
        <v>307</v>
      </c>
      <c r="C50" s="1112">
        <v>12994</v>
      </c>
      <c r="D50" s="1112">
        <v>247045</v>
      </c>
    </row>
    <row r="51" spans="2:5">
      <c r="B51" s="412" t="s">
        <v>308</v>
      </c>
      <c r="C51" s="1112">
        <v>12994</v>
      </c>
      <c r="D51" s="1112">
        <v>247045</v>
      </c>
      <c r="E51" s="179"/>
    </row>
    <row r="52" spans="2:5" ht="17" thickBot="1">
      <c r="B52" s="413" t="s">
        <v>309</v>
      </c>
      <c r="C52" s="1113">
        <v>12994</v>
      </c>
      <c r="D52" s="1113">
        <v>247045</v>
      </c>
    </row>
    <row r="53" spans="2:5">
      <c r="B53" s="415" t="s">
        <v>310</v>
      </c>
      <c r="C53" s="1111">
        <v>22005</v>
      </c>
      <c r="D53" s="1111">
        <v>420523</v>
      </c>
    </row>
    <row r="54" spans="2:5">
      <c r="B54" s="412" t="s">
        <v>311</v>
      </c>
      <c r="C54" s="1112">
        <v>22005</v>
      </c>
      <c r="D54" s="1112">
        <v>420523</v>
      </c>
    </row>
    <row r="55" spans="2:5">
      <c r="B55" s="412" t="s">
        <v>312</v>
      </c>
      <c r="C55" s="1112">
        <v>22005</v>
      </c>
      <c r="D55" s="1112">
        <v>420523</v>
      </c>
    </row>
    <row r="56" spans="2:5">
      <c r="B56" s="412" t="s">
        <v>313</v>
      </c>
      <c r="C56" s="1112">
        <v>22005</v>
      </c>
      <c r="D56" s="1112">
        <v>420523</v>
      </c>
    </row>
    <row r="57" spans="2:5">
      <c r="B57" s="412" t="s">
        <v>314</v>
      </c>
      <c r="C57" s="1112">
        <v>22005</v>
      </c>
      <c r="D57" s="1112">
        <v>420523</v>
      </c>
    </row>
    <row r="58" spans="2:5">
      <c r="B58" s="412" t="s">
        <v>315</v>
      </c>
      <c r="C58" s="1112">
        <v>21936.035989717224</v>
      </c>
      <c r="D58" s="1112">
        <v>419193.28791773779</v>
      </c>
    </row>
    <row r="59" spans="2:5">
      <c r="B59" s="412" t="s">
        <v>316</v>
      </c>
      <c r="C59" s="1112">
        <v>22005</v>
      </c>
      <c r="D59" s="1112">
        <v>420523</v>
      </c>
    </row>
    <row r="60" spans="2:5">
      <c r="B60" s="412" t="s">
        <v>317</v>
      </c>
      <c r="C60" s="1112">
        <v>21916.596385542169</v>
      </c>
      <c r="D60" s="1112">
        <v>418813.140562249</v>
      </c>
    </row>
    <row r="61" spans="2:5">
      <c r="B61" s="412" t="s">
        <v>318</v>
      </c>
      <c r="C61" s="1112">
        <v>22005</v>
      </c>
      <c r="D61" s="1112">
        <v>420523</v>
      </c>
    </row>
    <row r="62" spans="2:5">
      <c r="B62" s="412" t="s">
        <v>319</v>
      </c>
      <c r="C62" s="1112">
        <v>21944.829157175398</v>
      </c>
      <c r="D62" s="1112">
        <v>419359.20501138951</v>
      </c>
    </row>
    <row r="63" spans="2:5">
      <c r="B63" s="412" t="s">
        <v>320</v>
      </c>
      <c r="C63" s="1112">
        <v>22005</v>
      </c>
      <c r="D63" s="1112">
        <v>420523</v>
      </c>
    </row>
    <row r="64" spans="2:5">
      <c r="B64" s="412" t="s">
        <v>321</v>
      </c>
      <c r="C64" s="1112">
        <v>22005</v>
      </c>
      <c r="D64" s="1112">
        <v>420523</v>
      </c>
    </row>
    <row r="65" spans="2:4">
      <c r="B65" s="412" t="s">
        <v>322</v>
      </c>
      <c r="C65" s="1112">
        <v>22005</v>
      </c>
      <c r="D65" s="1112">
        <v>420523</v>
      </c>
    </row>
    <row r="66" spans="2:4">
      <c r="B66" s="412" t="s">
        <v>323</v>
      </c>
      <c r="C66" s="1112">
        <v>21964.330254041572</v>
      </c>
      <c r="D66" s="1112">
        <v>419736.38568129332</v>
      </c>
    </row>
    <row r="67" spans="2:4">
      <c r="B67" s="412" t="s">
        <v>324</v>
      </c>
      <c r="C67" s="1112">
        <v>22005</v>
      </c>
      <c r="D67" s="1112">
        <v>420523</v>
      </c>
    </row>
    <row r="68" spans="2:4">
      <c r="B68" s="412" t="s">
        <v>325</v>
      </c>
      <c r="C68" s="1112">
        <v>22005</v>
      </c>
      <c r="D68" s="1112">
        <v>420523</v>
      </c>
    </row>
    <row r="69" spans="2:4">
      <c r="B69" s="412" t="s">
        <v>326</v>
      </c>
      <c r="C69" s="1112">
        <v>22005</v>
      </c>
      <c r="D69" s="1112">
        <v>420523</v>
      </c>
    </row>
    <row r="70" spans="2:4">
      <c r="B70" s="412" t="s">
        <v>327</v>
      </c>
      <c r="C70" s="1112">
        <v>21726.458699472758</v>
      </c>
      <c r="D70" s="1112">
        <v>415135.59050966607</v>
      </c>
    </row>
    <row r="71" spans="2:4">
      <c r="B71" s="412" t="s">
        <v>328</v>
      </c>
      <c r="C71" s="1112">
        <v>21618.637413394918</v>
      </c>
      <c r="D71" s="1112">
        <v>413050.16397228639</v>
      </c>
    </row>
    <row r="72" spans="2:4">
      <c r="B72" s="412" t="s">
        <v>329</v>
      </c>
      <c r="C72" s="1112">
        <v>21885</v>
      </c>
      <c r="D72" s="1112">
        <v>418202.01873935264</v>
      </c>
    </row>
    <row r="73" spans="2:4">
      <c r="B73" s="412" t="s">
        <v>330</v>
      </c>
      <c r="C73" s="1112">
        <v>22005</v>
      </c>
      <c r="D73" s="1112">
        <v>420523</v>
      </c>
    </row>
    <row r="74" spans="2:4">
      <c r="B74" s="412" t="s">
        <v>331</v>
      </c>
      <c r="C74" s="1112">
        <v>22005</v>
      </c>
      <c r="D74" s="1112">
        <v>420523</v>
      </c>
    </row>
    <row r="75" spans="2:4">
      <c r="B75" s="412" t="s">
        <v>332</v>
      </c>
      <c r="C75" s="1112">
        <v>22005</v>
      </c>
      <c r="D75" s="1112">
        <v>420523</v>
      </c>
    </row>
    <row r="76" spans="2:4">
      <c r="B76" s="412" t="s">
        <v>333</v>
      </c>
      <c r="C76" s="1112">
        <v>21965.198763250883</v>
      </c>
      <c r="D76" s="1112">
        <v>419756.75441696111</v>
      </c>
    </row>
    <row r="77" spans="2:4">
      <c r="B77" s="412" t="s">
        <v>334</v>
      </c>
      <c r="C77" s="1112">
        <v>21839.443569553805</v>
      </c>
      <c r="D77" s="1112">
        <v>417335.74015748029</v>
      </c>
    </row>
    <row r="78" spans="2:4">
      <c r="B78" s="412" t="s">
        <v>335</v>
      </c>
      <c r="C78" s="1112">
        <v>22005</v>
      </c>
      <c r="D78" s="1112">
        <v>420523</v>
      </c>
    </row>
    <row r="79" spans="2:4">
      <c r="B79" s="412" t="s">
        <v>336</v>
      </c>
      <c r="C79" s="1112">
        <v>22005</v>
      </c>
      <c r="D79" s="1112">
        <v>420523</v>
      </c>
    </row>
    <row r="80" spans="2:4">
      <c r="B80" s="412" t="s">
        <v>337</v>
      </c>
      <c r="C80" s="1112">
        <v>22005</v>
      </c>
      <c r="D80" s="1112">
        <v>420523</v>
      </c>
    </row>
    <row r="81" spans="2:4">
      <c r="B81" s="412" t="s">
        <v>338</v>
      </c>
      <c r="C81" s="1112">
        <v>16242.005208333334</v>
      </c>
      <c r="D81" s="1112">
        <v>309057.97569444444</v>
      </c>
    </row>
    <row r="82" spans="2:4">
      <c r="B82" s="412" t="s">
        <v>339</v>
      </c>
      <c r="C82" s="1112">
        <v>13260.225718194255</v>
      </c>
      <c r="D82" s="1112">
        <v>251385.85636114911</v>
      </c>
    </row>
    <row r="83" spans="2:4">
      <c r="B83" s="412" t="s">
        <v>340</v>
      </c>
      <c r="C83" s="1112">
        <v>21029.286624203822</v>
      </c>
      <c r="D83" s="1112">
        <v>401738.75796178344</v>
      </c>
    </row>
    <row r="84" spans="2:4">
      <c r="B84" s="412" t="s">
        <v>341</v>
      </c>
      <c r="C84" s="1112">
        <v>22005</v>
      </c>
      <c r="D84" s="1112">
        <v>420523</v>
      </c>
    </row>
    <row r="85" spans="2:4">
      <c r="B85" s="412" t="s">
        <v>342</v>
      </c>
      <c r="C85" s="1112">
        <v>13200</v>
      </c>
      <c r="D85" s="1112">
        <v>250221</v>
      </c>
    </row>
    <row r="86" spans="2:4">
      <c r="B86" s="412" t="s">
        <v>343</v>
      </c>
      <c r="C86" s="1112">
        <v>21785.970149253732</v>
      </c>
      <c r="D86" s="1112">
        <v>416286.63184079604</v>
      </c>
    </row>
    <row r="87" spans="2:4">
      <c r="B87" s="412" t="s">
        <v>344</v>
      </c>
      <c r="C87" s="1112">
        <v>13457.080291970802</v>
      </c>
      <c r="D87" s="1112">
        <v>255193.3211678832</v>
      </c>
    </row>
    <row r="88" spans="2:4">
      <c r="B88" s="412" t="s">
        <v>345</v>
      </c>
      <c r="C88" s="1112">
        <v>22005</v>
      </c>
      <c r="D88" s="1112">
        <v>420523</v>
      </c>
    </row>
    <row r="89" spans="2:4">
      <c r="B89" s="412" t="s">
        <v>346</v>
      </c>
      <c r="C89" s="1112">
        <v>17768.294034090908</v>
      </c>
      <c r="D89" s="1112">
        <v>338958.76988636365</v>
      </c>
    </row>
    <row r="90" spans="2:4">
      <c r="B90" s="412" t="s">
        <v>347</v>
      </c>
      <c r="C90" s="1112">
        <v>12994</v>
      </c>
      <c r="D90" s="1112">
        <v>247045</v>
      </c>
    </row>
    <row r="91" spans="2:4">
      <c r="B91" s="412" t="s">
        <v>348</v>
      </c>
      <c r="C91" s="1112">
        <v>13217.413223140496</v>
      </c>
      <c r="D91" s="1112">
        <v>251346.10743801654</v>
      </c>
    </row>
    <row r="92" spans="2:4">
      <c r="B92" s="412" t="s">
        <v>349</v>
      </c>
      <c r="C92" s="1112">
        <v>12994</v>
      </c>
      <c r="D92" s="1112">
        <v>247045</v>
      </c>
    </row>
    <row r="93" spans="2:4">
      <c r="B93" s="412" t="s">
        <v>350</v>
      </c>
      <c r="C93" s="1112">
        <v>12994</v>
      </c>
      <c r="D93" s="1112">
        <v>247045</v>
      </c>
    </row>
    <row r="94" spans="2:4">
      <c r="B94" s="412" t="s">
        <v>351</v>
      </c>
      <c r="C94" s="1112">
        <v>22005</v>
      </c>
      <c r="D94" s="1112">
        <v>420523</v>
      </c>
    </row>
    <row r="95" spans="2:4">
      <c r="B95" s="412" t="s">
        <v>352</v>
      </c>
      <c r="C95" s="1112">
        <v>12994</v>
      </c>
      <c r="D95" s="1112">
        <v>247045</v>
      </c>
    </row>
    <row r="96" spans="2:4">
      <c r="B96" s="412" t="s">
        <v>353</v>
      </c>
      <c r="C96" s="1112">
        <v>22005</v>
      </c>
      <c r="D96" s="1112">
        <v>420523</v>
      </c>
    </row>
    <row r="97" spans="2:4">
      <c r="B97" s="412" t="s">
        <v>354</v>
      </c>
      <c r="C97" s="1112">
        <v>12994</v>
      </c>
      <c r="D97" s="1112">
        <v>247045</v>
      </c>
    </row>
    <row r="98" spans="2:4">
      <c r="B98" s="412" t="s">
        <v>355</v>
      </c>
      <c r="C98" s="1112">
        <v>12994</v>
      </c>
      <c r="D98" s="1112">
        <v>247045</v>
      </c>
    </row>
    <row r="99" spans="2:4">
      <c r="B99" s="412" t="s">
        <v>356</v>
      </c>
      <c r="C99" s="1112">
        <v>13312.86678200692</v>
      </c>
      <c r="D99" s="1112">
        <v>252499.11418685122</v>
      </c>
    </row>
    <row r="100" spans="2:4">
      <c r="B100" s="412" t="s">
        <v>357</v>
      </c>
      <c r="C100" s="1112">
        <v>13200</v>
      </c>
      <c r="D100" s="1112">
        <v>250221</v>
      </c>
    </row>
    <row r="101" spans="2:4">
      <c r="B101" s="412" t="s">
        <v>358</v>
      </c>
      <c r="C101" s="1112">
        <v>13200</v>
      </c>
      <c r="D101" s="1112">
        <v>250221</v>
      </c>
    </row>
    <row r="102" spans="2:4">
      <c r="B102" s="412" t="s">
        <v>359</v>
      </c>
      <c r="C102" s="1112">
        <v>13200</v>
      </c>
      <c r="D102" s="1112">
        <v>250221</v>
      </c>
    </row>
    <row r="103" spans="2:4">
      <c r="B103" s="412" t="s">
        <v>360</v>
      </c>
      <c r="C103" s="1112">
        <v>13277.508802816901</v>
      </c>
      <c r="D103" s="1112">
        <v>251720.13732394367</v>
      </c>
    </row>
    <row r="104" spans="2:4">
      <c r="B104" s="412" t="s">
        <v>361</v>
      </c>
      <c r="C104" s="1112">
        <v>13200</v>
      </c>
      <c r="D104" s="1112">
        <v>250221</v>
      </c>
    </row>
    <row r="105" spans="2:4">
      <c r="B105" s="412" t="s">
        <v>362</v>
      </c>
      <c r="C105" s="1112">
        <v>13200</v>
      </c>
      <c r="D105" s="1112">
        <v>250221</v>
      </c>
    </row>
    <row r="106" spans="2:4">
      <c r="B106" s="412" t="s">
        <v>363</v>
      </c>
      <c r="C106" s="1112">
        <v>13200</v>
      </c>
      <c r="D106" s="1112">
        <v>250221</v>
      </c>
    </row>
    <row r="107" spans="2:4">
      <c r="B107" s="412" t="s">
        <v>364</v>
      </c>
      <c r="C107" s="1112">
        <v>22005</v>
      </c>
      <c r="D107" s="1112">
        <v>420523</v>
      </c>
    </row>
    <row r="108" spans="2:4">
      <c r="B108" s="412" t="s">
        <v>365</v>
      </c>
      <c r="C108" s="1112">
        <v>13200</v>
      </c>
      <c r="D108" s="1112">
        <v>250221</v>
      </c>
    </row>
    <row r="109" spans="2:4">
      <c r="B109" s="412" t="s">
        <v>366</v>
      </c>
      <c r="C109" s="1112">
        <v>13200</v>
      </c>
      <c r="D109" s="1112">
        <v>250221</v>
      </c>
    </row>
    <row r="110" spans="2:4">
      <c r="B110" s="412" t="s">
        <v>367</v>
      </c>
      <c r="C110" s="1112">
        <v>22005</v>
      </c>
      <c r="D110" s="1112">
        <v>420523</v>
      </c>
    </row>
    <row r="111" spans="2:4">
      <c r="B111" s="412" t="s">
        <v>368</v>
      </c>
      <c r="C111" s="1112">
        <v>22005</v>
      </c>
      <c r="D111" s="1112">
        <v>420523</v>
      </c>
    </row>
    <row r="112" spans="2:4">
      <c r="B112" s="412" t="s">
        <v>369</v>
      </c>
      <c r="C112" s="1112">
        <v>17517.440366972478</v>
      </c>
      <c r="D112" s="1112">
        <v>333594.59633027524</v>
      </c>
    </row>
    <row r="113" spans="2:4">
      <c r="B113" s="412" t="s">
        <v>370</v>
      </c>
      <c r="C113" s="1112">
        <v>21533.187596899224</v>
      </c>
      <c r="D113" s="1112">
        <v>411368.60930232558</v>
      </c>
    </row>
    <row r="114" spans="2:4">
      <c r="B114" s="412" t="s">
        <v>371</v>
      </c>
      <c r="C114" s="1112">
        <v>20508.898854961833</v>
      </c>
      <c r="D114" s="1112">
        <v>391720.35496183205</v>
      </c>
    </row>
    <row r="115" spans="2:4">
      <c r="B115" s="412" t="s">
        <v>372</v>
      </c>
      <c r="C115" s="1112">
        <v>10855.036960985626</v>
      </c>
      <c r="D115" s="1112">
        <v>203583.26078028747</v>
      </c>
    </row>
    <row r="116" spans="2:4">
      <c r="B116" s="412" t="s">
        <v>373</v>
      </c>
      <c r="C116" s="1112">
        <v>12141.716150081566</v>
      </c>
      <c r="D116" s="1112">
        <v>229727.3849918434</v>
      </c>
    </row>
    <row r="117" spans="2:4">
      <c r="B117" s="412" t="s">
        <v>374</v>
      </c>
      <c r="C117" s="1112">
        <v>11113.955156950673</v>
      </c>
      <c r="D117" s="1112">
        <v>208844.23766816143</v>
      </c>
    </row>
    <row r="118" spans="2:4">
      <c r="B118" s="412" t="s">
        <v>375</v>
      </c>
      <c r="C118" s="1112">
        <v>22005</v>
      </c>
      <c r="D118" s="1112">
        <v>420523</v>
      </c>
    </row>
    <row r="119" spans="2:4">
      <c r="B119" s="412" t="s">
        <v>376</v>
      </c>
      <c r="C119" s="1112">
        <v>12963.138755980861</v>
      </c>
      <c r="D119" s="1112">
        <v>246417.92822966506</v>
      </c>
    </row>
    <row r="120" spans="2:4">
      <c r="B120" s="412" t="s">
        <v>377</v>
      </c>
      <c r="C120" s="1112">
        <v>22005</v>
      </c>
      <c r="D120" s="1112">
        <v>420523</v>
      </c>
    </row>
    <row r="121" spans="2:4">
      <c r="B121" s="412" t="s">
        <v>378</v>
      </c>
      <c r="C121" s="1112">
        <v>13192.727099236641</v>
      </c>
      <c r="D121" s="1112">
        <v>250108.87022900765</v>
      </c>
    </row>
    <row r="122" spans="2:4">
      <c r="B122" s="412" t="s">
        <v>379</v>
      </c>
      <c r="C122" s="1112">
        <v>13200</v>
      </c>
      <c r="D122" s="1112">
        <v>250221</v>
      </c>
    </row>
    <row r="123" spans="2:4">
      <c r="B123" s="412" t="s">
        <v>380</v>
      </c>
      <c r="C123" s="1112">
        <v>13224.424410540916</v>
      </c>
      <c r="D123" s="1112">
        <v>250693.4049930652</v>
      </c>
    </row>
    <row r="124" spans="2:4">
      <c r="B124" s="412" t="s">
        <v>381</v>
      </c>
      <c r="C124" s="1112">
        <v>13193.429643527204</v>
      </c>
      <c r="D124" s="1112">
        <v>250119.70168855536</v>
      </c>
    </row>
    <row r="125" spans="2:4">
      <c r="B125" s="412" t="s">
        <v>382</v>
      </c>
      <c r="C125" s="1112">
        <v>13058.988095238095</v>
      </c>
      <c r="D125" s="1112">
        <v>248046.95238095237</v>
      </c>
    </row>
    <row r="126" spans="2:4">
      <c r="B126" s="412" t="s">
        <v>383</v>
      </c>
      <c r="C126" s="1112">
        <v>12994</v>
      </c>
      <c r="D126" s="1112">
        <v>247045</v>
      </c>
    </row>
    <row r="127" spans="2:4">
      <c r="B127" s="412" t="s">
        <v>384</v>
      </c>
      <c r="C127" s="1112">
        <v>11781.440758293838</v>
      </c>
      <c r="D127" s="1112">
        <v>222406.92417061611</v>
      </c>
    </row>
    <row r="128" spans="2:4">
      <c r="B128" s="412" t="s">
        <v>385</v>
      </c>
      <c r="C128" s="1112">
        <v>10938.654088050314</v>
      </c>
      <c r="D128" s="1112">
        <v>205282.28301886792</v>
      </c>
    </row>
    <row r="129" spans="2:4">
      <c r="B129" s="412" t="s">
        <v>386</v>
      </c>
      <c r="C129" s="1112">
        <v>10973.422604422605</v>
      </c>
      <c r="D129" s="1112">
        <v>205988.74692874693</v>
      </c>
    </row>
    <row r="130" spans="2:4">
      <c r="B130" s="412" t="s">
        <v>387</v>
      </c>
      <c r="C130" s="1112">
        <v>22005</v>
      </c>
      <c r="D130" s="1112">
        <v>420523</v>
      </c>
    </row>
    <row r="131" spans="2:4">
      <c r="B131" s="412" t="s">
        <v>388</v>
      </c>
      <c r="C131" s="1112">
        <v>13015.293966623876</v>
      </c>
      <c r="D131" s="1112">
        <v>247456.8433889602</v>
      </c>
    </row>
    <row r="132" spans="2:4">
      <c r="B132" s="412" t="s">
        <v>389</v>
      </c>
      <c r="C132" s="1112">
        <v>12994</v>
      </c>
      <c r="D132" s="1112">
        <v>247045</v>
      </c>
    </row>
    <row r="133" spans="2:4">
      <c r="B133" s="412" t="s">
        <v>390</v>
      </c>
      <c r="C133" s="1112">
        <v>13004.573181419808</v>
      </c>
      <c r="D133" s="1112">
        <v>247249.49430324277</v>
      </c>
    </row>
    <row r="134" spans="2:4">
      <c r="B134" s="412" t="s">
        <v>391</v>
      </c>
      <c r="C134" s="1112">
        <v>16010</v>
      </c>
      <c r="D134" s="1112">
        <v>305377</v>
      </c>
    </row>
    <row r="135" spans="2:4">
      <c r="B135" s="412" t="s">
        <v>392</v>
      </c>
      <c r="C135" s="1112">
        <v>16005.063829787234</v>
      </c>
      <c r="D135" s="1112">
        <v>305281.53027823241</v>
      </c>
    </row>
    <row r="136" spans="2:4">
      <c r="B136" s="412" t="s">
        <v>393</v>
      </c>
      <c r="C136" s="1112">
        <v>16010</v>
      </c>
      <c r="D136" s="1112">
        <v>305377</v>
      </c>
    </row>
    <row r="137" spans="2:4">
      <c r="B137" s="412" t="s">
        <v>394</v>
      </c>
      <c r="C137" s="1112">
        <v>16003.650526315789</v>
      </c>
      <c r="D137" s="1112">
        <v>305254.19578947366</v>
      </c>
    </row>
    <row r="138" spans="2:4">
      <c r="B138" s="412" t="s">
        <v>395</v>
      </c>
      <c r="C138" s="1112">
        <v>12994</v>
      </c>
      <c r="D138" s="1112">
        <v>247045</v>
      </c>
    </row>
    <row r="139" spans="2:4">
      <c r="B139" s="412" t="s">
        <v>396</v>
      </c>
      <c r="C139" s="1112">
        <v>13065.079482439925</v>
      </c>
      <c r="D139" s="1112">
        <v>248419.73752310537</v>
      </c>
    </row>
    <row r="140" spans="2:4">
      <c r="B140" s="412" t="s">
        <v>397</v>
      </c>
      <c r="C140" s="1112">
        <v>12994</v>
      </c>
      <c r="D140" s="1112">
        <v>247045</v>
      </c>
    </row>
    <row r="141" spans="2:4">
      <c r="B141" s="412" t="s">
        <v>398</v>
      </c>
      <c r="C141" s="1112">
        <v>13017.5625</v>
      </c>
      <c r="D141" s="1112">
        <v>247500.71875</v>
      </c>
    </row>
    <row r="142" spans="2:4">
      <c r="B142" s="412" t="s">
        <v>399</v>
      </c>
      <c r="C142" s="1112">
        <v>13130.913099870299</v>
      </c>
      <c r="D142" s="1112">
        <v>249693.01556420233</v>
      </c>
    </row>
    <row r="143" spans="2:4">
      <c r="B143" s="412" t="s">
        <v>400</v>
      </c>
      <c r="C143" s="1112">
        <v>12994</v>
      </c>
      <c r="D143" s="1112">
        <v>247045</v>
      </c>
    </row>
    <row r="144" spans="2:4">
      <c r="B144" s="412" t="s">
        <v>401</v>
      </c>
      <c r="C144" s="1112">
        <v>12994</v>
      </c>
      <c r="D144" s="1112">
        <v>247045</v>
      </c>
    </row>
    <row r="145" spans="2:4">
      <c r="B145" s="412" t="s">
        <v>402</v>
      </c>
      <c r="C145" s="1112">
        <v>12994</v>
      </c>
      <c r="D145" s="1112">
        <v>247045</v>
      </c>
    </row>
    <row r="146" spans="2:4">
      <c r="B146" s="412" t="s">
        <v>403</v>
      </c>
      <c r="C146" s="1112">
        <v>12994</v>
      </c>
      <c r="D146" s="1112">
        <v>247045</v>
      </c>
    </row>
    <row r="147" spans="2:4">
      <c r="B147" s="412" t="s">
        <v>404</v>
      </c>
      <c r="C147" s="1112">
        <v>12994</v>
      </c>
      <c r="D147" s="1112">
        <v>247045</v>
      </c>
    </row>
    <row r="148" spans="2:4">
      <c r="B148" s="412" t="s">
        <v>405</v>
      </c>
      <c r="C148" s="1112">
        <v>13023.140096618357</v>
      </c>
      <c r="D148" s="1112">
        <v>247608.59420289856</v>
      </c>
    </row>
    <row r="149" spans="2:4">
      <c r="B149" s="412" t="s">
        <v>406</v>
      </c>
      <c r="C149" s="1112">
        <v>12994</v>
      </c>
      <c r="D149" s="1112">
        <v>247045</v>
      </c>
    </row>
    <row r="150" spans="2:4">
      <c r="B150" s="412" t="s">
        <v>407</v>
      </c>
      <c r="C150" s="1112">
        <v>12661.042801556419</v>
      </c>
      <c r="D150" s="1112">
        <v>240279.61945525292</v>
      </c>
    </row>
    <row r="151" spans="2:4">
      <c r="B151" s="412" t="s">
        <v>408</v>
      </c>
      <c r="C151" s="1112">
        <v>12994</v>
      </c>
      <c r="D151" s="1112">
        <v>247045</v>
      </c>
    </row>
    <row r="152" spans="2:4">
      <c r="B152" s="412" t="s">
        <v>409</v>
      </c>
      <c r="C152" s="1112">
        <v>12994</v>
      </c>
      <c r="D152" s="1112">
        <v>247045</v>
      </c>
    </row>
    <row r="153" spans="2:4">
      <c r="B153" s="412" t="s">
        <v>410</v>
      </c>
      <c r="C153" s="1112">
        <v>12994</v>
      </c>
      <c r="D153" s="1112">
        <v>247045</v>
      </c>
    </row>
    <row r="154" spans="2:4">
      <c r="B154" s="412" t="s">
        <v>411</v>
      </c>
      <c r="C154" s="1112">
        <v>12986.362344582592</v>
      </c>
      <c r="D154" s="1112">
        <v>246889.80994671403</v>
      </c>
    </row>
    <row r="155" spans="2:4">
      <c r="B155" s="412" t="s">
        <v>412</v>
      </c>
      <c r="C155" s="1112">
        <v>12989.236336779912</v>
      </c>
      <c r="D155" s="1112">
        <v>246948.20679468242</v>
      </c>
    </row>
    <row r="156" spans="2:4">
      <c r="B156" s="412" t="s">
        <v>413</v>
      </c>
      <c r="C156" s="1112">
        <v>12994</v>
      </c>
      <c r="D156" s="1112">
        <v>247045</v>
      </c>
    </row>
    <row r="157" spans="2:4">
      <c r="B157" s="412" t="s">
        <v>414</v>
      </c>
      <c r="C157" s="1112">
        <v>12994</v>
      </c>
      <c r="D157" s="1112">
        <v>247045</v>
      </c>
    </row>
    <row r="158" spans="2:4">
      <c r="B158" s="412" t="s">
        <v>415</v>
      </c>
      <c r="C158" s="1112">
        <v>10886.101827676241</v>
      </c>
      <c r="D158" s="1112">
        <v>204214.46997389034</v>
      </c>
    </row>
    <row r="159" spans="2:4">
      <c r="B159" s="412" t="s">
        <v>416</v>
      </c>
      <c r="C159" s="1112">
        <v>11409.78947368421</v>
      </c>
      <c r="D159" s="1112">
        <v>214855.31578947368</v>
      </c>
    </row>
    <row r="160" spans="2:4">
      <c r="B160" s="412" t="s">
        <v>417</v>
      </c>
      <c r="C160" s="1112">
        <v>12990.28349178911</v>
      </c>
      <c r="D160" s="1112">
        <v>246969.48401037164</v>
      </c>
    </row>
    <row r="161" spans="2:4">
      <c r="B161" s="412" t="s">
        <v>418</v>
      </c>
      <c r="C161" s="1112">
        <v>12994</v>
      </c>
      <c r="D161" s="1112">
        <v>247045</v>
      </c>
    </row>
    <row r="162" spans="2:4">
      <c r="B162" s="412" t="s">
        <v>419</v>
      </c>
      <c r="C162" s="1112">
        <v>12994</v>
      </c>
      <c r="D162" s="1112">
        <v>247045</v>
      </c>
    </row>
    <row r="163" spans="2:4">
      <c r="B163" s="412" t="s">
        <v>420</v>
      </c>
      <c r="C163" s="1112">
        <v>12994</v>
      </c>
      <c r="D163" s="1112">
        <v>247045</v>
      </c>
    </row>
    <row r="164" spans="2:4">
      <c r="B164" s="412" t="s">
        <v>421</v>
      </c>
      <c r="C164" s="1112">
        <v>13200</v>
      </c>
      <c r="D164" s="1112">
        <v>250221</v>
      </c>
    </row>
    <row r="165" spans="2:4">
      <c r="B165" s="412" t="s">
        <v>422</v>
      </c>
      <c r="C165" s="1112">
        <v>13415.684438040345</v>
      </c>
      <c r="D165" s="1112">
        <v>254392.66282420748</v>
      </c>
    </row>
    <row r="166" spans="2:4">
      <c r="B166" s="412" t="s">
        <v>423</v>
      </c>
      <c r="C166" s="1112">
        <v>17401.684210526317</v>
      </c>
      <c r="D166" s="1112">
        <v>331487.91929824563</v>
      </c>
    </row>
    <row r="167" spans="2:4">
      <c r="B167" s="412" t="s">
        <v>424</v>
      </c>
      <c r="C167" s="1112">
        <v>13200</v>
      </c>
      <c r="D167" s="1112">
        <v>250221</v>
      </c>
    </row>
    <row r="168" spans="2:4">
      <c r="B168" s="412" t="s">
        <v>425</v>
      </c>
      <c r="C168" s="1112">
        <v>13200</v>
      </c>
      <c r="D168" s="1112">
        <v>250221</v>
      </c>
    </row>
    <row r="169" spans="2:4">
      <c r="B169" s="412" t="s">
        <v>426</v>
      </c>
      <c r="C169" s="1112">
        <v>13200</v>
      </c>
      <c r="D169" s="1112">
        <v>250221</v>
      </c>
    </row>
    <row r="170" spans="2:4">
      <c r="B170" s="412" t="s">
        <v>427</v>
      </c>
      <c r="C170" s="1112">
        <v>13200</v>
      </c>
      <c r="D170" s="1112">
        <v>250221</v>
      </c>
    </row>
    <row r="171" spans="2:4">
      <c r="B171" s="412" t="s">
        <v>428</v>
      </c>
      <c r="C171" s="1112">
        <v>13200</v>
      </c>
      <c r="D171" s="1112">
        <v>250221</v>
      </c>
    </row>
    <row r="172" spans="2:4">
      <c r="B172" s="412" t="s">
        <v>429</v>
      </c>
      <c r="C172" s="1112">
        <v>13200</v>
      </c>
      <c r="D172" s="1112">
        <v>250221</v>
      </c>
    </row>
    <row r="173" spans="2:4">
      <c r="B173" s="412" t="s">
        <v>430</v>
      </c>
      <c r="C173" s="1112">
        <v>13200</v>
      </c>
      <c r="D173" s="1112">
        <v>250221</v>
      </c>
    </row>
    <row r="174" spans="2:4">
      <c r="B174" s="412" t="s">
        <v>431</v>
      </c>
      <c r="C174" s="1112">
        <v>13200</v>
      </c>
      <c r="D174" s="1112">
        <v>250221</v>
      </c>
    </row>
    <row r="175" spans="2:4">
      <c r="B175" s="412" t="s">
        <v>432</v>
      </c>
      <c r="C175" s="1112">
        <v>13200</v>
      </c>
      <c r="D175" s="1112">
        <v>250221</v>
      </c>
    </row>
    <row r="176" spans="2:4">
      <c r="B176" s="412" t="s">
        <v>433</v>
      </c>
      <c r="C176" s="1112">
        <v>12322.653731343284</v>
      </c>
      <c r="D176" s="1112">
        <v>232770.15074626866</v>
      </c>
    </row>
    <row r="177" spans="2:4">
      <c r="B177" s="412" t="s">
        <v>434</v>
      </c>
      <c r="C177" s="1112">
        <v>13200</v>
      </c>
      <c r="D177" s="1112">
        <v>250221</v>
      </c>
    </row>
    <row r="178" spans="2:4">
      <c r="B178" s="412" t="s">
        <v>435</v>
      </c>
      <c r="C178" s="1112">
        <v>12973.290566037736</v>
      </c>
      <c r="D178" s="1112">
        <v>245711.63773584904</v>
      </c>
    </row>
    <row r="179" spans="2:4">
      <c r="B179" s="412" t="s">
        <v>436</v>
      </c>
      <c r="C179" s="1112">
        <v>10873.388489208633</v>
      </c>
      <c r="D179" s="1112">
        <v>203956.14676258992</v>
      </c>
    </row>
    <row r="180" spans="2:4">
      <c r="B180" s="412" t="s">
        <v>437</v>
      </c>
      <c r="C180" s="1112">
        <v>10844</v>
      </c>
      <c r="D180" s="1112">
        <v>203359</v>
      </c>
    </row>
    <row r="181" spans="2:4">
      <c r="B181" s="412" t="s">
        <v>438</v>
      </c>
      <c r="C181" s="1112">
        <v>13580.181347150259</v>
      </c>
      <c r="D181" s="1112">
        <v>257574.28151986183</v>
      </c>
    </row>
    <row r="182" spans="2:4">
      <c r="B182" s="412" t="s">
        <v>439</v>
      </c>
      <c r="C182" s="1112">
        <v>13579.605678233438</v>
      </c>
      <c r="D182" s="1112">
        <v>257563.14721345951</v>
      </c>
    </row>
    <row r="183" spans="2:4">
      <c r="B183" s="412" t="s">
        <v>440</v>
      </c>
      <c r="C183" s="1112">
        <v>13200</v>
      </c>
      <c r="D183" s="1112">
        <v>250221</v>
      </c>
    </row>
    <row r="184" spans="2:4">
      <c r="B184" s="412" t="s">
        <v>441</v>
      </c>
      <c r="C184" s="1112">
        <v>13200</v>
      </c>
      <c r="D184" s="1112">
        <v>250221</v>
      </c>
    </row>
    <row r="185" spans="2:4">
      <c r="B185" s="412" t="s">
        <v>442</v>
      </c>
      <c r="C185" s="1112">
        <v>13200</v>
      </c>
      <c r="D185" s="1112">
        <v>250221</v>
      </c>
    </row>
    <row r="186" spans="2:4">
      <c r="B186" s="412" t="s">
        <v>443</v>
      </c>
      <c r="C186" s="1112">
        <v>13200</v>
      </c>
      <c r="D186" s="1112">
        <v>250221</v>
      </c>
    </row>
    <row r="187" spans="2:4">
      <c r="B187" s="412" t="s">
        <v>444</v>
      </c>
      <c r="C187" s="1112">
        <v>13200</v>
      </c>
      <c r="D187" s="1112">
        <v>250221</v>
      </c>
    </row>
    <row r="188" spans="2:4">
      <c r="B188" s="412" t="s">
        <v>445</v>
      </c>
      <c r="C188" s="1112">
        <v>13200</v>
      </c>
      <c r="D188" s="1112">
        <v>250221</v>
      </c>
    </row>
    <row r="189" spans="2:4">
      <c r="B189" s="412" t="s">
        <v>446</v>
      </c>
      <c r="C189" s="1112">
        <v>13200</v>
      </c>
      <c r="D189" s="1112">
        <v>250221</v>
      </c>
    </row>
    <row r="190" spans="2:4">
      <c r="B190" s="412" t="s">
        <v>447</v>
      </c>
      <c r="C190" s="1112">
        <v>13200</v>
      </c>
      <c r="D190" s="1112">
        <v>250221</v>
      </c>
    </row>
    <row r="191" spans="2:4">
      <c r="B191" s="412" t="s">
        <v>448</v>
      </c>
      <c r="C191" s="1112">
        <v>16010</v>
      </c>
      <c r="D191" s="1112">
        <v>305377</v>
      </c>
    </row>
    <row r="192" spans="2:4">
      <c r="B192" s="412" t="s">
        <v>449</v>
      </c>
      <c r="C192" s="1112">
        <v>16010</v>
      </c>
      <c r="D192" s="1112">
        <v>305377</v>
      </c>
    </row>
    <row r="193" spans="2:4">
      <c r="B193" s="412" t="s">
        <v>450</v>
      </c>
      <c r="C193" s="1112">
        <v>16010</v>
      </c>
      <c r="D193" s="1112">
        <v>305377</v>
      </c>
    </row>
    <row r="194" spans="2:4">
      <c r="B194" s="412" t="s">
        <v>451</v>
      </c>
      <c r="C194" s="1112">
        <v>16010</v>
      </c>
      <c r="D194" s="1112">
        <v>305377</v>
      </c>
    </row>
    <row r="195" spans="2:4">
      <c r="B195" s="412" t="s">
        <v>452</v>
      </c>
      <c r="C195" s="1112">
        <v>16010</v>
      </c>
      <c r="D195" s="1112">
        <v>305377</v>
      </c>
    </row>
    <row r="196" spans="2:4">
      <c r="B196" s="412" t="s">
        <v>453</v>
      </c>
      <c r="C196" s="1112">
        <v>16010</v>
      </c>
      <c r="D196" s="1112">
        <v>305377</v>
      </c>
    </row>
    <row r="197" spans="2:4">
      <c r="B197" s="412" t="s">
        <v>454</v>
      </c>
      <c r="C197" s="1112">
        <v>16010</v>
      </c>
      <c r="D197" s="1112">
        <v>305377</v>
      </c>
    </row>
    <row r="198" spans="2:4">
      <c r="B198" s="412" t="s">
        <v>455</v>
      </c>
      <c r="C198" s="1112">
        <v>16010</v>
      </c>
      <c r="D198" s="1112">
        <v>305377</v>
      </c>
    </row>
    <row r="199" spans="2:4">
      <c r="B199" s="412" t="s">
        <v>456</v>
      </c>
      <c r="C199" s="1112">
        <v>16010</v>
      </c>
      <c r="D199" s="1112">
        <v>305377</v>
      </c>
    </row>
    <row r="200" spans="2:4">
      <c r="B200" s="412" t="s">
        <v>457</v>
      </c>
      <c r="C200" s="1112">
        <v>16010</v>
      </c>
      <c r="D200" s="1112">
        <v>305377</v>
      </c>
    </row>
    <row r="201" spans="2:4">
      <c r="B201" s="412" t="s">
        <v>458</v>
      </c>
      <c r="C201" s="1112">
        <v>16010</v>
      </c>
      <c r="D201" s="1112">
        <v>305377</v>
      </c>
    </row>
    <row r="202" spans="2:4">
      <c r="B202" s="412" t="s">
        <v>459</v>
      </c>
      <c r="C202" s="1112">
        <v>16010</v>
      </c>
      <c r="D202" s="1112">
        <v>305377</v>
      </c>
    </row>
    <row r="203" spans="2:4">
      <c r="B203" s="412" t="s">
        <v>460</v>
      </c>
      <c r="C203" s="1112">
        <v>16010</v>
      </c>
      <c r="D203" s="1112">
        <v>305377</v>
      </c>
    </row>
    <row r="204" spans="2:4">
      <c r="B204" s="412" t="s">
        <v>461</v>
      </c>
      <c r="C204" s="1112">
        <v>16010</v>
      </c>
      <c r="D204" s="1112">
        <v>305377</v>
      </c>
    </row>
    <row r="205" spans="2:4">
      <c r="B205" s="412" t="s">
        <v>462</v>
      </c>
      <c r="C205" s="1112">
        <v>16010</v>
      </c>
      <c r="D205" s="1112">
        <v>305377</v>
      </c>
    </row>
    <row r="206" spans="2:4">
      <c r="B206" s="412" t="s">
        <v>463</v>
      </c>
      <c r="C206" s="1112">
        <v>15669.360406091371</v>
      </c>
      <c r="D206" s="1112">
        <v>298788.74111675128</v>
      </c>
    </row>
    <row r="207" spans="2:4">
      <c r="B207" s="412" t="s">
        <v>464</v>
      </c>
      <c r="C207" s="1112">
        <v>13875.371146732428</v>
      </c>
      <c r="D207" s="1112">
        <v>264091.46609124535</v>
      </c>
    </row>
    <row r="208" spans="2:4">
      <c r="B208" s="412" t="s">
        <v>465</v>
      </c>
      <c r="C208" s="1112">
        <v>12994</v>
      </c>
      <c r="D208" s="1112">
        <v>247045</v>
      </c>
    </row>
    <row r="209" spans="2:4">
      <c r="B209" s="412" t="s">
        <v>466</v>
      </c>
      <c r="C209" s="1112">
        <v>16010</v>
      </c>
      <c r="D209" s="1112">
        <v>305377</v>
      </c>
    </row>
    <row r="210" spans="2:4">
      <c r="B210" s="412" t="s">
        <v>467</v>
      </c>
      <c r="C210" s="1112">
        <v>15999.491289198606</v>
      </c>
      <c r="D210" s="1112">
        <v>305173.75261324045</v>
      </c>
    </row>
    <row r="211" spans="2:4">
      <c r="B211" s="412" t="s">
        <v>468</v>
      </c>
      <c r="C211" s="1112">
        <v>16010</v>
      </c>
      <c r="D211" s="1112">
        <v>305377</v>
      </c>
    </row>
    <row r="212" spans="2:4">
      <c r="B212" s="412" t="s">
        <v>469</v>
      </c>
      <c r="C212" s="1112">
        <v>16010</v>
      </c>
      <c r="D212" s="1112">
        <v>305377</v>
      </c>
    </row>
    <row r="213" spans="2:4">
      <c r="B213" s="412" t="s">
        <v>470</v>
      </c>
      <c r="C213" s="1112">
        <v>16010</v>
      </c>
      <c r="D213" s="1112">
        <v>305377</v>
      </c>
    </row>
    <row r="214" spans="2:4">
      <c r="B214" s="412" t="s">
        <v>471</v>
      </c>
      <c r="C214" s="1112">
        <v>16010</v>
      </c>
      <c r="D214" s="1112">
        <v>305377</v>
      </c>
    </row>
    <row r="215" spans="2:4">
      <c r="B215" s="412" t="s">
        <v>472</v>
      </c>
      <c r="C215" s="1112">
        <v>16010</v>
      </c>
      <c r="D215" s="1112">
        <v>305377</v>
      </c>
    </row>
    <row r="216" spans="2:4">
      <c r="B216" s="412" t="s">
        <v>473</v>
      </c>
      <c r="C216" s="1112">
        <v>16010</v>
      </c>
      <c r="D216" s="1112">
        <v>305377</v>
      </c>
    </row>
    <row r="217" spans="2:4">
      <c r="B217" s="412" t="s">
        <v>474</v>
      </c>
      <c r="C217" s="1112">
        <v>13145.362007168458</v>
      </c>
      <c r="D217" s="1112">
        <v>249378.62007168459</v>
      </c>
    </row>
    <row r="218" spans="2:4">
      <c r="B218" s="412" t="s">
        <v>475</v>
      </c>
      <c r="C218" s="1112">
        <v>13200</v>
      </c>
      <c r="D218" s="1112">
        <v>250221</v>
      </c>
    </row>
    <row r="219" spans="2:4">
      <c r="B219" s="412" t="s">
        <v>476</v>
      </c>
      <c r="C219" s="1112">
        <v>13200</v>
      </c>
      <c r="D219" s="1112">
        <v>250221</v>
      </c>
    </row>
    <row r="220" spans="2:4">
      <c r="B220" s="412" t="s">
        <v>477</v>
      </c>
      <c r="C220" s="1112">
        <v>13200</v>
      </c>
      <c r="D220" s="1112">
        <v>250221</v>
      </c>
    </row>
    <row r="221" spans="2:4">
      <c r="B221" s="412" t="s">
        <v>478</v>
      </c>
      <c r="C221" s="1112">
        <v>13200</v>
      </c>
      <c r="D221" s="1112">
        <v>250221</v>
      </c>
    </row>
    <row r="222" spans="2:4">
      <c r="B222" s="412" t="s">
        <v>479</v>
      </c>
      <c r="C222" s="1112">
        <v>13200</v>
      </c>
      <c r="D222" s="1112">
        <v>250221</v>
      </c>
    </row>
    <row r="223" spans="2:4">
      <c r="B223" s="412" t="s">
        <v>480</v>
      </c>
      <c r="C223" s="1112">
        <v>13200</v>
      </c>
      <c r="D223" s="1112">
        <v>250221</v>
      </c>
    </row>
    <row r="224" spans="2:4">
      <c r="B224" s="412" t="s">
        <v>481</v>
      </c>
      <c r="C224" s="1112">
        <v>13153.114427860697</v>
      </c>
      <c r="D224" s="1112">
        <v>249288.42288557213</v>
      </c>
    </row>
    <row r="225" spans="2:4">
      <c r="B225" s="412" t="s">
        <v>482</v>
      </c>
      <c r="C225" s="1112">
        <v>13113.284584980238</v>
      </c>
      <c r="D225" s="1112">
        <v>248884.0671936759</v>
      </c>
    </row>
    <row r="226" spans="2:4">
      <c r="B226" s="412" t="s">
        <v>483</v>
      </c>
      <c r="C226" s="1112">
        <v>13200</v>
      </c>
      <c r="D226" s="1112">
        <v>250221</v>
      </c>
    </row>
    <row r="227" spans="2:4">
      <c r="B227" s="412" t="s">
        <v>484</v>
      </c>
      <c r="C227" s="1112">
        <v>13198.381139489195</v>
      </c>
      <c r="D227" s="1112">
        <v>250196.04125736738</v>
      </c>
    </row>
    <row r="228" spans="2:4">
      <c r="B228" s="412" t="s">
        <v>485</v>
      </c>
      <c r="C228" s="1112">
        <v>13198.738131699847</v>
      </c>
      <c r="D228" s="1112">
        <v>250201.54517611026</v>
      </c>
    </row>
    <row r="229" spans="2:4">
      <c r="B229" s="412" t="s">
        <v>486</v>
      </c>
      <c r="C229" s="1112">
        <v>15973.75458570525</v>
      </c>
      <c r="D229" s="1112">
        <v>304675.98292220116</v>
      </c>
    </row>
    <row r="230" spans="2:4">
      <c r="B230" s="412" t="s">
        <v>487</v>
      </c>
      <c r="C230" s="1112">
        <v>12994</v>
      </c>
      <c r="D230" s="1112">
        <v>247045</v>
      </c>
    </row>
    <row r="231" spans="2:4">
      <c r="B231" s="412" t="s">
        <v>488</v>
      </c>
      <c r="C231" s="1112">
        <v>12994</v>
      </c>
      <c r="D231" s="1112">
        <v>247045</v>
      </c>
    </row>
    <row r="232" spans="2:4">
      <c r="B232" s="412" t="s">
        <v>489</v>
      </c>
      <c r="C232" s="1112">
        <v>12327.625730994152</v>
      </c>
      <c r="D232" s="1112">
        <v>233504.89473684211</v>
      </c>
    </row>
    <row r="233" spans="2:4">
      <c r="B233" s="412" t="s">
        <v>490</v>
      </c>
      <c r="C233" s="1112">
        <v>12900.521739130434</v>
      </c>
      <c r="D233" s="1112">
        <v>245145.60869565216</v>
      </c>
    </row>
    <row r="234" spans="2:4">
      <c r="B234" s="412" t="s">
        <v>491</v>
      </c>
      <c r="C234" s="1112">
        <v>12762.109187749667</v>
      </c>
      <c r="D234" s="1112">
        <v>242333.19440745673</v>
      </c>
    </row>
    <row r="235" spans="2:4">
      <c r="B235" s="412" t="s">
        <v>492</v>
      </c>
      <c r="C235" s="1112">
        <v>10844</v>
      </c>
      <c r="D235" s="1112">
        <v>203359</v>
      </c>
    </row>
    <row r="236" spans="2:4">
      <c r="B236" s="412" t="s">
        <v>493</v>
      </c>
      <c r="C236" s="1112">
        <v>10844</v>
      </c>
      <c r="D236" s="1112">
        <v>203359</v>
      </c>
    </row>
    <row r="237" spans="2:4">
      <c r="B237" s="412" t="s">
        <v>494</v>
      </c>
      <c r="C237" s="1112">
        <v>10844</v>
      </c>
      <c r="D237" s="1112">
        <v>203359</v>
      </c>
    </row>
    <row r="238" spans="2:4">
      <c r="B238" s="412" t="s">
        <v>495</v>
      </c>
      <c r="C238" s="1112">
        <v>10972.292181069959</v>
      </c>
      <c r="D238" s="1112">
        <v>205965.77777777778</v>
      </c>
    </row>
    <row r="239" spans="2:4">
      <c r="B239" s="412" t="s">
        <v>496</v>
      </c>
      <c r="C239" s="1112">
        <v>15910.989898989899</v>
      </c>
      <c r="D239" s="1112">
        <v>303462.06060606061</v>
      </c>
    </row>
    <row r="240" spans="2:4">
      <c r="B240" s="412" t="s">
        <v>497</v>
      </c>
      <c r="C240" s="1112">
        <v>12994</v>
      </c>
      <c r="D240" s="1112">
        <v>247045</v>
      </c>
    </row>
    <row r="241" spans="2:4">
      <c r="B241" s="412" t="s">
        <v>498</v>
      </c>
      <c r="C241" s="1112">
        <v>12994</v>
      </c>
      <c r="D241" s="1112">
        <v>247045</v>
      </c>
    </row>
    <row r="242" spans="2:4">
      <c r="B242" s="412" t="s">
        <v>499</v>
      </c>
      <c r="C242" s="1112">
        <v>12994</v>
      </c>
      <c r="D242" s="1112">
        <v>247045</v>
      </c>
    </row>
    <row r="243" spans="2:4">
      <c r="B243" s="412" t="s">
        <v>500</v>
      </c>
      <c r="C243" s="1112">
        <v>12994</v>
      </c>
      <c r="D243" s="1112">
        <v>247045</v>
      </c>
    </row>
    <row r="244" spans="2:4">
      <c r="B244" s="412" t="s">
        <v>501</v>
      </c>
      <c r="C244" s="1112">
        <v>12938.555873925501</v>
      </c>
      <c r="D244" s="1112">
        <v>245918.42693409743</v>
      </c>
    </row>
    <row r="245" spans="2:4">
      <c r="B245" s="412" t="s">
        <v>502</v>
      </c>
      <c r="C245" s="1112">
        <v>12994</v>
      </c>
      <c r="D245" s="1112">
        <v>247045</v>
      </c>
    </row>
    <row r="246" spans="2:4">
      <c r="B246" s="412" t="s">
        <v>503</v>
      </c>
      <c r="C246" s="1112">
        <v>12994</v>
      </c>
      <c r="D246" s="1112">
        <v>247045</v>
      </c>
    </row>
    <row r="247" spans="2:4">
      <c r="B247" s="412" t="s">
        <v>504</v>
      </c>
      <c r="C247" s="1112">
        <v>12994</v>
      </c>
      <c r="D247" s="1112">
        <v>247045</v>
      </c>
    </row>
    <row r="248" spans="2:4">
      <c r="B248" s="412" t="s">
        <v>505</v>
      </c>
      <c r="C248" s="1112">
        <v>16010</v>
      </c>
      <c r="D248" s="1112">
        <v>305377</v>
      </c>
    </row>
    <row r="249" spans="2:4">
      <c r="B249" s="412" t="s">
        <v>506</v>
      </c>
      <c r="C249" s="1112">
        <v>15668.333333333334</v>
      </c>
      <c r="D249" s="1112">
        <v>298629.77777777775</v>
      </c>
    </row>
    <row r="250" spans="2:4">
      <c r="B250" s="412" t="s">
        <v>507</v>
      </c>
      <c r="C250" s="1112">
        <v>10867.697247706423</v>
      </c>
      <c r="D250" s="1112">
        <v>203826.97247706421</v>
      </c>
    </row>
    <row r="251" spans="2:4">
      <c r="B251" s="412" t="s">
        <v>508</v>
      </c>
      <c r="C251" s="1112">
        <v>10848.103053435114</v>
      </c>
      <c r="D251" s="1112">
        <v>203442.37022900765</v>
      </c>
    </row>
    <row r="252" spans="2:4">
      <c r="B252" s="412" t="s">
        <v>509</v>
      </c>
      <c r="C252" s="1112">
        <v>12994</v>
      </c>
      <c r="D252" s="1112">
        <v>247045</v>
      </c>
    </row>
    <row r="253" spans="2:4">
      <c r="B253" s="412" t="s">
        <v>510</v>
      </c>
      <c r="C253" s="1112">
        <v>12994</v>
      </c>
      <c r="D253" s="1112">
        <v>247045</v>
      </c>
    </row>
    <row r="254" spans="2:4">
      <c r="B254" s="412" t="s">
        <v>511</v>
      </c>
      <c r="C254" s="1112">
        <v>12994</v>
      </c>
      <c r="D254" s="1112">
        <v>247045</v>
      </c>
    </row>
    <row r="255" spans="2:4">
      <c r="B255" s="412" t="s">
        <v>512</v>
      </c>
      <c r="C255" s="1112">
        <v>16010</v>
      </c>
      <c r="D255" s="1112">
        <v>305377</v>
      </c>
    </row>
    <row r="256" spans="2:4">
      <c r="B256" s="412" t="s">
        <v>513</v>
      </c>
      <c r="C256" s="1112">
        <v>16010</v>
      </c>
      <c r="D256" s="1112">
        <v>305377</v>
      </c>
    </row>
    <row r="257" spans="2:4">
      <c r="B257" s="412" t="s">
        <v>514</v>
      </c>
      <c r="C257" s="1112">
        <v>16010</v>
      </c>
      <c r="D257" s="1112">
        <v>305377</v>
      </c>
    </row>
    <row r="258" spans="2:4">
      <c r="B258" s="412" t="s">
        <v>515</v>
      </c>
      <c r="C258" s="1112">
        <v>12994</v>
      </c>
      <c r="D258" s="1112">
        <v>247045</v>
      </c>
    </row>
    <row r="259" spans="2:4">
      <c r="B259" s="412" t="s">
        <v>516</v>
      </c>
      <c r="C259" s="1112">
        <v>12994</v>
      </c>
      <c r="D259" s="1112">
        <v>247045</v>
      </c>
    </row>
    <row r="260" spans="2:4">
      <c r="B260" s="412" t="s">
        <v>517</v>
      </c>
      <c r="C260" s="1112">
        <v>12994</v>
      </c>
      <c r="D260" s="1112">
        <v>247045</v>
      </c>
    </row>
    <row r="261" spans="2:4">
      <c r="B261" s="412" t="s">
        <v>518</v>
      </c>
      <c r="C261" s="1112">
        <v>16010</v>
      </c>
      <c r="D261" s="1112">
        <v>305377</v>
      </c>
    </row>
    <row r="262" spans="2:4">
      <c r="B262" s="412" t="s">
        <v>519</v>
      </c>
      <c r="C262" s="1112">
        <v>12994</v>
      </c>
      <c r="D262" s="1112">
        <v>247045</v>
      </c>
    </row>
    <row r="263" spans="2:4">
      <c r="B263" s="412" t="s">
        <v>520</v>
      </c>
      <c r="C263" s="1112">
        <v>12994</v>
      </c>
      <c r="D263" s="1112">
        <v>247045</v>
      </c>
    </row>
    <row r="264" spans="2:4">
      <c r="B264" s="412" t="s">
        <v>521</v>
      </c>
      <c r="C264" s="1112">
        <v>10844</v>
      </c>
      <c r="D264" s="1112">
        <v>203359</v>
      </c>
    </row>
    <row r="265" spans="2:4">
      <c r="B265" s="412" t="s">
        <v>522</v>
      </c>
      <c r="C265" s="1112">
        <v>11460.666666666666</v>
      </c>
      <c r="D265" s="1112">
        <v>215889.09302325582</v>
      </c>
    </row>
    <row r="266" spans="2:4">
      <c r="B266" s="412" t="s">
        <v>523</v>
      </c>
      <c r="C266" s="1112">
        <v>37050.855335968379</v>
      </c>
      <c r="D266" s="1112">
        <v>712090.84189723316</v>
      </c>
    </row>
    <row r="267" spans="2:4">
      <c r="B267" s="412" t="s">
        <v>524</v>
      </c>
      <c r="C267" s="1112">
        <v>31326</v>
      </c>
      <c r="D267" s="1112">
        <v>602201</v>
      </c>
    </row>
    <row r="268" spans="2:4">
      <c r="B268" s="412" t="s">
        <v>525</v>
      </c>
      <c r="C268" s="1112">
        <v>31422.562445414846</v>
      </c>
      <c r="D268" s="1112">
        <v>604054.53711790394</v>
      </c>
    </row>
    <row r="269" spans="2:4">
      <c r="B269" s="412" t="s">
        <v>526</v>
      </c>
      <c r="C269" s="1112">
        <v>31326</v>
      </c>
      <c r="D269" s="1112">
        <v>602201</v>
      </c>
    </row>
    <row r="270" spans="2:4">
      <c r="B270" s="412" t="s">
        <v>527</v>
      </c>
      <c r="C270" s="1112">
        <v>31326</v>
      </c>
      <c r="D270" s="1112">
        <v>602201</v>
      </c>
    </row>
    <row r="271" spans="2:4">
      <c r="B271" s="412" t="s">
        <v>528</v>
      </c>
      <c r="C271" s="1112">
        <v>31004.103599648814</v>
      </c>
      <c r="D271" s="1112">
        <v>595964.72256365232</v>
      </c>
    </row>
    <row r="272" spans="2:4">
      <c r="B272" s="412" t="s">
        <v>529</v>
      </c>
      <c r="C272" s="1112">
        <v>31326</v>
      </c>
      <c r="D272" s="1112">
        <v>602201</v>
      </c>
    </row>
    <row r="273" spans="2:4">
      <c r="B273" s="412" t="s">
        <v>530</v>
      </c>
      <c r="C273" s="1112">
        <v>13371.201646090534</v>
      </c>
      <c r="D273" s="1112">
        <v>254352.7366255144</v>
      </c>
    </row>
    <row r="274" spans="2:4">
      <c r="B274" s="412" t="s">
        <v>531</v>
      </c>
      <c r="C274" s="1112">
        <v>16010</v>
      </c>
      <c r="D274" s="1112">
        <v>305377</v>
      </c>
    </row>
    <row r="275" spans="2:4">
      <c r="B275" s="412" t="s">
        <v>532</v>
      </c>
      <c r="C275" s="1112">
        <v>16010</v>
      </c>
      <c r="D275" s="1112">
        <v>305377</v>
      </c>
    </row>
    <row r="276" spans="2:4">
      <c r="B276" s="412" t="s">
        <v>533</v>
      </c>
      <c r="C276" s="1112">
        <v>16010</v>
      </c>
      <c r="D276" s="1112">
        <v>305377</v>
      </c>
    </row>
    <row r="277" spans="2:4">
      <c r="B277" s="412" t="s">
        <v>534</v>
      </c>
      <c r="C277" s="1112">
        <v>15990</v>
      </c>
      <c r="D277" s="1112">
        <v>304990.18302387267</v>
      </c>
    </row>
    <row r="278" spans="2:4">
      <c r="B278" s="412" t="s">
        <v>535</v>
      </c>
      <c r="C278" s="1112">
        <v>15761.875177304964</v>
      </c>
      <c r="D278" s="1112">
        <v>300578.05531914893</v>
      </c>
    </row>
    <row r="279" spans="2:4">
      <c r="B279" s="412" t="s">
        <v>536</v>
      </c>
      <c r="C279" s="1112">
        <v>16010</v>
      </c>
      <c r="D279" s="1112">
        <v>305377</v>
      </c>
    </row>
    <row r="280" spans="2:4">
      <c r="B280" s="412" t="s">
        <v>537</v>
      </c>
      <c r="C280" s="1112">
        <v>16010</v>
      </c>
      <c r="D280" s="1112">
        <v>305377</v>
      </c>
    </row>
    <row r="281" spans="2:4">
      <c r="B281" s="412" t="s">
        <v>538</v>
      </c>
      <c r="C281" s="1112">
        <v>16010</v>
      </c>
      <c r="D281" s="1112">
        <v>305377</v>
      </c>
    </row>
    <row r="282" spans="2:4">
      <c r="B282" s="412" t="s">
        <v>539</v>
      </c>
      <c r="C282" s="1112">
        <v>12994</v>
      </c>
      <c r="D282" s="1112">
        <v>247045</v>
      </c>
    </row>
    <row r="283" spans="2:4">
      <c r="B283" s="412" t="s">
        <v>540</v>
      </c>
      <c r="C283" s="1112">
        <v>12994</v>
      </c>
      <c r="D283" s="1112">
        <v>247045</v>
      </c>
    </row>
    <row r="284" spans="2:4">
      <c r="B284" s="412" t="s">
        <v>541</v>
      </c>
      <c r="C284" s="1112">
        <v>12994</v>
      </c>
      <c r="D284" s="1112">
        <v>247045</v>
      </c>
    </row>
    <row r="285" spans="2:4">
      <c r="B285" s="412" t="s">
        <v>542</v>
      </c>
      <c r="C285" s="1112">
        <v>12994</v>
      </c>
      <c r="D285" s="1112">
        <v>247045</v>
      </c>
    </row>
    <row r="286" spans="2:4">
      <c r="B286" s="412" t="s">
        <v>543</v>
      </c>
      <c r="C286" s="1112">
        <v>12994</v>
      </c>
      <c r="D286" s="1112">
        <v>247045</v>
      </c>
    </row>
    <row r="287" spans="2:4">
      <c r="B287" s="412" t="s">
        <v>544</v>
      </c>
      <c r="C287" s="1112">
        <v>12994</v>
      </c>
      <c r="D287" s="1112">
        <v>247045</v>
      </c>
    </row>
    <row r="288" spans="2:4">
      <c r="B288" s="412" t="s">
        <v>545</v>
      </c>
      <c r="C288" s="1112">
        <v>12994</v>
      </c>
      <c r="D288" s="1112">
        <v>247045</v>
      </c>
    </row>
    <row r="289" spans="2:4">
      <c r="B289" s="412" t="s">
        <v>546</v>
      </c>
      <c r="C289" s="1112">
        <v>12994</v>
      </c>
      <c r="D289" s="1112">
        <v>247045</v>
      </c>
    </row>
    <row r="290" spans="2:4">
      <c r="B290" s="412" t="s">
        <v>547</v>
      </c>
      <c r="C290" s="1112">
        <v>12994</v>
      </c>
      <c r="D290" s="1112">
        <v>247045</v>
      </c>
    </row>
    <row r="291" spans="2:4">
      <c r="B291" s="412" t="s">
        <v>548</v>
      </c>
      <c r="C291" s="1112">
        <v>12994</v>
      </c>
      <c r="D291" s="1112">
        <v>247045</v>
      </c>
    </row>
    <row r="292" spans="2:4">
      <c r="B292" s="412" t="s">
        <v>549</v>
      </c>
      <c r="C292" s="1112">
        <v>16006.851774530271</v>
      </c>
      <c r="D292" s="1112">
        <v>305316.11064718163</v>
      </c>
    </row>
    <row r="293" spans="2:4">
      <c r="B293" s="412" t="s">
        <v>550</v>
      </c>
      <c r="C293" s="1112">
        <v>16010</v>
      </c>
      <c r="D293" s="1112">
        <v>305377</v>
      </c>
    </row>
    <row r="294" spans="2:4">
      <c r="B294" s="412" t="s">
        <v>551</v>
      </c>
      <c r="C294" s="1112">
        <v>13016.340740740741</v>
      </c>
      <c r="D294" s="1112">
        <v>247477.08888888889</v>
      </c>
    </row>
    <row r="295" spans="2:4">
      <c r="B295" s="412" t="s">
        <v>552</v>
      </c>
      <c r="C295" s="1112">
        <v>16010</v>
      </c>
      <c r="D295" s="1112">
        <v>305377</v>
      </c>
    </row>
    <row r="296" spans="2:4">
      <c r="B296" s="412" t="s">
        <v>553</v>
      </c>
      <c r="C296" s="1112">
        <v>16010</v>
      </c>
      <c r="D296" s="1112">
        <v>305377</v>
      </c>
    </row>
    <row r="297" spans="2:4">
      <c r="B297" s="412" t="s">
        <v>554</v>
      </c>
      <c r="C297" s="1112">
        <v>16010</v>
      </c>
      <c r="D297" s="1112">
        <v>305377</v>
      </c>
    </row>
    <row r="298" spans="2:4">
      <c r="B298" s="412" t="s">
        <v>555</v>
      </c>
      <c r="C298" s="1112">
        <v>16010</v>
      </c>
      <c r="D298" s="1112">
        <v>305377</v>
      </c>
    </row>
    <row r="299" spans="2:4">
      <c r="B299" s="412" t="s">
        <v>556</v>
      </c>
      <c r="C299" s="1112">
        <v>16010</v>
      </c>
      <c r="D299" s="1112">
        <v>305377</v>
      </c>
    </row>
    <row r="300" spans="2:4">
      <c r="B300" s="412" t="s">
        <v>557</v>
      </c>
      <c r="C300" s="1112">
        <v>12994</v>
      </c>
      <c r="D300" s="1112">
        <v>247045</v>
      </c>
    </row>
    <row r="301" spans="2:4">
      <c r="B301" s="412" t="s">
        <v>558</v>
      </c>
      <c r="C301" s="1112">
        <v>16010</v>
      </c>
      <c r="D301" s="1112">
        <v>305377</v>
      </c>
    </row>
    <row r="302" spans="2:4">
      <c r="B302" s="412" t="s">
        <v>559</v>
      </c>
      <c r="C302" s="1112">
        <v>12994</v>
      </c>
      <c r="D302" s="1112">
        <v>247045</v>
      </c>
    </row>
    <row r="303" spans="2:4">
      <c r="B303" s="412" t="s">
        <v>560</v>
      </c>
      <c r="C303" s="1112">
        <v>12994</v>
      </c>
      <c r="D303" s="1112">
        <v>247045</v>
      </c>
    </row>
    <row r="304" spans="2:4">
      <c r="B304" s="412" t="s">
        <v>561</v>
      </c>
      <c r="C304" s="1112">
        <v>12994</v>
      </c>
      <c r="D304" s="1112">
        <v>247045</v>
      </c>
    </row>
    <row r="305" spans="2:4">
      <c r="B305" s="412" t="s">
        <v>562</v>
      </c>
      <c r="C305" s="1112">
        <v>12994</v>
      </c>
      <c r="D305" s="1112">
        <v>247045</v>
      </c>
    </row>
    <row r="306" spans="2:4">
      <c r="B306" s="412" t="s">
        <v>563</v>
      </c>
      <c r="C306" s="1112">
        <v>16010</v>
      </c>
      <c r="D306" s="1112">
        <v>305377</v>
      </c>
    </row>
    <row r="307" spans="2:4">
      <c r="B307" s="412" t="s">
        <v>564</v>
      </c>
      <c r="C307" s="1112">
        <v>16010</v>
      </c>
      <c r="D307" s="1112">
        <v>305377</v>
      </c>
    </row>
    <row r="308" spans="2:4">
      <c r="B308" s="412" t="s">
        <v>565</v>
      </c>
      <c r="C308" s="1112">
        <v>16010</v>
      </c>
      <c r="D308" s="1112">
        <v>305377</v>
      </c>
    </row>
    <row r="309" spans="2:4">
      <c r="B309" s="412" t="s">
        <v>566</v>
      </c>
      <c r="C309" s="1112">
        <v>15610.505966587112</v>
      </c>
      <c r="D309" s="1112">
        <v>297650.44630071596</v>
      </c>
    </row>
    <row r="310" spans="2:4">
      <c r="B310" s="412" t="s">
        <v>567</v>
      </c>
      <c r="C310" s="1112">
        <v>16010</v>
      </c>
      <c r="D310" s="1112">
        <v>305377</v>
      </c>
    </row>
    <row r="311" spans="2:4">
      <c r="B311" s="412" t="s">
        <v>568</v>
      </c>
      <c r="C311" s="1112">
        <v>16010</v>
      </c>
      <c r="D311" s="1112">
        <v>305377</v>
      </c>
    </row>
    <row r="312" spans="2:4">
      <c r="B312" s="412" t="s">
        <v>569</v>
      </c>
      <c r="C312" s="1112">
        <v>16010</v>
      </c>
      <c r="D312" s="1112">
        <v>305377</v>
      </c>
    </row>
    <row r="313" spans="2:4">
      <c r="B313" s="412" t="s">
        <v>570</v>
      </c>
      <c r="C313" s="1112">
        <v>16010</v>
      </c>
      <c r="D313" s="1112">
        <v>305377</v>
      </c>
    </row>
    <row r="314" spans="2:4">
      <c r="B314" s="412" t="s">
        <v>571</v>
      </c>
      <c r="C314" s="1112">
        <v>16010</v>
      </c>
      <c r="D314" s="1112">
        <v>305377</v>
      </c>
    </row>
    <row r="315" spans="2:4">
      <c r="B315" s="412" t="s">
        <v>572</v>
      </c>
      <c r="C315" s="1112">
        <v>16010</v>
      </c>
      <c r="D315" s="1112">
        <v>305377</v>
      </c>
    </row>
    <row r="316" spans="2:4">
      <c r="B316" s="412" t="s">
        <v>573</v>
      </c>
      <c r="C316" s="1112">
        <v>16010</v>
      </c>
      <c r="D316" s="1112">
        <v>305377</v>
      </c>
    </row>
    <row r="317" spans="2:4">
      <c r="B317" s="412" t="s">
        <v>574</v>
      </c>
      <c r="C317" s="1112">
        <v>16010</v>
      </c>
      <c r="D317" s="1112">
        <v>305377</v>
      </c>
    </row>
    <row r="318" spans="2:4">
      <c r="B318" s="412" t="s">
        <v>575</v>
      </c>
      <c r="C318" s="1112">
        <v>15952.643423137877</v>
      </c>
      <c r="D318" s="1112">
        <v>304267.67511885893</v>
      </c>
    </row>
    <row r="319" spans="2:4">
      <c r="B319" s="412" t="s">
        <v>576</v>
      </c>
      <c r="C319" s="1112">
        <v>16010</v>
      </c>
      <c r="D319" s="1112">
        <v>305377</v>
      </c>
    </row>
    <row r="320" spans="2:4">
      <c r="B320" s="412" t="s">
        <v>577</v>
      </c>
      <c r="C320" s="1112">
        <v>13024.541772151899</v>
      </c>
      <c r="D320" s="1112">
        <v>247635.70379746836</v>
      </c>
    </row>
    <row r="321" spans="2:4">
      <c r="B321" s="412" t="s">
        <v>578</v>
      </c>
      <c r="C321" s="1112">
        <v>15243.860465116279</v>
      </c>
      <c r="D321" s="1112">
        <v>290559.21109123435</v>
      </c>
    </row>
    <row r="322" spans="2:4">
      <c r="B322" s="412" t="s">
        <v>579</v>
      </c>
      <c r="C322" s="1112">
        <v>13110</v>
      </c>
      <c r="D322" s="1112">
        <v>249288.53846153847</v>
      </c>
    </row>
    <row r="323" spans="2:4">
      <c r="B323" s="412" t="s">
        <v>580</v>
      </c>
      <c r="C323" s="1112">
        <v>12994</v>
      </c>
      <c r="D323" s="1112">
        <v>247045</v>
      </c>
    </row>
    <row r="324" spans="2:4">
      <c r="B324" s="412" t="s">
        <v>581</v>
      </c>
      <c r="C324" s="1112">
        <v>16010</v>
      </c>
      <c r="D324" s="1112">
        <v>305377</v>
      </c>
    </row>
    <row r="325" spans="2:4">
      <c r="B325" s="412" t="s">
        <v>582</v>
      </c>
      <c r="C325" s="1112">
        <v>12994</v>
      </c>
      <c r="D325" s="1112">
        <v>247045</v>
      </c>
    </row>
    <row r="326" spans="2:4">
      <c r="B326" s="412" t="s">
        <v>583</v>
      </c>
      <c r="C326" s="1112">
        <v>12994</v>
      </c>
      <c r="D326" s="1112">
        <v>247045</v>
      </c>
    </row>
    <row r="327" spans="2:4">
      <c r="B327" s="412" t="s">
        <v>584</v>
      </c>
      <c r="C327" s="1112">
        <v>12994</v>
      </c>
      <c r="D327" s="1112">
        <v>247045</v>
      </c>
    </row>
    <row r="328" spans="2:4">
      <c r="B328" s="412" t="s">
        <v>585</v>
      </c>
      <c r="C328" s="1112">
        <v>12994</v>
      </c>
      <c r="D328" s="1112">
        <v>247045</v>
      </c>
    </row>
    <row r="329" spans="2:4">
      <c r="B329" s="412" t="s">
        <v>586</v>
      </c>
      <c r="C329" s="1112">
        <v>12994</v>
      </c>
      <c r="D329" s="1112">
        <v>247045</v>
      </c>
    </row>
    <row r="330" spans="2:4">
      <c r="B330" s="412" t="s">
        <v>587</v>
      </c>
      <c r="C330" s="1112">
        <v>12994</v>
      </c>
      <c r="D330" s="1112">
        <v>247045</v>
      </c>
    </row>
    <row r="331" spans="2:4">
      <c r="B331" s="412" t="s">
        <v>588</v>
      </c>
      <c r="C331" s="1112">
        <v>12994</v>
      </c>
      <c r="D331" s="1112">
        <v>247045</v>
      </c>
    </row>
    <row r="332" spans="2:4">
      <c r="B332" s="412" t="s">
        <v>589</v>
      </c>
      <c r="C332" s="1112">
        <v>12994</v>
      </c>
      <c r="D332" s="1112">
        <v>247045</v>
      </c>
    </row>
    <row r="333" spans="2:4">
      <c r="B333" s="412" t="s">
        <v>590</v>
      </c>
      <c r="C333" s="1112">
        <v>12994</v>
      </c>
      <c r="D333" s="1112">
        <v>247045</v>
      </c>
    </row>
    <row r="334" spans="2:4">
      <c r="B334" s="412" t="s">
        <v>591</v>
      </c>
      <c r="C334" s="1112">
        <v>12994</v>
      </c>
      <c r="D334" s="1112">
        <v>247045</v>
      </c>
    </row>
    <row r="335" spans="2:4">
      <c r="B335" s="412" t="s">
        <v>592</v>
      </c>
      <c r="C335" s="1112">
        <v>16010</v>
      </c>
      <c r="D335" s="1112">
        <v>305377</v>
      </c>
    </row>
    <row r="336" spans="2:4">
      <c r="B336" s="412" t="s">
        <v>593</v>
      </c>
      <c r="C336" s="1112">
        <v>12994</v>
      </c>
      <c r="D336" s="1112">
        <v>247045</v>
      </c>
    </row>
    <row r="337" spans="2:4">
      <c r="B337" s="412" t="s">
        <v>594</v>
      </c>
      <c r="C337" s="1112">
        <v>12994</v>
      </c>
      <c r="D337" s="1112">
        <v>247045</v>
      </c>
    </row>
    <row r="338" spans="2:4">
      <c r="B338" s="412" t="s">
        <v>595</v>
      </c>
      <c r="C338" s="1112">
        <v>12994</v>
      </c>
      <c r="D338" s="1112">
        <v>247045</v>
      </c>
    </row>
    <row r="339" spans="2:4">
      <c r="B339" s="412" t="s">
        <v>596</v>
      </c>
      <c r="C339" s="1112">
        <v>12994</v>
      </c>
      <c r="D339" s="1112">
        <v>247045</v>
      </c>
    </row>
    <row r="340" spans="2:4">
      <c r="B340" s="412" t="s">
        <v>597</v>
      </c>
      <c r="C340" s="1112">
        <v>12994</v>
      </c>
      <c r="D340" s="1112">
        <v>247045</v>
      </c>
    </row>
    <row r="341" spans="2:4">
      <c r="B341" s="412" t="s">
        <v>598</v>
      </c>
      <c r="C341" s="1112">
        <v>12994</v>
      </c>
      <c r="D341" s="1112">
        <v>247045</v>
      </c>
    </row>
    <row r="342" spans="2:4">
      <c r="B342" s="412" t="s">
        <v>599</v>
      </c>
      <c r="C342" s="1112">
        <v>13289.63053722903</v>
      </c>
      <c r="D342" s="1112">
        <v>252762.74552309143</v>
      </c>
    </row>
    <row r="343" spans="2:4">
      <c r="B343" s="412" t="s">
        <v>600</v>
      </c>
      <c r="C343" s="1112">
        <v>12994</v>
      </c>
      <c r="D343" s="1112">
        <v>247045</v>
      </c>
    </row>
    <row r="344" spans="2:4">
      <c r="B344" s="412" t="s">
        <v>601</v>
      </c>
      <c r="C344" s="1112">
        <v>12994</v>
      </c>
      <c r="D344" s="1112">
        <v>247045</v>
      </c>
    </row>
    <row r="345" spans="2:4">
      <c r="B345" s="412" t="s">
        <v>602</v>
      </c>
      <c r="C345" s="1112">
        <v>12994</v>
      </c>
      <c r="D345" s="1112">
        <v>247045</v>
      </c>
    </row>
    <row r="346" spans="2:4">
      <c r="B346" s="412" t="s">
        <v>603</v>
      </c>
      <c r="C346" s="1112">
        <v>16010</v>
      </c>
      <c r="D346" s="1112">
        <v>305377</v>
      </c>
    </row>
    <row r="347" spans="2:4">
      <c r="B347" s="412" t="s">
        <v>604</v>
      </c>
      <c r="C347" s="1112">
        <v>12994</v>
      </c>
      <c r="D347" s="1112">
        <v>247045</v>
      </c>
    </row>
    <row r="348" spans="2:4">
      <c r="B348" s="412" t="s">
        <v>605</v>
      </c>
      <c r="C348" s="1112">
        <v>12994</v>
      </c>
      <c r="D348" s="1112">
        <v>247045</v>
      </c>
    </row>
    <row r="349" spans="2:4">
      <c r="B349" s="412" t="s">
        <v>606</v>
      </c>
      <c r="C349" s="1112">
        <v>12994</v>
      </c>
      <c r="D349" s="1112">
        <v>247045</v>
      </c>
    </row>
    <row r="350" spans="2:4">
      <c r="B350" s="412" t="s">
        <v>607</v>
      </c>
      <c r="C350" s="1112">
        <v>12994</v>
      </c>
      <c r="D350" s="1112">
        <v>247045</v>
      </c>
    </row>
    <row r="351" spans="2:4">
      <c r="B351" s="412" t="s">
        <v>608</v>
      </c>
      <c r="C351" s="1112">
        <v>12994</v>
      </c>
      <c r="D351" s="1112">
        <v>247045</v>
      </c>
    </row>
    <row r="352" spans="2:4">
      <c r="B352" s="412" t="s">
        <v>609</v>
      </c>
      <c r="C352" s="1112">
        <v>12994</v>
      </c>
      <c r="D352" s="1112">
        <v>247045</v>
      </c>
    </row>
    <row r="353" spans="2:4">
      <c r="B353" s="412" t="s">
        <v>610</v>
      </c>
      <c r="C353" s="1112">
        <v>12994</v>
      </c>
      <c r="D353" s="1112">
        <v>247045</v>
      </c>
    </row>
    <row r="354" spans="2:4">
      <c r="B354" s="412" t="s">
        <v>611</v>
      </c>
      <c r="C354" s="1112">
        <v>12994</v>
      </c>
      <c r="D354" s="1112">
        <v>247045</v>
      </c>
    </row>
    <row r="355" spans="2:4">
      <c r="B355" s="412" t="s">
        <v>612</v>
      </c>
      <c r="C355" s="1112">
        <v>12994</v>
      </c>
      <c r="D355" s="1112">
        <v>247045</v>
      </c>
    </row>
    <row r="356" spans="2:4">
      <c r="B356" s="412" t="s">
        <v>613</v>
      </c>
      <c r="C356" s="1112">
        <v>12994</v>
      </c>
      <c r="D356" s="1112">
        <v>247045</v>
      </c>
    </row>
    <row r="357" spans="2:4">
      <c r="B357" s="412" t="s">
        <v>614</v>
      </c>
      <c r="C357" s="1112">
        <v>15927.085910652921</v>
      </c>
      <c r="D357" s="1112">
        <v>303773.37113402062</v>
      </c>
    </row>
    <row r="358" spans="2:4">
      <c r="B358" s="412" t="s">
        <v>615</v>
      </c>
      <c r="C358" s="1112">
        <v>12994</v>
      </c>
      <c r="D358" s="1112">
        <v>247045</v>
      </c>
    </row>
    <row r="359" spans="2:4">
      <c r="B359" s="412" t="s">
        <v>616</v>
      </c>
      <c r="C359" s="1112">
        <v>12994</v>
      </c>
      <c r="D359" s="1112">
        <v>247045</v>
      </c>
    </row>
    <row r="360" spans="2:4">
      <c r="B360" s="412" t="s">
        <v>617</v>
      </c>
      <c r="C360" s="1112">
        <v>12994</v>
      </c>
      <c r="D360" s="1112">
        <v>247045</v>
      </c>
    </row>
    <row r="361" spans="2:4">
      <c r="B361" s="412" t="s">
        <v>618</v>
      </c>
      <c r="C361" s="1112">
        <v>12994</v>
      </c>
      <c r="D361" s="1112">
        <v>247045</v>
      </c>
    </row>
    <row r="362" spans="2:4">
      <c r="B362" s="412" t="s">
        <v>619</v>
      </c>
      <c r="C362" s="1112">
        <v>12994</v>
      </c>
      <c r="D362" s="1112">
        <v>247045</v>
      </c>
    </row>
    <row r="363" spans="2:4">
      <c r="B363" s="412" t="s">
        <v>620</v>
      </c>
      <c r="C363" s="1112">
        <v>12994</v>
      </c>
      <c r="D363" s="1112">
        <v>247045</v>
      </c>
    </row>
    <row r="364" spans="2:4">
      <c r="B364" s="412" t="s">
        <v>621</v>
      </c>
      <c r="C364" s="1112">
        <v>12994</v>
      </c>
      <c r="D364" s="1112">
        <v>247045</v>
      </c>
    </row>
    <row r="365" spans="2:4">
      <c r="B365" s="412" t="s">
        <v>622</v>
      </c>
      <c r="C365" s="1112">
        <v>15934.6</v>
      </c>
      <c r="D365" s="1112">
        <v>303918.7</v>
      </c>
    </row>
    <row r="366" spans="2:4">
      <c r="B366" s="412" t="s">
        <v>623</v>
      </c>
      <c r="C366" s="1112">
        <v>12994</v>
      </c>
      <c r="D366" s="1112">
        <v>247045</v>
      </c>
    </row>
    <row r="367" spans="2:4">
      <c r="B367" s="412" t="s">
        <v>624</v>
      </c>
      <c r="C367" s="1112">
        <v>12994</v>
      </c>
      <c r="D367" s="1112">
        <v>247045</v>
      </c>
    </row>
    <row r="368" spans="2:4">
      <c r="B368" s="412" t="s">
        <v>625</v>
      </c>
      <c r="C368" s="1112">
        <v>12994</v>
      </c>
      <c r="D368" s="1112">
        <v>247045</v>
      </c>
    </row>
    <row r="369" spans="2:4">
      <c r="B369" s="412" t="s">
        <v>626</v>
      </c>
      <c r="C369" s="1112">
        <v>12994</v>
      </c>
      <c r="D369" s="1112">
        <v>247045</v>
      </c>
    </row>
    <row r="370" spans="2:4">
      <c r="B370" s="412" t="s">
        <v>627</v>
      </c>
      <c r="C370" s="1112">
        <v>12994</v>
      </c>
      <c r="D370" s="1112">
        <v>247045</v>
      </c>
    </row>
    <row r="371" spans="2:4">
      <c r="B371" s="412" t="s">
        <v>628</v>
      </c>
      <c r="C371" s="1112">
        <v>12994</v>
      </c>
      <c r="D371" s="1112">
        <v>247045</v>
      </c>
    </row>
    <row r="372" spans="2:4">
      <c r="B372" s="412" t="s">
        <v>629</v>
      </c>
      <c r="C372" s="1112">
        <v>12994</v>
      </c>
      <c r="D372" s="1112">
        <v>247045</v>
      </c>
    </row>
    <row r="373" spans="2:4">
      <c r="B373" s="412" t="s">
        <v>630</v>
      </c>
      <c r="C373" s="1112">
        <v>12994</v>
      </c>
      <c r="D373" s="1112">
        <v>247045</v>
      </c>
    </row>
    <row r="374" spans="2:4">
      <c r="B374" s="412" t="s">
        <v>631</v>
      </c>
      <c r="C374" s="1112">
        <v>12994</v>
      </c>
      <c r="D374" s="1112">
        <v>247045</v>
      </c>
    </row>
    <row r="375" spans="2:4">
      <c r="B375" s="412" t="s">
        <v>632</v>
      </c>
      <c r="C375" s="1112">
        <v>12994</v>
      </c>
      <c r="D375" s="1112">
        <v>247045</v>
      </c>
    </row>
    <row r="376" spans="2:4">
      <c r="B376" s="412" t="s">
        <v>633</v>
      </c>
      <c r="C376" s="1112">
        <v>16010</v>
      </c>
      <c r="D376" s="1112">
        <v>305377</v>
      </c>
    </row>
    <row r="377" spans="2:4">
      <c r="B377" s="412" t="s">
        <v>634</v>
      </c>
      <c r="C377" s="1112">
        <v>12994</v>
      </c>
      <c r="D377" s="1112">
        <v>247045</v>
      </c>
    </row>
    <row r="378" spans="2:4">
      <c r="B378" s="412" t="s">
        <v>635</v>
      </c>
      <c r="C378" s="1112">
        <v>12994</v>
      </c>
      <c r="D378" s="1112">
        <v>247045</v>
      </c>
    </row>
    <row r="379" spans="2:4">
      <c r="B379" s="412" t="s">
        <v>636</v>
      </c>
      <c r="C379" s="1112">
        <v>12994</v>
      </c>
      <c r="D379" s="1112">
        <v>247045</v>
      </c>
    </row>
    <row r="380" spans="2:4">
      <c r="B380" s="412" t="s">
        <v>637</v>
      </c>
      <c r="C380" s="1112">
        <v>12994</v>
      </c>
      <c r="D380" s="1112">
        <v>247045</v>
      </c>
    </row>
    <row r="381" spans="2:4">
      <c r="B381" s="412" t="s">
        <v>638</v>
      </c>
      <c r="C381" s="1112">
        <v>12994</v>
      </c>
      <c r="D381" s="1112">
        <v>247045</v>
      </c>
    </row>
    <row r="382" spans="2:4">
      <c r="B382" s="412" t="s">
        <v>639</v>
      </c>
      <c r="C382" s="1112">
        <v>12994</v>
      </c>
      <c r="D382" s="1112">
        <v>247045</v>
      </c>
    </row>
    <row r="383" spans="2:4">
      <c r="B383" s="412" t="s">
        <v>640</v>
      </c>
      <c r="C383" s="1112">
        <v>12994</v>
      </c>
      <c r="D383" s="1112">
        <v>247045</v>
      </c>
    </row>
    <row r="384" spans="2:4">
      <c r="B384" s="412" t="s">
        <v>641</v>
      </c>
      <c r="C384" s="1112">
        <v>12994</v>
      </c>
      <c r="D384" s="1112">
        <v>247045</v>
      </c>
    </row>
    <row r="385" spans="2:4">
      <c r="B385" s="412" t="s">
        <v>642</v>
      </c>
      <c r="C385" s="1112">
        <v>13594.247960848286</v>
      </c>
      <c r="D385" s="1112">
        <v>258654.30505709624</v>
      </c>
    </row>
    <row r="386" spans="2:4">
      <c r="B386" s="412" t="s">
        <v>643</v>
      </c>
      <c r="C386" s="1112">
        <v>12994</v>
      </c>
      <c r="D386" s="1112">
        <v>247045</v>
      </c>
    </row>
    <row r="387" spans="2:4">
      <c r="B387" s="412" t="s">
        <v>644</v>
      </c>
      <c r="C387" s="1112">
        <v>12994</v>
      </c>
      <c r="D387" s="1112">
        <v>247045</v>
      </c>
    </row>
    <row r="388" spans="2:4">
      <c r="B388" s="412" t="s">
        <v>645</v>
      </c>
      <c r="C388" s="1112">
        <v>12994</v>
      </c>
      <c r="D388" s="1112">
        <v>247045</v>
      </c>
    </row>
    <row r="389" spans="2:4">
      <c r="B389" s="412" t="s">
        <v>646</v>
      </c>
      <c r="C389" s="1112">
        <v>16010</v>
      </c>
      <c r="D389" s="1112">
        <v>305377</v>
      </c>
    </row>
    <row r="390" spans="2:4">
      <c r="B390" s="412" t="s">
        <v>647</v>
      </c>
      <c r="C390" s="1112">
        <v>12994</v>
      </c>
      <c r="D390" s="1112">
        <v>247045</v>
      </c>
    </row>
    <row r="391" spans="2:4">
      <c r="B391" s="412" t="s">
        <v>648</v>
      </c>
      <c r="C391" s="1112">
        <v>12994</v>
      </c>
      <c r="D391" s="1112">
        <v>247045</v>
      </c>
    </row>
    <row r="392" spans="2:4" ht="17" thickBot="1">
      <c r="B392" s="413" t="s">
        <v>649</v>
      </c>
      <c r="C392" s="1113">
        <v>12994</v>
      </c>
      <c r="D392" s="1113">
        <v>247045</v>
      </c>
    </row>
    <row r="393" spans="2:4">
      <c r="B393" s="415" t="s">
        <v>650</v>
      </c>
      <c r="C393" s="1111">
        <v>12994</v>
      </c>
      <c r="D393" s="1111">
        <v>247045</v>
      </c>
    </row>
    <row r="394" spans="2:4">
      <c r="B394" s="412" t="s">
        <v>651</v>
      </c>
      <c r="C394" s="1112">
        <v>10844</v>
      </c>
      <c r="D394" s="1112">
        <v>203359</v>
      </c>
    </row>
    <row r="395" spans="2:4">
      <c r="B395" s="412" t="s">
        <v>652</v>
      </c>
      <c r="C395" s="1112">
        <v>10844</v>
      </c>
      <c r="D395" s="1112">
        <v>203359</v>
      </c>
    </row>
    <row r="396" spans="2:4">
      <c r="B396" s="412" t="s">
        <v>653</v>
      </c>
      <c r="C396" s="1112">
        <v>10844</v>
      </c>
      <c r="D396" s="1112">
        <v>203359</v>
      </c>
    </row>
    <row r="397" spans="2:4">
      <c r="B397" s="412" t="s">
        <v>654</v>
      </c>
      <c r="C397" s="1112">
        <v>10844</v>
      </c>
      <c r="D397" s="1112">
        <v>203359</v>
      </c>
    </row>
    <row r="398" spans="2:4">
      <c r="B398" s="412" t="s">
        <v>655</v>
      </c>
      <c r="C398" s="1112">
        <v>10844</v>
      </c>
      <c r="D398" s="1112">
        <v>203359</v>
      </c>
    </row>
    <row r="399" spans="2:4">
      <c r="B399" s="412" t="s">
        <v>656</v>
      </c>
      <c r="C399" s="1112">
        <v>10844</v>
      </c>
      <c r="D399" s="1112">
        <v>203359</v>
      </c>
    </row>
    <row r="400" spans="2:4">
      <c r="B400" s="412" t="s">
        <v>657</v>
      </c>
      <c r="C400" s="1112">
        <v>10844</v>
      </c>
      <c r="D400" s="1112">
        <v>203359</v>
      </c>
    </row>
    <row r="401" spans="2:4">
      <c r="B401" s="412" t="s">
        <v>658</v>
      </c>
      <c r="C401" s="1112">
        <v>10844</v>
      </c>
      <c r="D401" s="1112">
        <v>203359</v>
      </c>
    </row>
    <row r="402" spans="2:4">
      <c r="B402" s="412" t="s">
        <v>659</v>
      </c>
      <c r="C402" s="1112">
        <v>10844</v>
      </c>
      <c r="D402" s="1112">
        <v>203359</v>
      </c>
    </row>
    <row r="403" spans="2:4">
      <c r="B403" s="412" t="s">
        <v>660</v>
      </c>
      <c r="C403" s="1112">
        <v>10844</v>
      </c>
      <c r="D403" s="1112">
        <v>203359</v>
      </c>
    </row>
    <row r="404" spans="2:4">
      <c r="B404" s="412" t="s">
        <v>661</v>
      </c>
      <c r="C404" s="1112">
        <v>12994</v>
      </c>
      <c r="D404" s="1112">
        <v>247045</v>
      </c>
    </row>
    <row r="405" spans="2:4">
      <c r="B405" s="412" t="s">
        <v>662</v>
      </c>
      <c r="C405" s="1112">
        <v>10844</v>
      </c>
      <c r="D405" s="1112">
        <v>203359</v>
      </c>
    </row>
    <row r="406" spans="2:4">
      <c r="B406" s="412" t="s">
        <v>663</v>
      </c>
      <c r="C406" s="1112">
        <v>10844</v>
      </c>
      <c r="D406" s="1112">
        <v>203359</v>
      </c>
    </row>
    <row r="407" spans="2:4">
      <c r="B407" s="412" t="s">
        <v>664</v>
      </c>
      <c r="C407" s="1112">
        <v>10844</v>
      </c>
      <c r="D407" s="1112">
        <v>203359</v>
      </c>
    </row>
    <row r="408" spans="2:4">
      <c r="B408" s="412" t="s">
        <v>665</v>
      </c>
      <c r="C408" s="1112">
        <v>10844</v>
      </c>
      <c r="D408" s="1112">
        <v>203359</v>
      </c>
    </row>
    <row r="409" spans="2:4">
      <c r="B409" s="412" t="s">
        <v>666</v>
      </c>
      <c r="C409" s="1112">
        <v>10844</v>
      </c>
      <c r="D409" s="1112">
        <v>203359</v>
      </c>
    </row>
    <row r="410" spans="2:4">
      <c r="B410" s="412" t="s">
        <v>667</v>
      </c>
      <c r="C410" s="1112">
        <v>10844</v>
      </c>
      <c r="D410" s="1112">
        <v>203359</v>
      </c>
    </row>
    <row r="411" spans="2:4">
      <c r="B411" s="412" t="s">
        <v>668</v>
      </c>
      <c r="C411" s="1112">
        <v>10844</v>
      </c>
      <c r="D411" s="1112">
        <v>203359</v>
      </c>
    </row>
    <row r="412" spans="2:4">
      <c r="B412" s="412" t="s">
        <v>669</v>
      </c>
      <c r="C412" s="1112">
        <v>10844</v>
      </c>
      <c r="D412" s="1112">
        <v>203359</v>
      </c>
    </row>
    <row r="413" spans="2:4">
      <c r="B413" s="412" t="s">
        <v>670</v>
      </c>
      <c r="C413" s="1112">
        <v>10844</v>
      </c>
      <c r="D413" s="1112">
        <v>203359</v>
      </c>
    </row>
    <row r="414" spans="2:4">
      <c r="B414" s="412" t="s">
        <v>671</v>
      </c>
      <c r="C414" s="1112">
        <v>12994</v>
      </c>
      <c r="D414" s="1112">
        <v>247045</v>
      </c>
    </row>
    <row r="415" spans="2:4">
      <c r="B415" s="412" t="s">
        <v>672</v>
      </c>
      <c r="C415" s="1112">
        <v>12209.665236051502</v>
      </c>
      <c r="D415" s="1112">
        <v>231108.04721030043</v>
      </c>
    </row>
    <row r="416" spans="2:4">
      <c r="B416" s="412" t="s">
        <v>673</v>
      </c>
      <c r="C416" s="1112">
        <v>12380.617647058823</v>
      </c>
      <c r="D416" s="1112">
        <v>234581.64117647058</v>
      </c>
    </row>
    <row r="417" spans="2:4">
      <c r="B417" s="412" t="s">
        <v>674</v>
      </c>
      <c r="C417" s="1112">
        <v>12994</v>
      </c>
      <c r="D417" s="1112">
        <v>247045</v>
      </c>
    </row>
    <row r="418" spans="2:4">
      <c r="B418" s="412" t="s">
        <v>675</v>
      </c>
      <c r="C418" s="1112">
        <v>10844</v>
      </c>
      <c r="D418" s="1112">
        <v>203359</v>
      </c>
    </row>
    <row r="419" spans="2:4">
      <c r="B419" s="412" t="s">
        <v>676</v>
      </c>
      <c r="C419" s="1112">
        <v>13450.291803278689</v>
      </c>
      <c r="D419" s="1112">
        <v>255866.62295081967</v>
      </c>
    </row>
    <row r="420" spans="2:4">
      <c r="B420" s="412" t="s">
        <v>677</v>
      </c>
      <c r="C420" s="1112">
        <v>10960.08988764045</v>
      </c>
      <c r="D420" s="1112">
        <v>205651.53932584269</v>
      </c>
    </row>
    <row r="421" spans="2:4">
      <c r="B421" s="412" t="s">
        <v>678</v>
      </c>
      <c r="C421" s="1112">
        <v>10844</v>
      </c>
      <c r="D421" s="1112">
        <v>203359</v>
      </c>
    </row>
    <row r="422" spans="2:4">
      <c r="B422" s="412" t="s">
        <v>679</v>
      </c>
      <c r="C422" s="1112">
        <v>12994</v>
      </c>
      <c r="D422" s="1112">
        <v>247045</v>
      </c>
    </row>
    <row r="423" spans="2:4">
      <c r="B423" s="412" t="s">
        <v>680</v>
      </c>
      <c r="C423" s="1112">
        <v>10972.068592057762</v>
      </c>
      <c r="D423" s="1112">
        <v>205961.23465703972</v>
      </c>
    </row>
    <row r="424" spans="2:4">
      <c r="B424" s="412" t="s">
        <v>681</v>
      </c>
      <c r="C424" s="1112">
        <v>10844</v>
      </c>
      <c r="D424" s="1112">
        <v>203359</v>
      </c>
    </row>
    <row r="425" spans="2:4">
      <c r="B425" s="412" t="s">
        <v>682</v>
      </c>
      <c r="C425" s="1112">
        <v>12994</v>
      </c>
      <c r="D425" s="1112">
        <v>247045</v>
      </c>
    </row>
    <row r="426" spans="2:4">
      <c r="B426" s="412" t="s">
        <v>683</v>
      </c>
      <c r="C426" s="1112">
        <v>12928.848484848484</v>
      </c>
      <c r="D426" s="1112">
        <v>245721.18181818182</v>
      </c>
    </row>
    <row r="427" spans="2:4">
      <c r="B427" s="412" t="s">
        <v>684</v>
      </c>
      <c r="C427" s="1112">
        <v>12994</v>
      </c>
      <c r="D427" s="1112">
        <v>247045</v>
      </c>
    </row>
    <row r="428" spans="2:4">
      <c r="B428" s="412" t="s">
        <v>685</v>
      </c>
      <c r="C428" s="1112">
        <v>12994</v>
      </c>
      <c r="D428" s="1112">
        <v>247045</v>
      </c>
    </row>
    <row r="429" spans="2:4">
      <c r="B429" s="412" t="s">
        <v>686</v>
      </c>
      <c r="C429" s="1112">
        <v>12994</v>
      </c>
      <c r="D429" s="1112">
        <v>247045</v>
      </c>
    </row>
    <row r="430" spans="2:4">
      <c r="B430" s="412" t="s">
        <v>687</v>
      </c>
      <c r="C430" s="1112">
        <v>11723.064039408868</v>
      </c>
      <c r="D430" s="1112">
        <v>221220.76354679803</v>
      </c>
    </row>
    <row r="431" spans="2:4">
      <c r="B431" s="412" t="s">
        <v>688</v>
      </c>
      <c r="C431" s="1112">
        <v>12994</v>
      </c>
      <c r="D431" s="1112">
        <v>247045</v>
      </c>
    </row>
    <row r="432" spans="2:4">
      <c r="B432" s="412" t="s">
        <v>689</v>
      </c>
      <c r="C432" s="1112">
        <v>12994</v>
      </c>
      <c r="D432" s="1112">
        <v>247045</v>
      </c>
    </row>
    <row r="433" spans="2:4">
      <c r="B433" s="412" t="s">
        <v>690</v>
      </c>
      <c r="C433" s="1112">
        <v>12994</v>
      </c>
      <c r="D433" s="1112">
        <v>247045</v>
      </c>
    </row>
    <row r="434" spans="2:4">
      <c r="B434" s="412" t="s">
        <v>691</v>
      </c>
      <c r="C434" s="1112">
        <v>10846.53537735849</v>
      </c>
      <c r="D434" s="1112">
        <v>203410.51650943398</v>
      </c>
    </row>
    <row r="435" spans="2:4">
      <c r="B435" s="412" t="s">
        <v>692</v>
      </c>
      <c r="C435" s="1112">
        <v>10844</v>
      </c>
      <c r="D435" s="1112">
        <v>203359</v>
      </c>
    </row>
    <row r="436" spans="2:4">
      <c r="B436" s="412" t="s">
        <v>693</v>
      </c>
      <c r="C436" s="1112">
        <v>10887.247126436781</v>
      </c>
      <c r="D436" s="1112">
        <v>204237.74137931035</v>
      </c>
    </row>
    <row r="437" spans="2:4">
      <c r="B437" s="412" t="s">
        <v>694</v>
      </c>
      <c r="C437" s="1112">
        <v>11092.602287166455</v>
      </c>
      <c r="D437" s="1112">
        <v>208410.36721728081</v>
      </c>
    </row>
    <row r="438" spans="2:4">
      <c r="B438" s="412" t="s">
        <v>695</v>
      </c>
      <c r="C438" s="1112">
        <v>16010</v>
      </c>
      <c r="D438" s="1112">
        <v>305377</v>
      </c>
    </row>
    <row r="439" spans="2:4">
      <c r="B439" s="412" t="s">
        <v>696</v>
      </c>
      <c r="C439" s="1112">
        <v>15975.253456221199</v>
      </c>
      <c r="D439" s="1112">
        <v>304704.97235023044</v>
      </c>
    </row>
    <row r="440" spans="2:4">
      <c r="B440" s="412" t="s">
        <v>697</v>
      </c>
      <c r="C440" s="1112">
        <v>16006.346456692914</v>
      </c>
      <c r="D440" s="1112">
        <v>305306.33737129014</v>
      </c>
    </row>
    <row r="441" spans="2:4">
      <c r="B441" s="412" t="s">
        <v>698</v>
      </c>
      <c r="C441" s="1112">
        <v>15221.659405940594</v>
      </c>
      <c r="D441" s="1112">
        <v>290129.82376237621</v>
      </c>
    </row>
    <row r="442" spans="2:4">
      <c r="B442" s="412" t="s">
        <v>699</v>
      </c>
      <c r="C442" s="1112">
        <v>16010</v>
      </c>
      <c r="D442" s="1112">
        <v>305377</v>
      </c>
    </row>
    <row r="443" spans="2:4">
      <c r="B443" s="412" t="s">
        <v>700</v>
      </c>
      <c r="C443" s="1112">
        <v>16010</v>
      </c>
      <c r="D443" s="1112">
        <v>305377</v>
      </c>
    </row>
    <row r="444" spans="2:4">
      <c r="B444" s="412" t="s">
        <v>701</v>
      </c>
      <c r="C444" s="1112">
        <v>15727.87973273942</v>
      </c>
      <c r="D444" s="1112">
        <v>299920.55456570158</v>
      </c>
    </row>
    <row r="445" spans="2:4">
      <c r="B445" s="412" t="s">
        <v>702</v>
      </c>
      <c r="C445" s="1112">
        <v>16010</v>
      </c>
      <c r="D445" s="1112">
        <v>305377</v>
      </c>
    </row>
    <row r="446" spans="2:4">
      <c r="B446" s="412" t="s">
        <v>703</v>
      </c>
      <c r="C446" s="1112">
        <v>12994</v>
      </c>
      <c r="D446" s="1112">
        <v>247045</v>
      </c>
    </row>
    <row r="447" spans="2:4">
      <c r="B447" s="412" t="s">
        <v>704</v>
      </c>
      <c r="C447" s="1112">
        <v>12994</v>
      </c>
      <c r="D447" s="1112">
        <v>247045</v>
      </c>
    </row>
    <row r="448" spans="2:4">
      <c r="B448" s="412" t="s">
        <v>705</v>
      </c>
      <c r="C448" s="1112">
        <v>12994</v>
      </c>
      <c r="D448" s="1112">
        <v>247045</v>
      </c>
    </row>
    <row r="449" spans="2:4">
      <c r="B449" s="412" t="s">
        <v>706</v>
      </c>
      <c r="C449" s="1112">
        <v>12994</v>
      </c>
      <c r="D449" s="1112">
        <v>247045</v>
      </c>
    </row>
    <row r="450" spans="2:4">
      <c r="B450" s="412" t="s">
        <v>707</v>
      </c>
      <c r="C450" s="1112">
        <v>12994</v>
      </c>
      <c r="D450" s="1112">
        <v>247045</v>
      </c>
    </row>
    <row r="451" spans="2:4">
      <c r="B451" s="412" t="s">
        <v>708</v>
      </c>
      <c r="C451" s="1112">
        <v>12994</v>
      </c>
      <c r="D451" s="1112">
        <v>247045</v>
      </c>
    </row>
    <row r="452" spans="2:4">
      <c r="B452" s="412" t="s">
        <v>709</v>
      </c>
      <c r="C452" s="1112">
        <v>12994</v>
      </c>
      <c r="D452" s="1112">
        <v>247045</v>
      </c>
    </row>
    <row r="453" spans="2:4">
      <c r="B453" s="412" t="s">
        <v>710</v>
      </c>
      <c r="C453" s="1112">
        <v>12994</v>
      </c>
      <c r="D453" s="1112">
        <v>247045</v>
      </c>
    </row>
    <row r="454" spans="2:4">
      <c r="B454" s="412" t="s">
        <v>711</v>
      </c>
      <c r="C454" s="1112">
        <v>12994</v>
      </c>
      <c r="D454" s="1112">
        <v>247045</v>
      </c>
    </row>
    <row r="455" spans="2:4">
      <c r="B455" s="412" t="s">
        <v>712</v>
      </c>
      <c r="C455" s="1112">
        <v>12994</v>
      </c>
      <c r="D455" s="1112">
        <v>247045</v>
      </c>
    </row>
    <row r="456" spans="2:4">
      <c r="B456" s="412" t="s">
        <v>713</v>
      </c>
      <c r="C456" s="1112">
        <v>12994</v>
      </c>
      <c r="D456" s="1112">
        <v>247045</v>
      </c>
    </row>
    <row r="457" spans="2:4">
      <c r="B457" s="412" t="s">
        <v>714</v>
      </c>
      <c r="C457" s="1112">
        <v>12994</v>
      </c>
      <c r="D457" s="1112">
        <v>247045</v>
      </c>
    </row>
    <row r="458" spans="2:4">
      <c r="B458" s="412" t="s">
        <v>715</v>
      </c>
      <c r="C458" s="1112">
        <v>12994</v>
      </c>
      <c r="D458" s="1112">
        <v>247045</v>
      </c>
    </row>
    <row r="459" spans="2:4">
      <c r="B459" s="412" t="s">
        <v>716</v>
      </c>
      <c r="C459" s="1112">
        <v>12991.85</v>
      </c>
      <c r="D459" s="1112">
        <v>247001.31400000001</v>
      </c>
    </row>
    <row r="460" spans="2:4">
      <c r="B460" s="412" t="s">
        <v>717</v>
      </c>
      <c r="C460" s="1112">
        <v>12994</v>
      </c>
      <c r="D460" s="1112">
        <v>247045</v>
      </c>
    </row>
    <row r="461" spans="2:4">
      <c r="B461" s="412" t="s">
        <v>718</v>
      </c>
      <c r="C461" s="1112">
        <v>11432.616714697406</v>
      </c>
      <c r="D461" s="1112">
        <v>215319.14409221901</v>
      </c>
    </row>
    <row r="462" spans="2:4">
      <c r="B462" s="412" t="s">
        <v>719</v>
      </c>
      <c r="C462" s="1112">
        <v>10844</v>
      </c>
      <c r="D462" s="1112">
        <v>203359</v>
      </c>
    </row>
    <row r="463" spans="2:4">
      <c r="B463" s="412" t="s">
        <v>720</v>
      </c>
      <c r="C463" s="1112">
        <v>10867.118279569893</v>
      </c>
      <c r="D463" s="1112">
        <v>203828.74193548388</v>
      </c>
    </row>
    <row r="464" spans="2:4">
      <c r="B464" s="412" t="s">
        <v>721</v>
      </c>
      <c r="C464" s="1112">
        <v>15693.532394366197</v>
      </c>
      <c r="D464" s="1112">
        <v>299256.24788732396</v>
      </c>
    </row>
    <row r="465" spans="2:4">
      <c r="B465" s="412" t="s">
        <v>722</v>
      </c>
      <c r="C465" s="1112">
        <v>12994</v>
      </c>
      <c r="D465" s="1112">
        <v>247045</v>
      </c>
    </row>
    <row r="466" spans="2:4">
      <c r="B466" s="412" t="s">
        <v>723</v>
      </c>
      <c r="C466" s="1112">
        <v>12994</v>
      </c>
      <c r="D466" s="1112">
        <v>247045</v>
      </c>
    </row>
    <row r="467" spans="2:4">
      <c r="B467" s="412" t="s">
        <v>724</v>
      </c>
      <c r="C467" s="1112">
        <v>12994</v>
      </c>
      <c r="D467" s="1112">
        <v>247045</v>
      </c>
    </row>
    <row r="468" spans="2:4">
      <c r="B468" s="412" t="s">
        <v>725</v>
      </c>
      <c r="C468" s="1112">
        <v>12994</v>
      </c>
      <c r="D468" s="1112">
        <v>247045</v>
      </c>
    </row>
    <row r="469" spans="2:4">
      <c r="B469" s="412" t="s">
        <v>726</v>
      </c>
      <c r="C469" s="1112">
        <v>12994</v>
      </c>
      <c r="D469" s="1112">
        <v>247045</v>
      </c>
    </row>
    <row r="470" spans="2:4">
      <c r="B470" s="412" t="s">
        <v>727</v>
      </c>
      <c r="C470" s="1112">
        <v>13012.418320610686</v>
      </c>
      <c r="D470" s="1112">
        <v>247401.22595419848</v>
      </c>
    </row>
    <row r="471" spans="2:4">
      <c r="B471" s="412" t="s">
        <v>728</v>
      </c>
      <c r="C471" s="1112">
        <v>12994</v>
      </c>
      <c r="D471" s="1112">
        <v>247045</v>
      </c>
    </row>
    <row r="472" spans="2:4">
      <c r="B472" s="412" t="s">
        <v>729</v>
      </c>
      <c r="C472" s="1112">
        <v>12994</v>
      </c>
      <c r="D472" s="1112">
        <v>247045</v>
      </c>
    </row>
    <row r="473" spans="2:4">
      <c r="B473" s="412" t="s">
        <v>730</v>
      </c>
      <c r="C473" s="1112">
        <v>13001.533721898419</v>
      </c>
      <c r="D473" s="1112">
        <v>247190.7085761865</v>
      </c>
    </row>
    <row r="474" spans="2:4">
      <c r="B474" s="412" t="s">
        <v>731</v>
      </c>
      <c r="C474" s="1112">
        <v>16010</v>
      </c>
      <c r="D474" s="1112">
        <v>305377</v>
      </c>
    </row>
    <row r="475" spans="2:4">
      <c r="B475" s="412" t="s">
        <v>732</v>
      </c>
      <c r="C475" s="1112">
        <v>16010</v>
      </c>
      <c r="D475" s="1112">
        <v>305377</v>
      </c>
    </row>
    <row r="476" spans="2:4">
      <c r="B476" s="412" t="s">
        <v>733</v>
      </c>
      <c r="C476" s="1112">
        <v>16010</v>
      </c>
      <c r="D476" s="1112">
        <v>305377</v>
      </c>
    </row>
    <row r="477" spans="2:4">
      <c r="B477" s="412" t="s">
        <v>734</v>
      </c>
      <c r="C477" s="1112">
        <v>15954.609733700643</v>
      </c>
      <c r="D477" s="1112">
        <v>304305.70523415977</v>
      </c>
    </row>
    <row r="478" spans="2:4">
      <c r="B478" s="412" t="s">
        <v>735</v>
      </c>
      <c r="C478" s="1112">
        <v>16010</v>
      </c>
      <c r="D478" s="1112">
        <v>305377</v>
      </c>
    </row>
    <row r="479" spans="2:4">
      <c r="B479" s="412" t="s">
        <v>736</v>
      </c>
      <c r="C479" s="1112">
        <v>13200</v>
      </c>
      <c r="D479" s="1112">
        <v>250221</v>
      </c>
    </row>
    <row r="480" spans="2:4">
      <c r="B480" s="412" t="s">
        <v>737</v>
      </c>
      <c r="C480" s="1112">
        <v>13200</v>
      </c>
      <c r="D480" s="1112">
        <v>250221</v>
      </c>
    </row>
    <row r="481" spans="2:4">
      <c r="B481" s="412" t="s">
        <v>738</v>
      </c>
      <c r="C481" s="1112">
        <v>13200</v>
      </c>
      <c r="D481" s="1112">
        <v>250221</v>
      </c>
    </row>
    <row r="482" spans="2:4">
      <c r="B482" s="412" t="s">
        <v>739</v>
      </c>
      <c r="C482" s="1112">
        <v>13200</v>
      </c>
      <c r="D482" s="1112">
        <v>250221</v>
      </c>
    </row>
    <row r="483" spans="2:4">
      <c r="B483" s="412" t="s">
        <v>740</v>
      </c>
      <c r="C483" s="1112">
        <v>13200</v>
      </c>
      <c r="D483" s="1112">
        <v>250221</v>
      </c>
    </row>
    <row r="484" spans="2:4">
      <c r="B484" s="412" t="s">
        <v>741</v>
      </c>
      <c r="C484" s="1112">
        <v>16010</v>
      </c>
      <c r="D484" s="1112">
        <v>305377</v>
      </c>
    </row>
    <row r="485" spans="2:4">
      <c r="B485" s="412" t="s">
        <v>742</v>
      </c>
      <c r="C485" s="1112">
        <v>13200</v>
      </c>
      <c r="D485" s="1112">
        <v>250221</v>
      </c>
    </row>
    <row r="486" spans="2:4">
      <c r="B486" s="412" t="s">
        <v>743</v>
      </c>
      <c r="C486" s="1112">
        <v>13200</v>
      </c>
      <c r="D486" s="1112">
        <v>250221</v>
      </c>
    </row>
    <row r="487" spans="2:4">
      <c r="B487" s="412" t="s">
        <v>744</v>
      </c>
      <c r="C487" s="1112">
        <v>13200</v>
      </c>
      <c r="D487" s="1112">
        <v>250221</v>
      </c>
    </row>
    <row r="488" spans="2:4">
      <c r="B488" s="412" t="s">
        <v>745</v>
      </c>
      <c r="C488" s="1112">
        <v>16010</v>
      </c>
      <c r="D488" s="1112">
        <v>305377</v>
      </c>
    </row>
    <row r="489" spans="2:4">
      <c r="B489" s="412" t="s">
        <v>746</v>
      </c>
      <c r="C489" s="1112">
        <v>16010</v>
      </c>
      <c r="D489" s="1112">
        <v>305377</v>
      </c>
    </row>
    <row r="490" spans="2:4">
      <c r="B490" s="412" t="s">
        <v>747</v>
      </c>
      <c r="C490" s="1112">
        <v>14526.04555808656</v>
      </c>
      <c r="D490" s="1112">
        <v>276676.06150341686</v>
      </c>
    </row>
    <row r="491" spans="2:4">
      <c r="B491" s="412" t="s">
        <v>748</v>
      </c>
      <c r="C491" s="1112">
        <v>13200</v>
      </c>
      <c r="D491" s="1112">
        <v>250221</v>
      </c>
    </row>
    <row r="492" spans="2:4">
      <c r="B492" s="412" t="s">
        <v>749</v>
      </c>
      <c r="C492" s="1112">
        <v>13200</v>
      </c>
      <c r="D492" s="1112">
        <v>250221</v>
      </c>
    </row>
    <row r="493" spans="2:4">
      <c r="B493" s="412" t="s">
        <v>750</v>
      </c>
      <c r="C493" s="1112">
        <v>13200</v>
      </c>
      <c r="D493" s="1112">
        <v>250221</v>
      </c>
    </row>
    <row r="494" spans="2:4">
      <c r="B494" s="412" t="s">
        <v>751</v>
      </c>
      <c r="C494" s="1112">
        <v>13200</v>
      </c>
      <c r="D494" s="1112">
        <v>250221</v>
      </c>
    </row>
    <row r="495" spans="2:4">
      <c r="B495" s="412" t="s">
        <v>752</v>
      </c>
      <c r="C495" s="1112">
        <v>13200</v>
      </c>
      <c r="D495" s="1112">
        <v>250221</v>
      </c>
    </row>
    <row r="496" spans="2:4">
      <c r="B496" s="412" t="s">
        <v>753</v>
      </c>
      <c r="C496" s="1112">
        <v>13200</v>
      </c>
      <c r="D496" s="1112">
        <v>250221</v>
      </c>
    </row>
    <row r="497" spans="2:4">
      <c r="B497" s="412" t="s">
        <v>754</v>
      </c>
      <c r="C497" s="1112">
        <v>13200</v>
      </c>
      <c r="D497" s="1112">
        <v>250221</v>
      </c>
    </row>
    <row r="498" spans="2:4">
      <c r="B498" s="412" t="s">
        <v>755</v>
      </c>
      <c r="C498" s="1112">
        <v>13200</v>
      </c>
      <c r="D498" s="1112">
        <v>250221</v>
      </c>
    </row>
    <row r="499" spans="2:4">
      <c r="B499" s="412" t="s">
        <v>756</v>
      </c>
      <c r="C499" s="1112">
        <v>13200</v>
      </c>
      <c r="D499" s="1112">
        <v>250221</v>
      </c>
    </row>
    <row r="500" spans="2:4">
      <c r="B500" s="412" t="s">
        <v>757</v>
      </c>
      <c r="C500" s="1112">
        <v>12994</v>
      </c>
      <c r="D500" s="1112">
        <v>247045</v>
      </c>
    </row>
    <row r="501" spans="2:4">
      <c r="B501" s="412" t="s">
        <v>758</v>
      </c>
      <c r="C501" s="1112">
        <v>12994</v>
      </c>
      <c r="D501" s="1112">
        <v>247045</v>
      </c>
    </row>
    <row r="502" spans="2:4">
      <c r="B502" s="412" t="s">
        <v>759</v>
      </c>
      <c r="C502" s="1112">
        <v>13200</v>
      </c>
      <c r="D502" s="1112">
        <v>250221</v>
      </c>
    </row>
    <row r="503" spans="2:4">
      <c r="B503" s="412" t="s">
        <v>760</v>
      </c>
      <c r="C503" s="1112">
        <v>13200</v>
      </c>
      <c r="D503" s="1112">
        <v>250221</v>
      </c>
    </row>
    <row r="504" spans="2:4">
      <c r="B504" s="412" t="s">
        <v>761</v>
      </c>
      <c r="C504" s="1112">
        <v>13203.473423980222</v>
      </c>
      <c r="D504" s="1112">
        <v>250289.17799752782</v>
      </c>
    </row>
    <row r="505" spans="2:4">
      <c r="B505" s="412" t="s">
        <v>762</v>
      </c>
      <c r="C505" s="1112">
        <v>13200</v>
      </c>
      <c r="D505" s="1112">
        <v>250221</v>
      </c>
    </row>
    <row r="506" spans="2:4">
      <c r="B506" s="412" t="s">
        <v>763</v>
      </c>
      <c r="C506" s="1112">
        <v>15979.217527386541</v>
      </c>
      <c r="D506" s="1112">
        <v>304772.78716744913</v>
      </c>
    </row>
    <row r="507" spans="2:4">
      <c r="B507" s="412" t="s">
        <v>764</v>
      </c>
      <c r="C507" s="1112">
        <v>15992.237673830594</v>
      </c>
      <c r="D507" s="1112">
        <v>305028.35271807836</v>
      </c>
    </row>
    <row r="508" spans="2:4">
      <c r="B508" s="412" t="s">
        <v>765</v>
      </c>
      <c r="C508" s="1112">
        <v>16010</v>
      </c>
      <c r="D508" s="1112">
        <v>305377</v>
      </c>
    </row>
    <row r="509" spans="2:4">
      <c r="B509" s="412" t="s">
        <v>766</v>
      </c>
      <c r="C509" s="1112">
        <v>12897.649167733674</v>
      </c>
      <c r="D509" s="1112">
        <v>245087.24071702946</v>
      </c>
    </row>
    <row r="510" spans="2:4">
      <c r="B510" s="412" t="s">
        <v>767</v>
      </c>
      <c r="C510" s="1112">
        <v>16010</v>
      </c>
      <c r="D510" s="1112">
        <v>305377</v>
      </c>
    </row>
    <row r="511" spans="2:4">
      <c r="B511" s="412" t="s">
        <v>768</v>
      </c>
      <c r="C511" s="1112">
        <v>12990.786248131539</v>
      </c>
      <c r="D511" s="1112">
        <v>246979.6995515695</v>
      </c>
    </row>
    <row r="512" spans="2:4">
      <c r="B512" s="412" t="s">
        <v>769</v>
      </c>
      <c r="C512" s="1112">
        <v>16010</v>
      </c>
      <c r="D512" s="1112">
        <v>305377</v>
      </c>
    </row>
    <row r="513" spans="2:4">
      <c r="B513" s="412" t="s">
        <v>770</v>
      </c>
      <c r="C513" s="1112">
        <v>16010</v>
      </c>
      <c r="D513" s="1112">
        <v>305377</v>
      </c>
    </row>
    <row r="514" spans="2:4">
      <c r="B514" s="412" t="s">
        <v>771</v>
      </c>
      <c r="C514" s="1112">
        <v>10844</v>
      </c>
      <c r="D514" s="1112">
        <v>203359</v>
      </c>
    </row>
    <row r="515" spans="2:4">
      <c r="B515" s="412" t="s">
        <v>772</v>
      </c>
      <c r="C515" s="1112">
        <v>12958.403973509934</v>
      </c>
      <c r="D515" s="1112">
        <v>246321.72185430463</v>
      </c>
    </row>
    <row r="516" spans="2:4">
      <c r="B516" s="412" t="s">
        <v>773</v>
      </c>
      <c r="C516" s="1112">
        <v>12994</v>
      </c>
      <c r="D516" s="1112">
        <v>247045</v>
      </c>
    </row>
    <row r="517" spans="2:4">
      <c r="B517" s="412" t="s">
        <v>774</v>
      </c>
      <c r="C517" s="1112">
        <v>12985.825095057035</v>
      </c>
      <c r="D517" s="1112">
        <v>246878.89353612167</v>
      </c>
    </row>
    <row r="518" spans="2:4">
      <c r="B518" s="412" t="s">
        <v>775</v>
      </c>
      <c r="C518" s="1112">
        <v>10939.256894049347</v>
      </c>
      <c r="D518" s="1112">
        <v>205269.37445573293</v>
      </c>
    </row>
    <row r="519" spans="2:4">
      <c r="B519" s="412" t="s">
        <v>776</v>
      </c>
      <c r="C519" s="1112">
        <v>10876.003124999999</v>
      </c>
      <c r="D519" s="1112">
        <v>203982.19062499999</v>
      </c>
    </row>
    <row r="520" spans="2:4">
      <c r="B520" s="412" t="s">
        <v>777</v>
      </c>
      <c r="C520" s="1112">
        <v>10851.337883959044</v>
      </c>
      <c r="D520" s="1112">
        <v>203508.09897610921</v>
      </c>
    </row>
    <row r="521" spans="2:4">
      <c r="B521" s="412" t="s">
        <v>778</v>
      </c>
      <c r="C521" s="1112">
        <v>12994</v>
      </c>
      <c r="D521" s="1112">
        <v>247045</v>
      </c>
    </row>
    <row r="522" spans="2:4">
      <c r="B522" s="412" t="s">
        <v>779</v>
      </c>
      <c r="C522" s="1112">
        <v>11244.102249488753</v>
      </c>
      <c r="D522" s="1112">
        <v>211488.70552147238</v>
      </c>
    </row>
    <row r="523" spans="2:4">
      <c r="B523" s="412" t="s">
        <v>780</v>
      </c>
      <c r="C523" s="1112">
        <v>10858.965197215777</v>
      </c>
      <c r="D523" s="1112">
        <v>203663.07888631092</v>
      </c>
    </row>
    <row r="524" spans="2:4">
      <c r="B524" s="412" t="s">
        <v>781</v>
      </c>
      <c r="C524" s="1112">
        <v>11228.508816120906</v>
      </c>
      <c r="D524" s="1112">
        <v>211171.86146095718</v>
      </c>
    </row>
    <row r="525" spans="2:4">
      <c r="B525" s="412" t="s">
        <v>782</v>
      </c>
      <c r="C525" s="1112">
        <v>12994</v>
      </c>
      <c r="D525" s="1112">
        <v>247045</v>
      </c>
    </row>
    <row r="526" spans="2:4">
      <c r="B526" s="412" t="s">
        <v>783</v>
      </c>
      <c r="C526" s="1112">
        <v>10951.154340836012</v>
      </c>
      <c r="D526" s="1112">
        <v>205536.27652733118</v>
      </c>
    </row>
    <row r="527" spans="2:4">
      <c r="B527" s="412" t="s">
        <v>784</v>
      </c>
      <c r="C527" s="1112">
        <v>12994</v>
      </c>
      <c r="D527" s="1112">
        <v>247045</v>
      </c>
    </row>
    <row r="528" spans="2:4">
      <c r="B528" s="412" t="s">
        <v>785</v>
      </c>
      <c r="C528" s="1112">
        <v>10994.583657587549</v>
      </c>
      <c r="D528" s="1112">
        <v>206418.71984435798</v>
      </c>
    </row>
    <row r="529" spans="2:4">
      <c r="B529" s="412" t="s">
        <v>786</v>
      </c>
      <c r="C529" s="1112">
        <v>12789.141509433963</v>
      </c>
      <c r="D529" s="1112">
        <v>242882.46603773584</v>
      </c>
    </row>
    <row r="530" spans="2:4">
      <c r="B530" s="412" t="s">
        <v>787</v>
      </c>
      <c r="C530" s="1112">
        <v>10844</v>
      </c>
      <c r="D530" s="1112">
        <v>203359</v>
      </c>
    </row>
    <row r="531" spans="2:4">
      <c r="B531" s="412" t="s">
        <v>788</v>
      </c>
      <c r="C531" s="1112">
        <v>12575.750162654522</v>
      </c>
      <c r="D531" s="1112">
        <v>238546.55237475602</v>
      </c>
    </row>
    <row r="532" spans="2:4">
      <c r="B532" s="412" t="s">
        <v>789</v>
      </c>
      <c r="C532" s="1112">
        <v>11772.638497652582</v>
      </c>
      <c r="D532" s="1112">
        <v>222228.07042253521</v>
      </c>
    </row>
    <row r="533" spans="2:4">
      <c r="B533" s="412" t="s">
        <v>790</v>
      </c>
      <c r="C533" s="1112">
        <v>12974.674157303371</v>
      </c>
      <c r="D533" s="1112">
        <v>246652.31685393257</v>
      </c>
    </row>
    <row r="534" spans="2:4">
      <c r="B534" s="412" t="s">
        <v>791</v>
      </c>
      <c r="C534" s="1112">
        <v>10900.578947368422</v>
      </c>
      <c r="D534" s="1112">
        <v>204508.63157894736</v>
      </c>
    </row>
    <row r="535" spans="2:4">
      <c r="B535" s="412" t="s">
        <v>792</v>
      </c>
      <c r="C535" s="1112">
        <v>12963.976726144298</v>
      </c>
      <c r="D535" s="1112">
        <v>246434.95500387897</v>
      </c>
    </row>
    <row r="536" spans="2:4">
      <c r="B536" s="412" t="s">
        <v>793</v>
      </c>
      <c r="C536" s="1112">
        <v>12973.859484777518</v>
      </c>
      <c r="D536" s="1112">
        <v>246635.76346604215</v>
      </c>
    </row>
    <row r="537" spans="2:4">
      <c r="B537" s="412" t="s">
        <v>794</v>
      </c>
      <c r="C537" s="1112">
        <v>12764.962199312715</v>
      </c>
      <c r="D537" s="1112">
        <v>242391.1649484536</v>
      </c>
    </row>
    <row r="538" spans="2:4">
      <c r="B538" s="412" t="s">
        <v>795</v>
      </c>
      <c r="C538" s="1112">
        <v>10870.680455015512</v>
      </c>
      <c r="D538" s="1112">
        <v>203901.12202688729</v>
      </c>
    </row>
    <row r="539" spans="2:4">
      <c r="B539" s="412" t="s">
        <v>796</v>
      </c>
      <c r="C539" s="1112">
        <v>10844</v>
      </c>
      <c r="D539" s="1112">
        <v>203359</v>
      </c>
    </row>
    <row r="540" spans="2:4">
      <c r="B540" s="412" t="s">
        <v>797</v>
      </c>
      <c r="C540" s="1112">
        <v>12994</v>
      </c>
      <c r="D540" s="1112">
        <v>247045</v>
      </c>
    </row>
    <row r="541" spans="2:4">
      <c r="B541" s="412" t="s">
        <v>798</v>
      </c>
      <c r="C541" s="1112">
        <v>12994</v>
      </c>
      <c r="D541" s="1112">
        <v>247045</v>
      </c>
    </row>
    <row r="542" spans="2:4">
      <c r="B542" s="412" t="s">
        <v>799</v>
      </c>
      <c r="C542" s="1112">
        <v>12994</v>
      </c>
      <c r="D542" s="1112">
        <v>247045</v>
      </c>
    </row>
    <row r="543" spans="2:4">
      <c r="B543" s="412" t="s">
        <v>800</v>
      </c>
      <c r="C543" s="1112">
        <v>12735.625155666252</v>
      </c>
      <c r="D543" s="1112">
        <v>241795.06351183064</v>
      </c>
    </row>
    <row r="544" spans="2:4">
      <c r="B544" s="412" t="s">
        <v>801</v>
      </c>
      <c r="C544" s="1112">
        <v>12994</v>
      </c>
      <c r="D544" s="1112">
        <v>247045</v>
      </c>
    </row>
    <row r="545" spans="2:4">
      <c r="B545" s="412" t="s">
        <v>802</v>
      </c>
      <c r="C545" s="1112">
        <v>12994</v>
      </c>
      <c r="D545" s="1112">
        <v>247045</v>
      </c>
    </row>
    <row r="546" spans="2:4">
      <c r="B546" s="412" t="s">
        <v>803</v>
      </c>
      <c r="C546" s="1112">
        <v>12994</v>
      </c>
      <c r="D546" s="1112">
        <v>247045</v>
      </c>
    </row>
    <row r="547" spans="2:4">
      <c r="B547" s="412" t="s">
        <v>804</v>
      </c>
      <c r="C547" s="1112">
        <v>12994</v>
      </c>
      <c r="D547" s="1112">
        <v>247045</v>
      </c>
    </row>
    <row r="548" spans="2:4">
      <c r="B548" s="412" t="s">
        <v>805</v>
      </c>
      <c r="C548" s="1112">
        <v>12994</v>
      </c>
      <c r="D548" s="1112">
        <v>247045</v>
      </c>
    </row>
    <row r="549" spans="2:4">
      <c r="B549" s="412" t="s">
        <v>806</v>
      </c>
      <c r="C549" s="1112">
        <v>12994</v>
      </c>
      <c r="D549" s="1112">
        <v>247045</v>
      </c>
    </row>
    <row r="550" spans="2:4">
      <c r="B550" s="412" t="s">
        <v>807</v>
      </c>
      <c r="C550" s="1112">
        <v>12994</v>
      </c>
      <c r="D550" s="1112">
        <v>247045</v>
      </c>
    </row>
    <row r="551" spans="2:4">
      <c r="B551" s="412" t="s">
        <v>808</v>
      </c>
      <c r="C551" s="1112">
        <v>12994</v>
      </c>
      <c r="D551" s="1112">
        <v>247045</v>
      </c>
    </row>
    <row r="552" spans="2:4">
      <c r="B552" s="412" t="s">
        <v>809</v>
      </c>
      <c r="C552" s="1112">
        <v>12994</v>
      </c>
      <c r="D552" s="1112">
        <v>247045</v>
      </c>
    </row>
    <row r="553" spans="2:4">
      <c r="B553" s="412" t="s">
        <v>810</v>
      </c>
      <c r="C553" s="1112">
        <v>12943.465811965812</v>
      </c>
      <c r="D553" s="1112">
        <v>246018.19230769231</v>
      </c>
    </row>
    <row r="554" spans="2:4">
      <c r="B554" s="412" t="s">
        <v>811</v>
      </c>
      <c r="C554" s="1112">
        <v>12994</v>
      </c>
      <c r="D554" s="1112">
        <v>247045</v>
      </c>
    </row>
    <row r="555" spans="2:4">
      <c r="B555" s="412" t="s">
        <v>812</v>
      </c>
      <c r="C555" s="1112">
        <v>12994</v>
      </c>
      <c r="D555" s="1112">
        <v>247045</v>
      </c>
    </row>
    <row r="556" spans="2:4">
      <c r="B556" s="412" t="s">
        <v>813</v>
      </c>
      <c r="C556" s="1112">
        <v>12994</v>
      </c>
      <c r="D556" s="1112">
        <v>247045</v>
      </c>
    </row>
    <row r="557" spans="2:4">
      <c r="B557" s="412" t="s">
        <v>814</v>
      </c>
      <c r="C557" s="1112">
        <v>12994</v>
      </c>
      <c r="D557" s="1112">
        <v>247045</v>
      </c>
    </row>
    <row r="558" spans="2:4">
      <c r="B558" s="412" t="s">
        <v>815</v>
      </c>
      <c r="C558" s="1112">
        <v>31326</v>
      </c>
      <c r="D558" s="1112">
        <v>602201</v>
      </c>
    </row>
    <row r="559" spans="2:4">
      <c r="B559" s="412" t="s">
        <v>816</v>
      </c>
      <c r="C559" s="1112">
        <v>31326</v>
      </c>
      <c r="D559" s="1112">
        <v>602201</v>
      </c>
    </row>
    <row r="560" spans="2:4">
      <c r="B560" s="412" t="s">
        <v>817</v>
      </c>
      <c r="C560" s="1112">
        <v>13518.452535760729</v>
      </c>
      <c r="D560" s="1112">
        <v>257205.50975292586</v>
      </c>
    </row>
    <row r="561" spans="2:4">
      <c r="B561" s="412" t="s">
        <v>818</v>
      </c>
      <c r="C561" s="1112">
        <v>31386.95038588754</v>
      </c>
      <c r="D561" s="1112">
        <v>603370.95589856675</v>
      </c>
    </row>
    <row r="562" spans="2:4">
      <c r="B562" s="412" t="s">
        <v>819</v>
      </c>
      <c r="C562" s="1112">
        <v>31326</v>
      </c>
      <c r="D562" s="1112">
        <v>602201</v>
      </c>
    </row>
    <row r="563" spans="2:4">
      <c r="B563" s="412" t="s">
        <v>820</v>
      </c>
      <c r="C563" s="1112">
        <v>27194.184438040345</v>
      </c>
      <c r="D563" s="1112">
        <v>521742.9596541787</v>
      </c>
    </row>
    <row r="564" spans="2:4">
      <c r="B564" s="412" t="s">
        <v>821</v>
      </c>
      <c r="C564" s="1112">
        <v>13575.968253968254</v>
      </c>
      <c r="D564" s="1112">
        <v>258319.79365079364</v>
      </c>
    </row>
    <row r="565" spans="2:4">
      <c r="B565" s="412" t="s">
        <v>822</v>
      </c>
      <c r="C565" s="1112">
        <v>31326</v>
      </c>
      <c r="D565" s="1112">
        <v>602201</v>
      </c>
    </row>
    <row r="566" spans="2:4">
      <c r="B566" s="412" t="s">
        <v>823</v>
      </c>
      <c r="C566" s="1112">
        <v>31036.547368421052</v>
      </c>
      <c r="D566" s="1112">
        <v>596593.27368421049</v>
      </c>
    </row>
    <row r="567" spans="2:4">
      <c r="B567" s="412" t="s">
        <v>824</v>
      </c>
      <c r="C567" s="1112">
        <v>31326</v>
      </c>
      <c r="D567" s="1112">
        <v>602201</v>
      </c>
    </row>
    <row r="568" spans="2:4">
      <c r="B568" s="412" t="s">
        <v>825</v>
      </c>
      <c r="C568" s="1112">
        <v>31326</v>
      </c>
      <c r="D568" s="1112">
        <v>602201</v>
      </c>
    </row>
    <row r="569" spans="2:4">
      <c r="B569" s="412" t="s">
        <v>826</v>
      </c>
      <c r="C569" s="1112">
        <v>12994</v>
      </c>
      <c r="D569" s="1112">
        <v>247045</v>
      </c>
    </row>
    <row r="570" spans="2:4">
      <c r="B570" s="412" t="s">
        <v>827</v>
      </c>
      <c r="C570" s="1112">
        <v>12994</v>
      </c>
      <c r="D570" s="1112">
        <v>247045</v>
      </c>
    </row>
    <row r="571" spans="2:4">
      <c r="B571" s="412" t="s">
        <v>828</v>
      </c>
      <c r="C571" s="1112">
        <v>12994</v>
      </c>
      <c r="D571" s="1112">
        <v>247045</v>
      </c>
    </row>
    <row r="572" spans="2:4">
      <c r="B572" s="412" t="s">
        <v>829</v>
      </c>
      <c r="C572" s="1112">
        <v>12994</v>
      </c>
      <c r="D572" s="1112">
        <v>247045</v>
      </c>
    </row>
    <row r="573" spans="2:4">
      <c r="B573" s="412" t="s">
        <v>830</v>
      </c>
      <c r="C573" s="1112">
        <v>12994</v>
      </c>
      <c r="D573" s="1112">
        <v>247045</v>
      </c>
    </row>
    <row r="574" spans="2:4">
      <c r="B574" s="412" t="s">
        <v>831</v>
      </c>
      <c r="C574" s="1112">
        <v>12994</v>
      </c>
      <c r="D574" s="1112">
        <v>247045</v>
      </c>
    </row>
    <row r="575" spans="2:4">
      <c r="B575" s="412" t="s">
        <v>832</v>
      </c>
      <c r="C575" s="1112">
        <v>12994</v>
      </c>
      <c r="D575" s="1112">
        <v>247045</v>
      </c>
    </row>
    <row r="576" spans="2:4">
      <c r="B576" s="412" t="s">
        <v>833</v>
      </c>
      <c r="C576" s="1112">
        <v>12994</v>
      </c>
      <c r="D576" s="1112">
        <v>247045</v>
      </c>
    </row>
    <row r="577" spans="2:4">
      <c r="B577" s="412" t="s">
        <v>834</v>
      </c>
      <c r="C577" s="1112">
        <v>12994</v>
      </c>
      <c r="D577" s="1112">
        <v>247045</v>
      </c>
    </row>
    <row r="578" spans="2:4">
      <c r="B578" s="412" t="s">
        <v>835</v>
      </c>
      <c r="C578" s="1112">
        <v>12994</v>
      </c>
      <c r="D578" s="1112">
        <v>247045</v>
      </c>
    </row>
    <row r="579" spans="2:4">
      <c r="B579" s="412" t="s">
        <v>836</v>
      </c>
      <c r="C579" s="1112">
        <v>12994</v>
      </c>
      <c r="D579" s="1112">
        <v>247045</v>
      </c>
    </row>
    <row r="580" spans="2:4">
      <c r="B580" s="412" t="s">
        <v>837</v>
      </c>
      <c r="C580" s="1112">
        <v>12970.912751677852</v>
      </c>
      <c r="D580" s="1112">
        <v>246575.88859060404</v>
      </c>
    </row>
    <row r="581" spans="2:4">
      <c r="B581" s="412" t="s">
        <v>838</v>
      </c>
      <c r="C581" s="1112">
        <v>12994</v>
      </c>
      <c r="D581" s="1112">
        <v>247045</v>
      </c>
    </row>
    <row r="582" spans="2:4">
      <c r="B582" s="412" t="s">
        <v>839</v>
      </c>
      <c r="C582" s="1112">
        <v>12994</v>
      </c>
      <c r="D582" s="1112">
        <v>247045</v>
      </c>
    </row>
    <row r="583" spans="2:4">
      <c r="B583" s="412" t="s">
        <v>840</v>
      </c>
      <c r="C583" s="1112">
        <v>12994</v>
      </c>
      <c r="D583" s="1112">
        <v>247045</v>
      </c>
    </row>
    <row r="584" spans="2:4">
      <c r="B584" s="412" t="s">
        <v>841</v>
      </c>
      <c r="C584" s="1112">
        <v>12994</v>
      </c>
      <c r="D584" s="1112">
        <v>247045</v>
      </c>
    </row>
    <row r="585" spans="2:4">
      <c r="B585" s="412" t="s">
        <v>842</v>
      </c>
      <c r="C585" s="1112">
        <v>12994</v>
      </c>
      <c r="D585" s="1112">
        <v>247045</v>
      </c>
    </row>
    <row r="586" spans="2:4">
      <c r="B586" s="412" t="s">
        <v>843</v>
      </c>
      <c r="C586" s="1112">
        <v>12994</v>
      </c>
      <c r="D586" s="1112">
        <v>247045</v>
      </c>
    </row>
    <row r="587" spans="2:4">
      <c r="B587" s="412" t="s">
        <v>844</v>
      </c>
      <c r="C587" s="1112">
        <v>12994</v>
      </c>
      <c r="D587" s="1112">
        <v>247045</v>
      </c>
    </row>
    <row r="588" spans="2:4">
      <c r="B588" s="412" t="s">
        <v>845</v>
      </c>
      <c r="C588" s="1112">
        <v>12994</v>
      </c>
      <c r="D588" s="1112">
        <v>247045</v>
      </c>
    </row>
    <row r="589" spans="2:4">
      <c r="B589" s="412" t="s">
        <v>846</v>
      </c>
      <c r="C589" s="1112">
        <v>12994</v>
      </c>
      <c r="D589" s="1112">
        <v>247045</v>
      </c>
    </row>
    <row r="590" spans="2:4">
      <c r="B590" s="412" t="s">
        <v>847</v>
      </c>
      <c r="C590" s="1112">
        <v>12994</v>
      </c>
      <c r="D590" s="1112">
        <v>247045</v>
      </c>
    </row>
    <row r="591" spans="2:4">
      <c r="B591" s="412" t="s">
        <v>848</v>
      </c>
      <c r="C591" s="1112">
        <v>13200</v>
      </c>
      <c r="D591" s="1112">
        <v>250221</v>
      </c>
    </row>
    <row r="592" spans="2:4">
      <c r="B592" s="412" t="s">
        <v>849</v>
      </c>
      <c r="C592" s="1112">
        <v>12979.039761431412</v>
      </c>
      <c r="D592" s="1112">
        <v>246741.02186878727</v>
      </c>
    </row>
    <row r="593" spans="2:4">
      <c r="B593" s="412" t="s">
        <v>850</v>
      </c>
      <c r="C593" s="1112">
        <v>12991.576099210823</v>
      </c>
      <c r="D593" s="1112">
        <v>246995.74859075536</v>
      </c>
    </row>
    <row r="594" spans="2:4">
      <c r="B594" s="412" t="s">
        <v>851</v>
      </c>
      <c r="C594" s="1112">
        <v>12994</v>
      </c>
      <c r="D594" s="1112">
        <v>247045</v>
      </c>
    </row>
    <row r="595" spans="2:4">
      <c r="B595" s="412" t="s">
        <v>852</v>
      </c>
      <c r="C595" s="1112">
        <v>10856.463768115942</v>
      </c>
      <c r="D595" s="1112">
        <v>203612.25217391303</v>
      </c>
    </row>
    <row r="596" spans="2:4">
      <c r="B596" s="412" t="s">
        <v>853</v>
      </c>
      <c r="C596" s="1112">
        <v>13198.491456468673</v>
      </c>
      <c r="D596" s="1112">
        <v>250197.74206672091</v>
      </c>
    </row>
    <row r="597" spans="2:4">
      <c r="B597" s="412" t="s">
        <v>854</v>
      </c>
      <c r="C597" s="1112">
        <v>12994</v>
      </c>
      <c r="D597" s="1112">
        <v>247045</v>
      </c>
    </row>
    <row r="598" spans="2:4">
      <c r="B598" s="412" t="s">
        <v>855</v>
      </c>
      <c r="C598" s="1112">
        <v>12994</v>
      </c>
      <c r="D598" s="1112">
        <v>247045</v>
      </c>
    </row>
    <row r="599" spans="2:4">
      <c r="B599" s="412" t="s">
        <v>856</v>
      </c>
      <c r="C599" s="1112">
        <v>12712.516209476309</v>
      </c>
      <c r="D599" s="1112">
        <v>241325.51122194514</v>
      </c>
    </row>
    <row r="600" spans="2:4">
      <c r="B600" s="412" t="s">
        <v>857</v>
      </c>
      <c r="C600" s="1112">
        <v>13188.31098010317</v>
      </c>
      <c r="D600" s="1112">
        <v>250040.78481945468</v>
      </c>
    </row>
    <row r="601" spans="2:4">
      <c r="B601" s="412" t="s">
        <v>858</v>
      </c>
      <c r="C601" s="1112">
        <v>12994</v>
      </c>
      <c r="D601" s="1112">
        <v>247045</v>
      </c>
    </row>
    <row r="602" spans="2:4">
      <c r="B602" s="412" t="s">
        <v>859</v>
      </c>
      <c r="C602" s="1112">
        <v>12994</v>
      </c>
      <c r="D602" s="1112">
        <v>247045</v>
      </c>
    </row>
    <row r="603" spans="2:4">
      <c r="B603" s="412" t="s">
        <v>860</v>
      </c>
      <c r="C603" s="1112">
        <v>12994</v>
      </c>
      <c r="D603" s="1112">
        <v>247045</v>
      </c>
    </row>
    <row r="604" spans="2:4">
      <c r="B604" s="412" t="s">
        <v>861</v>
      </c>
      <c r="C604" s="1112">
        <v>12994</v>
      </c>
      <c r="D604" s="1112">
        <v>247045</v>
      </c>
    </row>
    <row r="605" spans="2:4">
      <c r="B605" s="412" t="s">
        <v>862</v>
      </c>
      <c r="C605" s="1112">
        <v>12994</v>
      </c>
      <c r="D605" s="1112">
        <v>247045</v>
      </c>
    </row>
    <row r="606" spans="2:4">
      <c r="B606" s="412" t="s">
        <v>863</v>
      </c>
      <c r="C606" s="1112">
        <v>12994</v>
      </c>
      <c r="D606" s="1112">
        <v>247045</v>
      </c>
    </row>
    <row r="607" spans="2:4">
      <c r="B607" s="412" t="s">
        <v>864</v>
      </c>
      <c r="C607" s="1112">
        <v>12994</v>
      </c>
      <c r="D607" s="1112">
        <v>247045</v>
      </c>
    </row>
    <row r="608" spans="2:4">
      <c r="B608" s="412" t="s">
        <v>865</v>
      </c>
      <c r="C608" s="1112">
        <v>13198.149700598802</v>
      </c>
      <c r="D608" s="1112">
        <v>250192.4730538922</v>
      </c>
    </row>
    <row r="609" spans="2:4">
      <c r="B609" s="412" t="s">
        <v>866</v>
      </c>
      <c r="C609" s="1112">
        <v>12994</v>
      </c>
      <c r="D609" s="1112">
        <v>247045</v>
      </c>
    </row>
    <row r="610" spans="2:4">
      <c r="B610" s="412" t="s">
        <v>867</v>
      </c>
      <c r="C610" s="1112">
        <v>13200</v>
      </c>
      <c r="D610" s="1112">
        <v>250221</v>
      </c>
    </row>
    <row r="611" spans="2:4">
      <c r="B611" s="412" t="s">
        <v>868</v>
      </c>
      <c r="C611" s="1112">
        <v>13194.491978609625</v>
      </c>
      <c r="D611" s="1112">
        <v>250136.08021390374</v>
      </c>
    </row>
    <row r="612" spans="2:4">
      <c r="B612" s="412" t="s">
        <v>869</v>
      </c>
      <c r="C612" s="1112">
        <v>13078.468619246862</v>
      </c>
      <c r="D612" s="1112">
        <v>248347.2928870293</v>
      </c>
    </row>
    <row r="613" spans="2:4">
      <c r="B613" s="412" t="s">
        <v>870</v>
      </c>
      <c r="C613" s="1112">
        <v>12998.821846553967</v>
      </c>
      <c r="D613" s="1112">
        <v>247119.34070221067</v>
      </c>
    </row>
    <row r="614" spans="2:4">
      <c r="B614" s="412" t="s">
        <v>871</v>
      </c>
      <c r="C614" s="1112">
        <v>12660.717325227963</v>
      </c>
      <c r="D614" s="1112">
        <v>240273.00607902734</v>
      </c>
    </row>
    <row r="615" spans="2:4">
      <c r="B615" s="412" t="s">
        <v>872</v>
      </c>
      <c r="C615" s="1112">
        <v>16010</v>
      </c>
      <c r="D615" s="1112">
        <v>305377</v>
      </c>
    </row>
    <row r="616" spans="2:4">
      <c r="B616" s="412" t="s">
        <v>873</v>
      </c>
      <c r="C616" s="1112">
        <v>16010</v>
      </c>
      <c r="D616" s="1112">
        <v>305377</v>
      </c>
    </row>
    <row r="617" spans="2:4">
      <c r="B617" s="412" t="s">
        <v>874</v>
      </c>
      <c r="C617" s="1112">
        <v>16010</v>
      </c>
      <c r="D617" s="1112">
        <v>305377</v>
      </c>
    </row>
    <row r="618" spans="2:4">
      <c r="B618" s="412" t="s">
        <v>875</v>
      </c>
      <c r="C618" s="1112">
        <v>15982.442639593908</v>
      </c>
      <c r="D618" s="1112">
        <v>304844.01725888322</v>
      </c>
    </row>
    <row r="619" spans="2:4">
      <c r="B619" s="412" t="s">
        <v>876</v>
      </c>
      <c r="C619" s="1112">
        <v>15953.287425149701</v>
      </c>
      <c r="D619" s="1112">
        <v>304257.04191616765</v>
      </c>
    </row>
    <row r="620" spans="2:4">
      <c r="B620" s="412" t="s">
        <v>877</v>
      </c>
      <c r="C620" s="1112">
        <v>13389.34693877551</v>
      </c>
      <c r="D620" s="1112">
        <v>253624.42857142858</v>
      </c>
    </row>
    <row r="621" spans="2:4">
      <c r="B621" s="412" t="s">
        <v>878</v>
      </c>
      <c r="C621" s="1112">
        <v>16010</v>
      </c>
      <c r="D621" s="1112">
        <v>305377</v>
      </c>
    </row>
    <row r="622" spans="2:4">
      <c r="B622" s="412" t="s">
        <v>879</v>
      </c>
      <c r="C622" s="1112">
        <v>16010</v>
      </c>
      <c r="D622" s="1112">
        <v>305377</v>
      </c>
    </row>
    <row r="623" spans="2:4">
      <c r="B623" s="412" t="s">
        <v>880</v>
      </c>
      <c r="C623" s="1112">
        <v>16010</v>
      </c>
      <c r="D623" s="1112">
        <v>305377</v>
      </c>
    </row>
    <row r="624" spans="2:4">
      <c r="B624" s="412" t="s">
        <v>881</v>
      </c>
      <c r="C624" s="1112">
        <v>16010</v>
      </c>
      <c r="D624" s="1112">
        <v>305377</v>
      </c>
    </row>
    <row r="625" spans="2:4">
      <c r="B625" s="412" t="s">
        <v>882</v>
      </c>
      <c r="C625" s="1112">
        <v>16010</v>
      </c>
      <c r="D625" s="1112">
        <v>305377</v>
      </c>
    </row>
    <row r="626" spans="2:4">
      <c r="B626" s="412" t="s">
        <v>883</v>
      </c>
      <c r="C626" s="1112">
        <v>16010</v>
      </c>
      <c r="D626" s="1112">
        <v>305377</v>
      </c>
    </row>
    <row r="627" spans="2:4" ht="17" thickBot="1">
      <c r="B627" s="413" t="s">
        <v>884</v>
      </c>
      <c r="C627" s="1113">
        <v>16010</v>
      </c>
      <c r="D627" s="1113">
        <v>305377</v>
      </c>
    </row>
    <row r="628" spans="2:4">
      <c r="B628" s="415" t="s">
        <v>885</v>
      </c>
      <c r="C628" s="1111">
        <v>16901.301282051281</v>
      </c>
      <c r="D628" s="1111">
        <v>322743.31410256412</v>
      </c>
    </row>
    <row r="629" spans="2:4">
      <c r="B629" s="412" t="s">
        <v>886</v>
      </c>
      <c r="C629" s="1112">
        <v>12994</v>
      </c>
      <c r="D629" s="1112">
        <v>247045</v>
      </c>
    </row>
    <row r="630" spans="2:4">
      <c r="B630" s="412" t="s">
        <v>887</v>
      </c>
      <c r="C630" s="1112">
        <v>12994</v>
      </c>
      <c r="D630" s="1112">
        <v>247045</v>
      </c>
    </row>
    <row r="631" spans="2:4">
      <c r="B631" s="412" t="s">
        <v>888</v>
      </c>
      <c r="C631" s="1112">
        <v>12994</v>
      </c>
      <c r="D631" s="1112">
        <v>247045</v>
      </c>
    </row>
    <row r="632" spans="2:4">
      <c r="B632" s="412" t="s">
        <v>889</v>
      </c>
      <c r="C632" s="1112">
        <v>12988.281914893618</v>
      </c>
      <c r="D632" s="1112">
        <v>246928.81382978722</v>
      </c>
    </row>
    <row r="633" spans="2:4">
      <c r="B633" s="412" t="s">
        <v>890</v>
      </c>
      <c r="C633" s="1112">
        <v>31218.795321637426</v>
      </c>
      <c r="D633" s="1112">
        <v>600124.06432748539</v>
      </c>
    </row>
    <row r="634" spans="2:4">
      <c r="B634" s="412" t="s">
        <v>891</v>
      </c>
      <c r="C634" s="1112">
        <v>31326</v>
      </c>
      <c r="D634" s="1112">
        <v>602201</v>
      </c>
    </row>
    <row r="635" spans="2:4">
      <c r="B635" s="412" t="s">
        <v>892</v>
      </c>
      <c r="C635" s="1112">
        <v>31326</v>
      </c>
      <c r="D635" s="1112">
        <v>602201</v>
      </c>
    </row>
    <row r="636" spans="2:4">
      <c r="B636" s="412" t="s">
        <v>893</v>
      </c>
      <c r="C636" s="1112">
        <v>30853.255014326649</v>
      </c>
      <c r="D636" s="1112">
        <v>593042.24928366765</v>
      </c>
    </row>
    <row r="637" spans="2:4">
      <c r="B637" s="412" t="s">
        <v>894</v>
      </c>
      <c r="C637" s="1112">
        <v>31326</v>
      </c>
      <c r="D637" s="1112">
        <v>602201</v>
      </c>
    </row>
    <row r="638" spans="2:4">
      <c r="B638" s="412" t="s">
        <v>895</v>
      </c>
      <c r="C638" s="1112">
        <v>12994</v>
      </c>
      <c r="D638" s="1112">
        <v>247045</v>
      </c>
    </row>
    <row r="639" spans="2:4">
      <c r="B639" s="412" t="s">
        <v>896</v>
      </c>
      <c r="C639" s="1112">
        <v>12994</v>
      </c>
      <c r="D639" s="1112">
        <v>247045</v>
      </c>
    </row>
    <row r="640" spans="2:4">
      <c r="B640" s="412" t="s">
        <v>897</v>
      </c>
      <c r="C640" s="1112">
        <v>12994</v>
      </c>
      <c r="D640" s="1112">
        <v>247045</v>
      </c>
    </row>
    <row r="641" spans="2:4">
      <c r="B641" s="412" t="s">
        <v>898</v>
      </c>
      <c r="C641" s="1112">
        <v>27909.581818181818</v>
      </c>
      <c r="D641" s="1112">
        <v>536012.83636363631</v>
      </c>
    </row>
    <row r="642" spans="2:4">
      <c r="B642" s="412" t="s">
        <v>899</v>
      </c>
      <c r="C642" s="1112">
        <v>31326</v>
      </c>
      <c r="D642" s="1112">
        <v>602201</v>
      </c>
    </row>
    <row r="643" spans="2:4">
      <c r="B643" s="412" t="s">
        <v>900</v>
      </c>
      <c r="C643" s="1112">
        <v>31326</v>
      </c>
      <c r="D643" s="1112">
        <v>602201</v>
      </c>
    </row>
    <row r="644" spans="2:4">
      <c r="B644" s="412" t="s">
        <v>901</v>
      </c>
      <c r="C644" s="1112">
        <v>31326</v>
      </c>
      <c r="D644" s="1112">
        <v>602201</v>
      </c>
    </row>
    <row r="645" spans="2:4">
      <c r="B645" s="412" t="s">
        <v>902</v>
      </c>
      <c r="C645" s="1112">
        <v>12994</v>
      </c>
      <c r="D645" s="1112">
        <v>247045</v>
      </c>
    </row>
    <row r="646" spans="2:4">
      <c r="B646" s="412" t="s">
        <v>903</v>
      </c>
      <c r="C646" s="1112">
        <v>12994</v>
      </c>
      <c r="D646" s="1112">
        <v>247045</v>
      </c>
    </row>
    <row r="647" spans="2:4">
      <c r="B647" s="412" t="s">
        <v>904</v>
      </c>
      <c r="C647" s="1112">
        <v>13942.652818991099</v>
      </c>
      <c r="D647" s="1112">
        <v>265392.75074183976</v>
      </c>
    </row>
    <row r="648" spans="2:4">
      <c r="B648" s="412" t="s">
        <v>905</v>
      </c>
      <c r="C648" s="1112">
        <v>12994</v>
      </c>
      <c r="D648" s="1112">
        <v>247045</v>
      </c>
    </row>
    <row r="649" spans="2:4">
      <c r="B649" s="412" t="s">
        <v>906</v>
      </c>
      <c r="C649" s="1112">
        <v>12994</v>
      </c>
      <c r="D649" s="1112">
        <v>247045</v>
      </c>
    </row>
    <row r="650" spans="2:4">
      <c r="B650" s="412" t="s">
        <v>907</v>
      </c>
      <c r="C650" s="1112">
        <v>12994</v>
      </c>
      <c r="D650" s="1112">
        <v>247045</v>
      </c>
    </row>
    <row r="651" spans="2:4">
      <c r="B651" s="412" t="s">
        <v>908</v>
      </c>
      <c r="C651" s="1112">
        <v>12994</v>
      </c>
      <c r="D651" s="1112">
        <v>247045</v>
      </c>
    </row>
    <row r="652" spans="2:4">
      <c r="B652" s="412" t="s">
        <v>909</v>
      </c>
      <c r="C652" s="1112">
        <v>12994</v>
      </c>
      <c r="D652" s="1112">
        <v>247045</v>
      </c>
    </row>
    <row r="653" spans="2:4">
      <c r="B653" s="412" t="s">
        <v>910</v>
      </c>
      <c r="C653" s="1112">
        <v>16010</v>
      </c>
      <c r="D653" s="1112">
        <v>305377</v>
      </c>
    </row>
    <row r="654" spans="2:4">
      <c r="B654" s="412" t="s">
        <v>911</v>
      </c>
      <c r="C654" s="1112">
        <v>12994</v>
      </c>
      <c r="D654" s="1112">
        <v>247045</v>
      </c>
    </row>
    <row r="655" spans="2:4">
      <c r="B655" s="412" t="s">
        <v>912</v>
      </c>
      <c r="C655" s="1112">
        <v>12994</v>
      </c>
      <c r="D655" s="1112">
        <v>247045</v>
      </c>
    </row>
    <row r="656" spans="2:4">
      <c r="B656" s="412" t="s">
        <v>913</v>
      </c>
      <c r="C656" s="1112">
        <v>13122.037735849057</v>
      </c>
      <c r="D656" s="1112">
        <v>249521.35849056602</v>
      </c>
    </row>
    <row r="657" spans="2:4">
      <c r="B657" s="412" t="s">
        <v>914</v>
      </c>
      <c r="C657" s="1112">
        <v>16005.531851851852</v>
      </c>
      <c r="D657" s="1112">
        <v>305290.58222222223</v>
      </c>
    </row>
    <row r="658" spans="2:4">
      <c r="B658" s="412" t="s">
        <v>915</v>
      </c>
      <c r="C658" s="1112">
        <v>12875.612586037365</v>
      </c>
      <c r="D658" s="1112">
        <v>244639.47787610619</v>
      </c>
    </row>
    <row r="659" spans="2:4">
      <c r="B659" s="412" t="s">
        <v>916</v>
      </c>
      <c r="C659" s="1112">
        <v>11656.567811934901</v>
      </c>
      <c r="D659" s="1112">
        <v>219869.62206148283</v>
      </c>
    </row>
    <row r="660" spans="2:4">
      <c r="B660" s="412" t="s">
        <v>917</v>
      </c>
      <c r="C660" s="1112">
        <v>10846.301927194861</v>
      </c>
      <c r="D660" s="1112">
        <v>203405.77301927196</v>
      </c>
    </row>
    <row r="661" spans="2:4">
      <c r="B661" s="412" t="s">
        <v>918</v>
      </c>
      <c r="C661" s="1112">
        <v>10844</v>
      </c>
      <c r="D661" s="1112">
        <v>203359</v>
      </c>
    </row>
    <row r="662" spans="2:4">
      <c r="B662" s="412" t="s">
        <v>919</v>
      </c>
      <c r="C662" s="1112">
        <v>11287.650793650793</v>
      </c>
      <c r="D662" s="1112">
        <v>212373.57142857142</v>
      </c>
    </row>
    <row r="663" spans="2:4">
      <c r="B663" s="412" t="s">
        <v>920</v>
      </c>
      <c r="C663" s="1112">
        <v>15800.191304347825</v>
      </c>
      <c r="D663" s="1112">
        <v>301319.12173913041</v>
      </c>
    </row>
    <row r="664" spans="2:4">
      <c r="B664" s="412" t="s">
        <v>921</v>
      </c>
      <c r="C664" s="1112">
        <v>15850.513692162418</v>
      </c>
      <c r="D664" s="1112">
        <v>302292.39943342778</v>
      </c>
    </row>
    <row r="665" spans="2:4">
      <c r="B665" s="412" t="s">
        <v>922</v>
      </c>
      <c r="C665" s="1112">
        <v>15892.711111111112</v>
      </c>
      <c r="D665" s="1112">
        <v>303108.53333333333</v>
      </c>
    </row>
    <row r="666" spans="2:4">
      <c r="B666" s="412" t="s">
        <v>923</v>
      </c>
      <c r="C666" s="1112">
        <v>15597.173496076723</v>
      </c>
      <c r="D666" s="1112">
        <v>297392.58500435919</v>
      </c>
    </row>
    <row r="667" spans="2:4">
      <c r="B667" s="412" t="s">
        <v>924</v>
      </c>
      <c r="C667" s="1112">
        <v>15678.975609756097</v>
      </c>
      <c r="D667" s="1112">
        <v>298974.70731707319</v>
      </c>
    </row>
    <row r="668" spans="2:4">
      <c r="B668" s="412" t="s">
        <v>925</v>
      </c>
      <c r="C668" s="1112">
        <v>11133.25702811245</v>
      </c>
      <c r="D668" s="1112">
        <v>209236.43373493975</v>
      </c>
    </row>
    <row r="669" spans="2:4">
      <c r="B669" s="412" t="s">
        <v>926</v>
      </c>
      <c r="C669" s="1112">
        <v>10844</v>
      </c>
      <c r="D669" s="1112">
        <v>203359</v>
      </c>
    </row>
    <row r="670" spans="2:4">
      <c r="B670" s="412" t="s">
        <v>927</v>
      </c>
      <c r="C670" s="1112">
        <v>12994</v>
      </c>
      <c r="D670" s="1112">
        <v>247045</v>
      </c>
    </row>
    <row r="671" spans="2:4">
      <c r="B671" s="412" t="s">
        <v>928</v>
      </c>
      <c r="C671" s="1112">
        <v>12237.214588634435</v>
      </c>
      <c r="D671" s="1112">
        <v>231667.82442748093</v>
      </c>
    </row>
    <row r="672" spans="2:4">
      <c r="B672" s="412" t="s">
        <v>929</v>
      </c>
      <c r="C672" s="1112">
        <v>12984.358744394618</v>
      </c>
      <c r="D672" s="1112">
        <v>246849.09865470853</v>
      </c>
    </row>
    <row r="673" spans="2:4">
      <c r="B673" s="412" t="s">
        <v>930</v>
      </c>
      <c r="C673" s="1112">
        <v>11093.067909454061</v>
      </c>
      <c r="D673" s="1112">
        <v>208419.82822902797</v>
      </c>
    </row>
    <row r="674" spans="2:4">
      <c r="B674" s="412" t="s">
        <v>931</v>
      </c>
      <c r="C674" s="1112">
        <v>12994</v>
      </c>
      <c r="D674" s="1112">
        <v>247045</v>
      </c>
    </row>
    <row r="675" spans="2:4">
      <c r="B675" s="412" t="s">
        <v>932</v>
      </c>
      <c r="C675" s="1112">
        <v>12994</v>
      </c>
      <c r="D675" s="1112">
        <v>247045</v>
      </c>
    </row>
    <row r="676" spans="2:4">
      <c r="B676" s="412" t="s">
        <v>933</v>
      </c>
      <c r="C676" s="1112">
        <v>12993.07111111111</v>
      </c>
      <c r="D676" s="1112">
        <v>247013.01333333334</v>
      </c>
    </row>
    <row r="677" spans="2:4">
      <c r="B677" s="412" t="s">
        <v>934</v>
      </c>
      <c r="C677" s="1112">
        <v>14123.482213438736</v>
      </c>
      <c r="D677" s="1112">
        <v>268694.79051383398</v>
      </c>
    </row>
    <row r="678" spans="2:4">
      <c r="B678" s="412" t="s">
        <v>935</v>
      </c>
      <c r="C678" s="1112">
        <v>10941.508090614887</v>
      </c>
      <c r="D678" s="1112">
        <v>205292.53398058252</v>
      </c>
    </row>
    <row r="679" spans="2:4">
      <c r="B679" s="412" t="s">
        <v>936</v>
      </c>
      <c r="C679" s="1112">
        <v>12994</v>
      </c>
      <c r="D679" s="1112">
        <v>247045</v>
      </c>
    </row>
    <row r="680" spans="2:4">
      <c r="B680" s="412" t="s">
        <v>937</v>
      </c>
      <c r="C680" s="1112">
        <v>16010</v>
      </c>
      <c r="D680" s="1112">
        <v>305377</v>
      </c>
    </row>
    <row r="681" spans="2:4">
      <c r="B681" s="412" t="s">
        <v>938</v>
      </c>
      <c r="C681" s="1112">
        <v>12994</v>
      </c>
      <c r="D681" s="1112">
        <v>247045</v>
      </c>
    </row>
    <row r="682" spans="2:4">
      <c r="B682" s="412" t="s">
        <v>939</v>
      </c>
      <c r="C682" s="1112">
        <v>12994</v>
      </c>
      <c r="D682" s="1112">
        <v>247045</v>
      </c>
    </row>
    <row r="683" spans="2:4">
      <c r="B683" s="412" t="s">
        <v>940</v>
      </c>
      <c r="C683" s="1112">
        <v>12994</v>
      </c>
      <c r="D683" s="1112">
        <v>247045</v>
      </c>
    </row>
    <row r="684" spans="2:4">
      <c r="B684" s="412" t="s">
        <v>941</v>
      </c>
      <c r="C684" s="1112">
        <v>12994</v>
      </c>
      <c r="D684" s="1112">
        <v>247045</v>
      </c>
    </row>
    <row r="685" spans="2:4">
      <c r="B685" s="412" t="s">
        <v>942</v>
      </c>
      <c r="C685" s="1112">
        <v>12994</v>
      </c>
      <c r="D685" s="1112">
        <v>247045</v>
      </c>
    </row>
    <row r="686" spans="2:4">
      <c r="B686" s="412" t="s">
        <v>943</v>
      </c>
      <c r="C686" s="1112">
        <v>12994</v>
      </c>
      <c r="D686" s="1112">
        <v>247045</v>
      </c>
    </row>
    <row r="687" spans="2:4">
      <c r="B687" s="412" t="s">
        <v>944</v>
      </c>
      <c r="C687" s="1112">
        <v>12994</v>
      </c>
      <c r="D687" s="1112">
        <v>247045</v>
      </c>
    </row>
    <row r="688" spans="2:4">
      <c r="B688" s="412" t="s">
        <v>945</v>
      </c>
      <c r="C688" s="1112">
        <v>12994</v>
      </c>
      <c r="D688" s="1112">
        <v>247045</v>
      </c>
    </row>
    <row r="689" spans="2:4">
      <c r="B689" s="412" t="s">
        <v>946</v>
      </c>
      <c r="C689" s="1112">
        <v>12994</v>
      </c>
      <c r="D689" s="1112">
        <v>247045</v>
      </c>
    </row>
    <row r="690" spans="2:4">
      <c r="B690" s="412" t="s">
        <v>947</v>
      </c>
      <c r="C690" s="1112">
        <v>12994</v>
      </c>
      <c r="D690" s="1112">
        <v>247045</v>
      </c>
    </row>
    <row r="691" spans="2:4">
      <c r="B691" s="412" t="s">
        <v>948</v>
      </c>
      <c r="C691" s="1112">
        <v>12994</v>
      </c>
      <c r="D691" s="1112">
        <v>247045</v>
      </c>
    </row>
    <row r="692" spans="2:4">
      <c r="B692" s="412" t="s">
        <v>949</v>
      </c>
      <c r="C692" s="1112">
        <v>12994</v>
      </c>
      <c r="D692" s="1112">
        <v>247045</v>
      </c>
    </row>
    <row r="693" spans="2:4">
      <c r="B693" s="412" t="s">
        <v>950</v>
      </c>
      <c r="C693" s="1112">
        <v>12994</v>
      </c>
      <c r="D693" s="1112">
        <v>247045</v>
      </c>
    </row>
    <row r="694" spans="2:4">
      <c r="B694" s="412" t="s">
        <v>951</v>
      </c>
      <c r="C694" s="1112">
        <v>12994</v>
      </c>
      <c r="D694" s="1112">
        <v>247045</v>
      </c>
    </row>
    <row r="695" spans="2:4">
      <c r="B695" s="412" t="s">
        <v>952</v>
      </c>
      <c r="C695" s="1112">
        <v>12994</v>
      </c>
      <c r="D695" s="1112">
        <v>247045</v>
      </c>
    </row>
    <row r="696" spans="2:4">
      <c r="B696" s="412" t="s">
        <v>953</v>
      </c>
      <c r="C696" s="1112">
        <v>16010</v>
      </c>
      <c r="D696" s="1112">
        <v>305377</v>
      </c>
    </row>
    <row r="697" spans="2:4">
      <c r="B697" s="412" t="s">
        <v>954</v>
      </c>
      <c r="C697" s="1112">
        <v>15985.948644793152</v>
      </c>
      <c r="D697" s="1112">
        <v>304904.90870185447</v>
      </c>
    </row>
    <row r="698" spans="2:4">
      <c r="B698" s="412" t="s">
        <v>955</v>
      </c>
      <c r="C698" s="1112">
        <v>14715.052219321149</v>
      </c>
      <c r="D698" s="1112">
        <v>279959.15665796347</v>
      </c>
    </row>
    <row r="699" spans="2:4">
      <c r="B699" s="412" t="s">
        <v>956</v>
      </c>
      <c r="C699" s="1112">
        <v>13690.585635359115</v>
      </c>
      <c r="D699" s="1112">
        <v>259850.4453038674</v>
      </c>
    </row>
    <row r="700" spans="2:4">
      <c r="B700" s="412" t="s">
        <v>957</v>
      </c>
      <c r="C700" s="1112">
        <v>13210.66413662239</v>
      </c>
      <c r="D700" s="1112">
        <v>250430.32068311196</v>
      </c>
    </row>
    <row r="701" spans="2:4">
      <c r="B701" s="412" t="s">
        <v>958</v>
      </c>
      <c r="C701" s="1112">
        <v>16010</v>
      </c>
      <c r="D701" s="1112">
        <v>305377</v>
      </c>
    </row>
    <row r="702" spans="2:4">
      <c r="B702" s="412" t="s">
        <v>959</v>
      </c>
      <c r="C702" s="1112">
        <v>16010</v>
      </c>
      <c r="D702" s="1112">
        <v>305377</v>
      </c>
    </row>
    <row r="703" spans="2:4">
      <c r="B703" s="412" t="s">
        <v>960</v>
      </c>
      <c r="C703" s="1112">
        <v>16010</v>
      </c>
      <c r="D703" s="1112">
        <v>305377</v>
      </c>
    </row>
    <row r="704" spans="2:4">
      <c r="B704" s="412" t="s">
        <v>961</v>
      </c>
      <c r="C704" s="1112">
        <v>16002.95739348371</v>
      </c>
      <c r="D704" s="1112">
        <v>305238.76441102754</v>
      </c>
    </row>
    <row r="705" spans="2:4">
      <c r="B705" s="412" t="s">
        <v>962</v>
      </c>
      <c r="C705" s="1112">
        <v>16010</v>
      </c>
      <c r="D705" s="1112">
        <v>305377</v>
      </c>
    </row>
    <row r="706" spans="2:4">
      <c r="B706" s="412" t="s">
        <v>963</v>
      </c>
      <c r="C706" s="1112">
        <v>14136.666666666666</v>
      </c>
      <c r="D706" s="1112">
        <v>268606.33333333331</v>
      </c>
    </row>
    <row r="707" spans="2:4">
      <c r="B707" s="412" t="s">
        <v>964</v>
      </c>
      <c r="C707" s="1112">
        <v>16010</v>
      </c>
      <c r="D707" s="1112">
        <v>305377</v>
      </c>
    </row>
    <row r="708" spans="2:4">
      <c r="B708" s="412" t="s">
        <v>965</v>
      </c>
      <c r="C708" s="1112">
        <v>13002.610992148466</v>
      </c>
      <c r="D708" s="1112">
        <v>247211.54389721627</v>
      </c>
    </row>
    <row r="709" spans="2:4">
      <c r="B709" s="412" t="s">
        <v>966</v>
      </c>
      <c r="C709" s="1112">
        <v>12994</v>
      </c>
      <c r="D709" s="1112">
        <v>247045</v>
      </c>
    </row>
    <row r="710" spans="2:4">
      <c r="B710" s="412" t="s">
        <v>967</v>
      </c>
      <c r="C710" s="1112">
        <v>13214.194690265487</v>
      </c>
      <c r="D710" s="1112">
        <v>251303.75221238937</v>
      </c>
    </row>
    <row r="711" spans="2:4">
      <c r="B711" s="412" t="s">
        <v>968</v>
      </c>
      <c r="C711" s="1112">
        <v>15994.5969738652</v>
      </c>
      <c r="D711" s="1112">
        <v>305076.19944979367</v>
      </c>
    </row>
    <row r="712" spans="2:4">
      <c r="B712" s="412" t="s">
        <v>969</v>
      </c>
      <c r="C712" s="1112">
        <v>16010</v>
      </c>
      <c r="D712" s="1112">
        <v>305377</v>
      </c>
    </row>
    <row r="713" spans="2:4">
      <c r="B713" s="412" t="s">
        <v>970</v>
      </c>
      <c r="C713" s="1112">
        <v>16010</v>
      </c>
      <c r="D713" s="1112">
        <v>305377</v>
      </c>
    </row>
    <row r="714" spans="2:4">
      <c r="B714" s="412" t="s">
        <v>971</v>
      </c>
      <c r="C714" s="1112">
        <v>16010</v>
      </c>
      <c r="D714" s="1112">
        <v>305377</v>
      </c>
    </row>
    <row r="715" spans="2:4">
      <c r="B715" s="412" t="s">
        <v>972</v>
      </c>
      <c r="C715" s="1112">
        <v>16010</v>
      </c>
      <c r="D715" s="1112">
        <v>305377</v>
      </c>
    </row>
    <row r="716" spans="2:4">
      <c r="B716" s="412" t="s">
        <v>973</v>
      </c>
      <c r="C716" s="1112">
        <v>16010</v>
      </c>
      <c r="D716" s="1112">
        <v>305377</v>
      </c>
    </row>
    <row r="717" spans="2:4">
      <c r="B717" s="412" t="s">
        <v>974</v>
      </c>
      <c r="C717" s="1112">
        <v>13753.875324675324</v>
      </c>
      <c r="D717" s="1112">
        <v>261741.63376623378</v>
      </c>
    </row>
    <row r="718" spans="2:4">
      <c r="B718" s="412" t="s">
        <v>975</v>
      </c>
      <c r="C718" s="1112">
        <v>12994</v>
      </c>
      <c r="D718" s="1112">
        <v>247045</v>
      </c>
    </row>
    <row r="719" spans="2:4">
      <c r="B719" s="412" t="s">
        <v>976</v>
      </c>
      <c r="C719" s="1112">
        <v>15989.893333333333</v>
      </c>
      <c r="D719" s="1112">
        <v>304988.12</v>
      </c>
    </row>
    <row r="720" spans="2:4">
      <c r="B720" s="412" t="s">
        <v>977</v>
      </c>
      <c r="C720" s="1112">
        <v>15742.33</v>
      </c>
      <c r="D720" s="1112">
        <v>300200.03499999997</v>
      </c>
    </row>
    <row r="721" spans="2:4">
      <c r="B721" s="412" t="s">
        <v>978</v>
      </c>
      <c r="C721" s="1112">
        <v>12994</v>
      </c>
      <c r="D721" s="1112">
        <v>247045</v>
      </c>
    </row>
    <row r="722" spans="2:4">
      <c r="B722" s="412" t="s">
        <v>979</v>
      </c>
      <c r="C722" s="1112">
        <v>12994</v>
      </c>
      <c r="D722" s="1112">
        <v>247045</v>
      </c>
    </row>
    <row r="723" spans="2:4">
      <c r="B723" s="412" t="s">
        <v>980</v>
      </c>
      <c r="C723" s="1112">
        <v>12994</v>
      </c>
      <c r="D723" s="1112">
        <v>247045</v>
      </c>
    </row>
    <row r="724" spans="2:4">
      <c r="B724" s="412" t="s">
        <v>981</v>
      </c>
      <c r="C724" s="1112">
        <v>12994</v>
      </c>
      <c r="D724" s="1112">
        <v>247045</v>
      </c>
    </row>
    <row r="725" spans="2:4">
      <c r="B725" s="412" t="s">
        <v>982</v>
      </c>
      <c r="C725" s="1112">
        <v>12994</v>
      </c>
      <c r="D725" s="1112">
        <v>247045</v>
      </c>
    </row>
    <row r="726" spans="2:4">
      <c r="B726" s="412" t="s">
        <v>983</v>
      </c>
      <c r="C726" s="1112">
        <v>13200</v>
      </c>
      <c r="D726" s="1112">
        <v>250221</v>
      </c>
    </row>
    <row r="727" spans="2:4">
      <c r="B727" s="412" t="s">
        <v>984</v>
      </c>
      <c r="C727" s="1112">
        <v>13053.178181818183</v>
      </c>
      <c r="D727" s="1112">
        <v>247957.37818181817</v>
      </c>
    </row>
    <row r="728" spans="2:4">
      <c r="B728" s="412" t="s">
        <v>985</v>
      </c>
      <c r="C728" s="1112">
        <v>13136.960307298335</v>
      </c>
      <c r="D728" s="1112">
        <v>249249.08706786172</v>
      </c>
    </row>
    <row r="729" spans="2:4">
      <c r="B729" s="412" t="s">
        <v>986</v>
      </c>
      <c r="C729" s="1112">
        <v>13200</v>
      </c>
      <c r="D729" s="1112">
        <v>250221</v>
      </c>
    </row>
    <row r="730" spans="2:4">
      <c r="B730" s="412" t="s">
        <v>987</v>
      </c>
      <c r="C730" s="1112">
        <v>15339.500311526479</v>
      </c>
      <c r="D730" s="1112">
        <v>292392.85295950156</v>
      </c>
    </row>
    <row r="731" spans="2:4">
      <c r="B731" s="412" t="s">
        <v>988</v>
      </c>
      <c r="C731" s="1112">
        <v>12994</v>
      </c>
      <c r="D731" s="1112">
        <v>247045</v>
      </c>
    </row>
    <row r="732" spans="2:4">
      <c r="B732" s="412" t="s">
        <v>989</v>
      </c>
      <c r="C732" s="1112">
        <v>12994</v>
      </c>
      <c r="D732" s="1112">
        <v>247045</v>
      </c>
    </row>
    <row r="733" spans="2:4">
      <c r="B733" s="412" t="s">
        <v>990</v>
      </c>
      <c r="C733" s="1112">
        <v>12994</v>
      </c>
      <c r="D733" s="1112">
        <v>247045</v>
      </c>
    </row>
    <row r="734" spans="2:4">
      <c r="B734" s="412" t="s">
        <v>991</v>
      </c>
      <c r="C734" s="1112">
        <v>12994</v>
      </c>
      <c r="D734" s="1112">
        <v>247045</v>
      </c>
    </row>
    <row r="735" spans="2:4">
      <c r="B735" s="412" t="s">
        <v>992</v>
      </c>
      <c r="C735" s="1112">
        <v>12994</v>
      </c>
      <c r="D735" s="1112">
        <v>247045</v>
      </c>
    </row>
    <row r="736" spans="2:4">
      <c r="B736" s="412" t="s">
        <v>993</v>
      </c>
      <c r="C736" s="1112">
        <v>13200</v>
      </c>
      <c r="D736" s="1112">
        <v>250221</v>
      </c>
    </row>
    <row r="737" spans="2:4">
      <c r="B737" s="412" t="s">
        <v>994</v>
      </c>
      <c r="C737" s="1112">
        <v>12994</v>
      </c>
      <c r="D737" s="1112">
        <v>247045</v>
      </c>
    </row>
    <row r="738" spans="2:4">
      <c r="B738" s="412" t="s">
        <v>995</v>
      </c>
      <c r="C738" s="1112">
        <v>12994</v>
      </c>
      <c r="D738" s="1112">
        <v>247045</v>
      </c>
    </row>
    <row r="739" spans="2:4">
      <c r="B739" s="412" t="s">
        <v>996</v>
      </c>
      <c r="C739" s="1112">
        <v>12994</v>
      </c>
      <c r="D739" s="1112">
        <v>247045</v>
      </c>
    </row>
    <row r="740" spans="2:4">
      <c r="B740" s="412" t="s">
        <v>997</v>
      </c>
      <c r="C740" s="1112">
        <v>13200</v>
      </c>
      <c r="D740" s="1112">
        <v>250221</v>
      </c>
    </row>
    <row r="741" spans="2:4">
      <c r="B741" s="412" t="s">
        <v>998</v>
      </c>
      <c r="C741" s="1112">
        <v>12994</v>
      </c>
      <c r="D741" s="1112">
        <v>247045</v>
      </c>
    </row>
    <row r="742" spans="2:4">
      <c r="B742" s="412" t="s">
        <v>999</v>
      </c>
      <c r="C742" s="1112">
        <v>12994</v>
      </c>
      <c r="D742" s="1112">
        <v>247045</v>
      </c>
    </row>
    <row r="743" spans="2:4">
      <c r="B743" s="412" t="s">
        <v>1000</v>
      </c>
      <c r="C743" s="1112">
        <v>12994</v>
      </c>
      <c r="D743" s="1112">
        <v>247045</v>
      </c>
    </row>
    <row r="744" spans="2:4">
      <c r="B744" s="412" t="s">
        <v>1001</v>
      </c>
      <c r="C744" s="1112">
        <v>12994</v>
      </c>
      <c r="D744" s="1112">
        <v>247045</v>
      </c>
    </row>
    <row r="745" spans="2:4">
      <c r="B745" s="412" t="s">
        <v>1002</v>
      </c>
      <c r="C745" s="1112">
        <v>12994</v>
      </c>
      <c r="D745" s="1112">
        <v>247045</v>
      </c>
    </row>
    <row r="746" spans="2:4">
      <c r="B746" s="412" t="s">
        <v>1003</v>
      </c>
      <c r="C746" s="1112">
        <v>12994</v>
      </c>
      <c r="D746" s="1112">
        <v>247045</v>
      </c>
    </row>
    <row r="747" spans="2:4">
      <c r="B747" s="412" t="s">
        <v>1004</v>
      </c>
      <c r="C747" s="1112">
        <v>12994</v>
      </c>
      <c r="D747" s="1112">
        <v>247045</v>
      </c>
    </row>
    <row r="748" spans="2:4">
      <c r="B748" s="412" t="s">
        <v>1005</v>
      </c>
      <c r="C748" s="1112">
        <v>12994</v>
      </c>
      <c r="D748" s="1112">
        <v>247045</v>
      </c>
    </row>
    <row r="749" spans="2:4">
      <c r="B749" s="412" t="s">
        <v>1006</v>
      </c>
      <c r="C749" s="1112">
        <v>12994</v>
      </c>
      <c r="D749" s="1112">
        <v>247045</v>
      </c>
    </row>
    <row r="750" spans="2:4">
      <c r="B750" s="412" t="s">
        <v>1007</v>
      </c>
      <c r="C750" s="1112">
        <v>13200</v>
      </c>
      <c r="D750" s="1112">
        <v>250221</v>
      </c>
    </row>
    <row r="751" spans="2:4">
      <c r="B751" s="412" t="s">
        <v>1008</v>
      </c>
      <c r="C751" s="1112">
        <v>12994</v>
      </c>
      <c r="D751" s="1112">
        <v>247045</v>
      </c>
    </row>
    <row r="752" spans="2:4">
      <c r="B752" s="412" t="s">
        <v>1009</v>
      </c>
      <c r="C752" s="1112">
        <v>12994</v>
      </c>
      <c r="D752" s="1112">
        <v>247045</v>
      </c>
    </row>
    <row r="753" spans="2:4">
      <c r="B753" s="412" t="s">
        <v>1010</v>
      </c>
      <c r="C753" s="1112">
        <v>13200</v>
      </c>
      <c r="D753" s="1112">
        <v>250221</v>
      </c>
    </row>
    <row r="754" spans="2:4">
      <c r="B754" s="412" t="s">
        <v>1011</v>
      </c>
      <c r="C754" s="1112">
        <v>13200</v>
      </c>
      <c r="D754" s="1112">
        <v>250221</v>
      </c>
    </row>
    <row r="755" spans="2:4">
      <c r="B755" s="412" t="s">
        <v>1012</v>
      </c>
      <c r="C755" s="1112">
        <v>13194.312124849939</v>
      </c>
      <c r="D755" s="1112">
        <v>250133.30732292918</v>
      </c>
    </row>
    <row r="756" spans="2:4">
      <c r="B756" s="412" t="s">
        <v>1013</v>
      </c>
      <c r="C756" s="1112">
        <v>13200</v>
      </c>
      <c r="D756" s="1112">
        <v>250221</v>
      </c>
    </row>
    <row r="757" spans="2:4">
      <c r="B757" s="412" t="s">
        <v>1014</v>
      </c>
      <c r="C757" s="1112">
        <v>13199.848049281314</v>
      </c>
      <c r="D757" s="1112">
        <v>250242.95482546202</v>
      </c>
    </row>
    <row r="758" spans="2:4">
      <c r="B758" s="412" t="s">
        <v>1015</v>
      </c>
      <c r="C758" s="1112">
        <v>13064.114457831325</v>
      </c>
      <c r="D758" s="1112">
        <v>248125.98795180724</v>
      </c>
    </row>
    <row r="759" spans="2:4">
      <c r="B759" s="412" t="s">
        <v>1016</v>
      </c>
      <c r="C759" s="1112">
        <v>16010</v>
      </c>
      <c r="D759" s="1112">
        <v>305377</v>
      </c>
    </row>
    <row r="760" spans="2:4">
      <c r="B760" s="412" t="s">
        <v>1017</v>
      </c>
      <c r="C760" s="1112">
        <v>16003.252796420582</v>
      </c>
      <c r="D760" s="1112">
        <v>305246.50335570471</v>
      </c>
    </row>
    <row r="761" spans="2:4">
      <c r="B761" s="412" t="s">
        <v>1018</v>
      </c>
      <c r="C761" s="1112">
        <v>16010</v>
      </c>
      <c r="D761" s="1112">
        <v>305377</v>
      </c>
    </row>
    <row r="762" spans="2:4">
      <c r="B762" s="412" t="s">
        <v>1019</v>
      </c>
      <c r="C762" s="1112">
        <v>16010</v>
      </c>
      <c r="D762" s="1112">
        <v>305377</v>
      </c>
    </row>
    <row r="763" spans="2:4">
      <c r="B763" s="412" t="s">
        <v>1020</v>
      </c>
      <c r="C763" s="1112">
        <v>16010</v>
      </c>
      <c r="D763" s="1112">
        <v>305377</v>
      </c>
    </row>
    <row r="764" spans="2:4">
      <c r="B764" s="412" t="s">
        <v>1021</v>
      </c>
      <c r="C764" s="1112">
        <v>16010</v>
      </c>
      <c r="D764" s="1112">
        <v>305377</v>
      </c>
    </row>
    <row r="765" spans="2:4">
      <c r="B765" s="412" t="s">
        <v>1022</v>
      </c>
      <c r="C765" s="1112">
        <v>16010</v>
      </c>
      <c r="D765" s="1112">
        <v>305377</v>
      </c>
    </row>
    <row r="766" spans="2:4">
      <c r="B766" s="412" t="s">
        <v>1023</v>
      </c>
      <c r="C766" s="1112">
        <v>16010</v>
      </c>
      <c r="D766" s="1112">
        <v>305377</v>
      </c>
    </row>
    <row r="767" spans="2:4">
      <c r="B767" s="412" t="s">
        <v>1024</v>
      </c>
      <c r="C767" s="1112">
        <v>15029.533568904593</v>
      </c>
      <c r="D767" s="1112">
        <v>286413.94699646643</v>
      </c>
    </row>
    <row r="768" spans="2:4">
      <c r="B768" s="412" t="s">
        <v>1025</v>
      </c>
      <c r="C768" s="1112">
        <v>15996.886956521739</v>
      </c>
      <c r="D768" s="1112">
        <v>305123.38260869565</v>
      </c>
    </row>
    <row r="769" spans="2:4">
      <c r="B769" s="412" t="s">
        <v>1026</v>
      </c>
      <c r="C769" s="1112">
        <v>15496.062780269058</v>
      </c>
      <c r="D769" s="1112">
        <v>295437.01793721976</v>
      </c>
    </row>
    <row r="770" spans="2:4">
      <c r="B770" s="412" t="s">
        <v>1027</v>
      </c>
      <c r="C770" s="1112">
        <v>13200</v>
      </c>
      <c r="D770" s="1112">
        <v>250221</v>
      </c>
    </row>
    <row r="771" spans="2:4">
      <c r="B771" s="412" t="s">
        <v>1028</v>
      </c>
      <c r="C771" s="1112">
        <v>12994</v>
      </c>
      <c r="D771" s="1112">
        <v>247045</v>
      </c>
    </row>
    <row r="772" spans="2:4">
      <c r="B772" s="412" t="s">
        <v>1029</v>
      </c>
      <c r="C772" s="1112">
        <v>12994</v>
      </c>
      <c r="D772" s="1112">
        <v>247045</v>
      </c>
    </row>
    <row r="773" spans="2:4">
      <c r="B773" s="412" t="s">
        <v>1030</v>
      </c>
      <c r="C773" s="1112">
        <v>13400.411347517731</v>
      </c>
      <c r="D773" s="1112">
        <v>254905.3404255319</v>
      </c>
    </row>
    <row r="774" spans="2:4">
      <c r="B774" s="412" t="s">
        <v>1031</v>
      </c>
      <c r="C774" s="1112">
        <v>12994</v>
      </c>
      <c r="D774" s="1112">
        <v>247045</v>
      </c>
    </row>
    <row r="775" spans="2:4">
      <c r="B775" s="412" t="s">
        <v>1032</v>
      </c>
      <c r="C775" s="1112">
        <v>14954.4</v>
      </c>
      <c r="D775" s="1112">
        <v>284960.8</v>
      </c>
    </row>
    <row r="776" spans="2:4">
      <c r="B776" s="412" t="s">
        <v>1033</v>
      </c>
      <c r="C776" s="1112">
        <v>13200</v>
      </c>
      <c r="D776" s="1112">
        <v>250221</v>
      </c>
    </row>
    <row r="777" spans="2:4">
      <c r="B777" s="412" t="s">
        <v>1034</v>
      </c>
      <c r="C777" s="1112">
        <v>13178.865265760198</v>
      </c>
      <c r="D777" s="1112">
        <v>249895.15574783683</v>
      </c>
    </row>
    <row r="778" spans="2:4">
      <c r="B778" s="412" t="s">
        <v>1035</v>
      </c>
      <c r="C778" s="1112">
        <v>13200</v>
      </c>
      <c r="D778" s="1112">
        <v>250221</v>
      </c>
    </row>
    <row r="779" spans="2:4">
      <c r="B779" s="412" t="s">
        <v>1036</v>
      </c>
      <c r="C779" s="1112">
        <v>13200</v>
      </c>
      <c r="D779" s="1112">
        <v>250221</v>
      </c>
    </row>
    <row r="780" spans="2:4">
      <c r="B780" s="412" t="s">
        <v>1037</v>
      </c>
      <c r="C780" s="1112">
        <v>13195.829959514171</v>
      </c>
      <c r="D780" s="1112">
        <v>250156.7085020243</v>
      </c>
    </row>
    <row r="781" spans="2:4">
      <c r="B781" s="412" t="s">
        <v>1038</v>
      </c>
      <c r="C781" s="1112">
        <v>13032.854599406528</v>
      </c>
      <c r="D781" s="1112">
        <v>247784.48961424333</v>
      </c>
    </row>
    <row r="782" spans="2:4">
      <c r="B782" s="412" t="s">
        <v>1039</v>
      </c>
      <c r="C782" s="1112">
        <v>13195.701168614358</v>
      </c>
      <c r="D782" s="1112">
        <v>250154.72287145242</v>
      </c>
    </row>
    <row r="783" spans="2:4" ht="17" thickBot="1">
      <c r="B783" s="413" t="s">
        <v>1040</v>
      </c>
      <c r="C783" s="1113">
        <v>13116.526066350711</v>
      </c>
      <c r="D783" s="1113">
        <v>248934.04265402842</v>
      </c>
    </row>
    <row r="784" spans="2:4">
      <c r="B784" s="415" t="s">
        <v>1041</v>
      </c>
      <c r="C784" s="1111">
        <v>58927.784313725489</v>
      </c>
      <c r="D784" s="1111">
        <v>1132209.5361730899</v>
      </c>
    </row>
    <row r="785" spans="2:4">
      <c r="B785" s="412" t="s">
        <v>1042</v>
      </c>
      <c r="C785" s="1112">
        <v>31326</v>
      </c>
      <c r="D785" s="1112">
        <v>602201</v>
      </c>
    </row>
    <row r="786" spans="2:4">
      <c r="B786" s="412" t="s">
        <v>1043</v>
      </c>
      <c r="C786" s="1112">
        <v>31326</v>
      </c>
      <c r="D786" s="1112">
        <v>602201</v>
      </c>
    </row>
    <row r="787" spans="2:4">
      <c r="B787" s="412" t="s">
        <v>1044</v>
      </c>
      <c r="C787" s="1112">
        <v>55756.17676767677</v>
      </c>
      <c r="D787" s="1112">
        <v>1071143.5505050505</v>
      </c>
    </row>
    <row r="788" spans="2:4">
      <c r="B788" s="412" t="s">
        <v>1045</v>
      </c>
      <c r="C788" s="1112">
        <v>58967</v>
      </c>
      <c r="D788" s="1112">
        <v>1132776</v>
      </c>
    </row>
    <row r="789" spans="2:4">
      <c r="B789" s="412" t="s">
        <v>1046</v>
      </c>
      <c r="C789" s="1112">
        <v>58967</v>
      </c>
      <c r="D789" s="1112">
        <v>1132776</v>
      </c>
    </row>
    <row r="790" spans="2:4">
      <c r="B790" s="412" t="s">
        <v>1047</v>
      </c>
      <c r="C790" s="1112">
        <v>57200.469924812031</v>
      </c>
      <c r="D790" s="1112">
        <v>1098867.0714285714</v>
      </c>
    </row>
    <row r="791" spans="2:4">
      <c r="B791" s="412" t="s">
        <v>1048</v>
      </c>
      <c r="C791" s="1112">
        <v>58967</v>
      </c>
      <c r="D791" s="1112">
        <v>1132776</v>
      </c>
    </row>
    <row r="792" spans="2:4">
      <c r="B792" s="412" t="s">
        <v>1049</v>
      </c>
      <c r="C792" s="1112">
        <v>31326</v>
      </c>
      <c r="D792" s="1112">
        <v>602201</v>
      </c>
    </row>
    <row r="793" spans="2:4">
      <c r="B793" s="412" t="s">
        <v>1050</v>
      </c>
      <c r="C793" s="1112">
        <v>31326</v>
      </c>
      <c r="D793" s="1112">
        <v>602201</v>
      </c>
    </row>
    <row r="794" spans="2:4">
      <c r="B794" s="412" t="s">
        <v>1051</v>
      </c>
      <c r="C794" s="1112">
        <v>58967</v>
      </c>
      <c r="D794" s="1112">
        <v>1132776</v>
      </c>
    </row>
    <row r="795" spans="2:4">
      <c r="B795" s="412" t="s">
        <v>1052</v>
      </c>
      <c r="C795" s="1112">
        <v>58967</v>
      </c>
      <c r="D795" s="1112">
        <v>1132776</v>
      </c>
    </row>
    <row r="796" spans="2:4">
      <c r="B796" s="412" t="s">
        <v>1053</v>
      </c>
      <c r="C796" s="1112">
        <v>58643.713450292395</v>
      </c>
      <c r="D796" s="1112">
        <v>1126570.4444444445</v>
      </c>
    </row>
    <row r="797" spans="2:4">
      <c r="B797" s="412" t="s">
        <v>1054</v>
      </c>
      <c r="C797" s="1112">
        <v>58967</v>
      </c>
      <c r="D797" s="1112">
        <v>1132776</v>
      </c>
    </row>
    <row r="798" spans="2:4">
      <c r="B798" s="412" t="s">
        <v>1055</v>
      </c>
      <c r="C798" s="1112">
        <v>30773.946002076842</v>
      </c>
      <c r="D798" s="1112">
        <v>591505.75181723782</v>
      </c>
    </row>
    <row r="799" spans="2:4">
      <c r="B799" s="412" t="s">
        <v>1056</v>
      </c>
      <c r="C799" s="1112">
        <v>58754.04930662558</v>
      </c>
      <c r="D799" s="1112">
        <v>1128688.3651771958</v>
      </c>
    </row>
    <row r="800" spans="2:4">
      <c r="B800" s="412" t="s">
        <v>1057</v>
      </c>
      <c r="C800" s="1112">
        <v>58967</v>
      </c>
      <c r="D800" s="1112">
        <v>1132776</v>
      </c>
    </row>
    <row r="801" spans="2:4">
      <c r="B801" s="412" t="s">
        <v>1058</v>
      </c>
      <c r="C801" s="1112">
        <v>56947.080769230772</v>
      </c>
      <c r="D801" s="1112">
        <v>1094003.2115384615</v>
      </c>
    </row>
    <row r="802" spans="2:4">
      <c r="B802" s="412" t="s">
        <v>1059</v>
      </c>
      <c r="C802" s="1112">
        <v>58967</v>
      </c>
      <c r="D802" s="1112">
        <v>1132776</v>
      </c>
    </row>
    <row r="803" spans="2:4">
      <c r="B803" s="412" t="s">
        <v>1060</v>
      </c>
      <c r="C803" s="1112">
        <v>58967</v>
      </c>
      <c r="D803" s="1112">
        <v>1132776</v>
      </c>
    </row>
    <row r="804" spans="2:4">
      <c r="B804" s="412" t="s">
        <v>1061</v>
      </c>
      <c r="C804" s="1112">
        <v>58967</v>
      </c>
      <c r="D804" s="1112">
        <v>1132776</v>
      </c>
    </row>
    <row r="805" spans="2:4">
      <c r="B805" s="412" t="s">
        <v>1062</v>
      </c>
      <c r="C805" s="1112">
        <v>58056.534883720931</v>
      </c>
      <c r="D805" s="1112">
        <v>1119624.4883720931</v>
      </c>
    </row>
    <row r="806" spans="2:4">
      <c r="B806" s="412" t="s">
        <v>1063</v>
      </c>
      <c r="C806" s="1112">
        <v>58919.717391304344</v>
      </c>
      <c r="D806" s="1112">
        <v>1132093.0108695652</v>
      </c>
    </row>
    <row r="807" spans="2:4">
      <c r="B807" s="412" t="s">
        <v>1064</v>
      </c>
      <c r="C807" s="1112">
        <v>58841.691358024691</v>
      </c>
      <c r="D807" s="1112">
        <v>1130965.9382716049</v>
      </c>
    </row>
    <row r="808" spans="2:4">
      <c r="B808" s="412" t="s">
        <v>1065</v>
      </c>
      <c r="C808" s="1112">
        <v>58967</v>
      </c>
      <c r="D808" s="1112">
        <v>1132776</v>
      </c>
    </row>
    <row r="809" spans="2:4">
      <c r="B809" s="412" t="s">
        <v>1066</v>
      </c>
      <c r="C809" s="1112">
        <v>58967</v>
      </c>
      <c r="D809" s="1112">
        <v>1132776</v>
      </c>
    </row>
    <row r="810" spans="2:4">
      <c r="B810" s="412" t="s">
        <v>1067</v>
      </c>
      <c r="C810" s="1112">
        <v>58967</v>
      </c>
      <c r="D810" s="1112">
        <v>1132776</v>
      </c>
    </row>
    <row r="811" spans="2:4">
      <c r="B811" s="412" t="s">
        <v>1068</v>
      </c>
      <c r="C811" s="1112">
        <v>58787.698924731179</v>
      </c>
      <c r="D811" s="1112">
        <v>1130186.0268817204</v>
      </c>
    </row>
    <row r="812" spans="2:4">
      <c r="B812" s="412" t="s">
        <v>1069</v>
      </c>
      <c r="C812" s="1112">
        <v>58893.478873239437</v>
      </c>
      <c r="D812" s="1112">
        <v>1131714</v>
      </c>
    </row>
    <row r="813" spans="2:4">
      <c r="B813" s="412" t="s">
        <v>1070</v>
      </c>
      <c r="C813" s="1112">
        <v>57773.353591160223</v>
      </c>
      <c r="D813" s="1112">
        <v>1115533.9834254144</v>
      </c>
    </row>
    <row r="814" spans="2:4">
      <c r="B814" s="412" t="s">
        <v>1071</v>
      </c>
      <c r="C814" s="1112">
        <v>57567.877192982458</v>
      </c>
      <c r="D814" s="1112">
        <v>1112565.9122807018</v>
      </c>
    </row>
    <row r="815" spans="2:4">
      <c r="B815" s="412" t="s">
        <v>1072</v>
      </c>
      <c r="C815" s="1112">
        <v>58890.684210526313</v>
      </c>
      <c r="D815" s="1112">
        <v>1131673.6315789474</v>
      </c>
    </row>
    <row r="816" spans="2:4">
      <c r="B816" s="412" t="s">
        <v>1073</v>
      </c>
      <c r="C816" s="1112">
        <v>57648.818181818184</v>
      </c>
      <c r="D816" s="1112">
        <v>1113735.0909090908</v>
      </c>
    </row>
    <row r="817" spans="2:4">
      <c r="B817" s="412" t="s">
        <v>1074</v>
      </c>
      <c r="C817" s="1112">
        <v>57556.908256880735</v>
      </c>
      <c r="D817" s="1112">
        <v>1112407.4678899082</v>
      </c>
    </row>
    <row r="818" spans="2:4">
      <c r="B818" s="412" t="s">
        <v>1075</v>
      </c>
      <c r="C818" s="1112">
        <v>57655.829787234041</v>
      </c>
      <c r="D818" s="1112">
        <v>1113836.3723404256</v>
      </c>
    </row>
    <row r="819" spans="2:4">
      <c r="B819" s="412" t="s">
        <v>1076</v>
      </c>
      <c r="C819" s="1112">
        <v>57555.15789473684</v>
      </c>
      <c r="D819" s="1112">
        <v>1112382.1842105263</v>
      </c>
    </row>
    <row r="820" spans="2:4">
      <c r="B820" s="412" t="s">
        <v>1077</v>
      </c>
      <c r="C820" s="1112">
        <v>57517</v>
      </c>
      <c r="D820" s="1112">
        <v>1111831</v>
      </c>
    </row>
    <row r="821" spans="2:4">
      <c r="B821" s="412" t="s">
        <v>1078</v>
      </c>
      <c r="C821" s="1112">
        <v>57655.095238095237</v>
      </c>
      <c r="D821" s="1112">
        <v>1113825.7619047619</v>
      </c>
    </row>
    <row r="822" spans="2:4">
      <c r="B822" s="412" t="s">
        <v>1079</v>
      </c>
      <c r="C822" s="1112">
        <v>58894.5</v>
      </c>
      <c r="D822" s="1112">
        <v>1131728.75</v>
      </c>
    </row>
    <row r="823" spans="2:4">
      <c r="B823" s="412" t="s">
        <v>1080</v>
      </c>
      <c r="C823" s="1112">
        <v>57565.876404494382</v>
      </c>
      <c r="D823" s="1112">
        <v>1112537.0112359552</v>
      </c>
    </row>
    <row r="824" spans="2:4">
      <c r="B824" s="412" t="s">
        <v>1081</v>
      </c>
      <c r="C824" s="1112">
        <v>57534.261904761908</v>
      </c>
      <c r="D824" s="1112">
        <v>1112080.3452380951</v>
      </c>
    </row>
    <row r="825" spans="2:4">
      <c r="B825" s="412" t="s">
        <v>1082</v>
      </c>
      <c r="C825" s="1112">
        <v>57567.434782608696</v>
      </c>
      <c r="D825" s="1112">
        <v>1112559.5217391304</v>
      </c>
    </row>
    <row r="826" spans="2:4">
      <c r="B826" s="412" t="s">
        <v>1083</v>
      </c>
      <c r="C826" s="1112">
        <v>57547.208333333336</v>
      </c>
      <c r="D826" s="1112">
        <v>1112267.3541666667</v>
      </c>
    </row>
    <row r="827" spans="2:4">
      <c r="B827" s="412" t="s">
        <v>1084</v>
      </c>
      <c r="C827" s="1112">
        <v>57613.666666666664</v>
      </c>
      <c r="D827" s="1112">
        <v>1113227.3333333333</v>
      </c>
    </row>
    <row r="828" spans="2:4">
      <c r="B828" s="412" t="s">
        <v>1085</v>
      </c>
      <c r="C828" s="1112">
        <v>58967</v>
      </c>
      <c r="D828" s="1112">
        <v>1132776</v>
      </c>
    </row>
    <row r="829" spans="2:4">
      <c r="B829" s="412" t="s">
        <v>1086</v>
      </c>
      <c r="C829" s="1112">
        <v>57540.770491803276</v>
      </c>
      <c r="D829" s="1112">
        <v>1112174.3606557378</v>
      </c>
    </row>
    <row r="830" spans="2:4">
      <c r="B830" s="412" t="s">
        <v>1087</v>
      </c>
      <c r="C830" s="1112">
        <v>57552.365853658535</v>
      </c>
      <c r="D830" s="1112">
        <v>1112341.8536585367</v>
      </c>
    </row>
    <row r="831" spans="2:4">
      <c r="B831" s="412" t="s">
        <v>1088</v>
      </c>
      <c r="C831" s="1112">
        <v>57527.740740740737</v>
      </c>
      <c r="D831" s="1112">
        <v>1111986.1481481481</v>
      </c>
    </row>
    <row r="832" spans="2:4">
      <c r="B832" s="412" t="s">
        <v>1089</v>
      </c>
      <c r="C832" s="1112">
        <v>16010</v>
      </c>
      <c r="D832" s="1112">
        <v>305377</v>
      </c>
    </row>
    <row r="833" spans="2:4">
      <c r="B833" s="412" t="s">
        <v>1090</v>
      </c>
      <c r="C833" s="1112">
        <v>15968.290657439446</v>
      </c>
      <c r="D833" s="1112">
        <v>304553.32525951555</v>
      </c>
    </row>
    <row r="834" spans="2:4">
      <c r="B834" s="412" t="s">
        <v>1091</v>
      </c>
      <c r="C834" s="1112">
        <v>16010</v>
      </c>
      <c r="D834" s="1112">
        <v>305377</v>
      </c>
    </row>
    <row r="835" spans="2:4">
      <c r="B835" s="412" t="s">
        <v>1092</v>
      </c>
      <c r="C835" s="1112">
        <v>16010</v>
      </c>
      <c r="D835" s="1112">
        <v>305377</v>
      </c>
    </row>
    <row r="836" spans="2:4">
      <c r="B836" s="412" t="s">
        <v>1093</v>
      </c>
      <c r="C836" s="1112">
        <v>16010</v>
      </c>
      <c r="D836" s="1112">
        <v>305377</v>
      </c>
    </row>
    <row r="837" spans="2:4">
      <c r="B837" s="412" t="s">
        <v>1094</v>
      </c>
      <c r="C837" s="1112">
        <v>16010</v>
      </c>
      <c r="D837" s="1112">
        <v>305377</v>
      </c>
    </row>
    <row r="838" spans="2:4">
      <c r="B838" s="412" t="s">
        <v>1095</v>
      </c>
      <c r="C838" s="1112">
        <v>16010</v>
      </c>
      <c r="D838" s="1112">
        <v>305377</v>
      </c>
    </row>
    <row r="839" spans="2:4">
      <c r="B839" s="412" t="s">
        <v>1096</v>
      </c>
      <c r="C839" s="1112">
        <v>15997.887456037515</v>
      </c>
      <c r="D839" s="1112">
        <v>305137.80187573272</v>
      </c>
    </row>
    <row r="840" spans="2:4">
      <c r="B840" s="412" t="s">
        <v>1097</v>
      </c>
      <c r="C840" s="1112">
        <v>15990.130769230769</v>
      </c>
      <c r="D840" s="1112">
        <v>304984.62307692308</v>
      </c>
    </row>
    <row r="841" spans="2:4">
      <c r="B841" s="412" t="s">
        <v>1098</v>
      </c>
      <c r="C841" s="1112">
        <v>10893.2</v>
      </c>
      <c r="D841" s="1112">
        <v>204330.6</v>
      </c>
    </row>
    <row r="842" spans="2:4">
      <c r="B842" s="412" t="s">
        <v>1099</v>
      </c>
      <c r="C842" s="1112">
        <v>10844</v>
      </c>
      <c r="D842" s="1112">
        <v>203359</v>
      </c>
    </row>
    <row r="843" spans="2:4">
      <c r="B843" s="412" t="s">
        <v>1100</v>
      </c>
      <c r="C843" s="1112">
        <v>16010</v>
      </c>
      <c r="D843" s="1112">
        <v>305377</v>
      </c>
    </row>
    <row r="844" spans="2:4">
      <c r="B844" s="412" t="s">
        <v>1101</v>
      </c>
      <c r="C844" s="1112">
        <v>10844</v>
      </c>
      <c r="D844" s="1112">
        <v>203359</v>
      </c>
    </row>
    <row r="845" spans="2:4">
      <c r="B845" s="412" t="s">
        <v>1102</v>
      </c>
      <c r="C845" s="1112">
        <v>13136.019635343619</v>
      </c>
      <c r="D845" s="1112">
        <v>249785.88078541376</v>
      </c>
    </row>
    <row r="846" spans="2:4">
      <c r="B846" s="412" t="s">
        <v>1103</v>
      </c>
      <c r="C846" s="1112">
        <v>10856.652573529413</v>
      </c>
      <c r="D846" s="1112">
        <v>203613.3768382353</v>
      </c>
    </row>
    <row r="847" spans="2:4">
      <c r="B847" s="412" t="s">
        <v>1104</v>
      </c>
      <c r="C847" s="1112">
        <v>10844</v>
      </c>
      <c r="D847" s="1112">
        <v>203359</v>
      </c>
    </row>
    <row r="848" spans="2:4">
      <c r="B848" s="412" t="s">
        <v>1105</v>
      </c>
      <c r="C848" s="1112">
        <v>10844</v>
      </c>
      <c r="D848" s="1112">
        <v>203359</v>
      </c>
    </row>
    <row r="849" spans="2:4">
      <c r="B849" s="412" t="s">
        <v>1106</v>
      </c>
      <c r="C849" s="1112">
        <v>10844</v>
      </c>
      <c r="D849" s="1112">
        <v>203359</v>
      </c>
    </row>
    <row r="850" spans="2:4">
      <c r="B850" s="412" t="s">
        <v>1107</v>
      </c>
      <c r="C850" s="1112">
        <v>10872.342749529191</v>
      </c>
      <c r="D850" s="1112">
        <v>203934.89830508476</v>
      </c>
    </row>
    <row r="851" spans="2:4">
      <c r="B851" s="412" t="s">
        <v>1108</v>
      </c>
      <c r="C851" s="1112">
        <v>13387.391304347826</v>
      </c>
      <c r="D851" s="1112">
        <v>254653.52173913043</v>
      </c>
    </row>
    <row r="852" spans="2:4">
      <c r="B852" s="412" t="s">
        <v>1109</v>
      </c>
      <c r="C852" s="1112">
        <v>15964.985074626866</v>
      </c>
      <c r="D852" s="1112">
        <v>304506.37313432834</v>
      </c>
    </row>
    <row r="853" spans="2:4">
      <c r="B853" s="412" t="s">
        <v>1110</v>
      </c>
      <c r="C853" s="1112">
        <v>15984.866666666667</v>
      </c>
      <c r="D853" s="1112">
        <v>304890.90000000002</v>
      </c>
    </row>
    <row r="854" spans="2:4">
      <c r="B854" s="412" t="s">
        <v>1111</v>
      </c>
      <c r="C854" s="1112">
        <v>16010</v>
      </c>
      <c r="D854" s="1112">
        <v>305377</v>
      </c>
    </row>
    <row r="855" spans="2:4">
      <c r="B855" s="412" t="s">
        <v>1112</v>
      </c>
      <c r="C855" s="1112">
        <v>15957.318777292576</v>
      </c>
      <c r="D855" s="1112">
        <v>304358.10043668124</v>
      </c>
    </row>
    <row r="856" spans="2:4">
      <c r="B856" s="412" t="s">
        <v>1113</v>
      </c>
      <c r="C856" s="1112">
        <v>12994</v>
      </c>
      <c r="D856" s="1112">
        <v>247045</v>
      </c>
    </row>
    <row r="857" spans="2:4">
      <c r="B857" s="412" t="s">
        <v>1114</v>
      </c>
      <c r="C857" s="1112">
        <v>12994</v>
      </c>
      <c r="D857" s="1112">
        <v>247045</v>
      </c>
    </row>
    <row r="858" spans="2:4">
      <c r="B858" s="412" t="s">
        <v>1115</v>
      </c>
      <c r="C858" s="1112">
        <v>12994</v>
      </c>
      <c r="D858" s="1112">
        <v>247045</v>
      </c>
    </row>
    <row r="859" spans="2:4">
      <c r="B859" s="412" t="s">
        <v>1116</v>
      </c>
      <c r="C859" s="1112">
        <v>12994</v>
      </c>
      <c r="D859" s="1112">
        <v>247045</v>
      </c>
    </row>
    <row r="860" spans="2:4">
      <c r="B860" s="412" t="s">
        <v>1117</v>
      </c>
      <c r="C860" s="1112">
        <v>12994</v>
      </c>
      <c r="D860" s="1112">
        <v>247045</v>
      </c>
    </row>
    <row r="861" spans="2:4">
      <c r="B861" s="412" t="s">
        <v>1118</v>
      </c>
      <c r="C861" s="1112">
        <v>12994</v>
      </c>
      <c r="D861" s="1112">
        <v>247045</v>
      </c>
    </row>
    <row r="862" spans="2:4">
      <c r="B862" s="412" t="s">
        <v>1119</v>
      </c>
      <c r="C862" s="1112">
        <v>10912.617021276596</v>
      </c>
      <c r="D862" s="1112">
        <v>204753.2340425532</v>
      </c>
    </row>
    <row r="863" spans="2:4">
      <c r="B863" s="412" t="s">
        <v>1120</v>
      </c>
      <c r="C863" s="1112">
        <v>12994</v>
      </c>
      <c r="D863" s="1112">
        <v>247045</v>
      </c>
    </row>
    <row r="864" spans="2:4">
      <c r="B864" s="412" t="s">
        <v>1121</v>
      </c>
      <c r="C864" s="1112">
        <v>12994</v>
      </c>
      <c r="D864" s="1112">
        <v>247045</v>
      </c>
    </row>
    <row r="865" spans="2:4">
      <c r="B865" s="412" t="s">
        <v>1122</v>
      </c>
      <c r="C865" s="1112">
        <v>16010</v>
      </c>
      <c r="D865" s="1112">
        <v>305377</v>
      </c>
    </row>
    <row r="866" spans="2:4">
      <c r="B866" s="412" t="s">
        <v>1123</v>
      </c>
      <c r="C866" s="1112">
        <v>12994</v>
      </c>
      <c r="D866" s="1112">
        <v>247045</v>
      </c>
    </row>
    <row r="867" spans="2:4">
      <c r="B867" s="412" t="s">
        <v>1124</v>
      </c>
      <c r="C867" s="1112">
        <v>12994</v>
      </c>
      <c r="D867" s="1112">
        <v>247045</v>
      </c>
    </row>
    <row r="868" spans="2:4">
      <c r="B868" s="412" t="s">
        <v>1125</v>
      </c>
      <c r="C868" s="1112">
        <v>13070.033613445377</v>
      </c>
      <c r="D868" s="1112">
        <v>248515.55462184874</v>
      </c>
    </row>
    <row r="869" spans="2:4">
      <c r="B869" s="412" t="s">
        <v>1126</v>
      </c>
      <c r="C869" s="1112">
        <v>12994</v>
      </c>
      <c r="D869" s="1112">
        <v>247045</v>
      </c>
    </row>
    <row r="870" spans="2:4">
      <c r="B870" s="412" t="s">
        <v>1127</v>
      </c>
      <c r="C870" s="1112">
        <v>12994</v>
      </c>
      <c r="D870" s="1112">
        <v>247045</v>
      </c>
    </row>
    <row r="871" spans="2:4">
      <c r="B871" s="412" t="s">
        <v>1128</v>
      </c>
      <c r="C871" s="1112">
        <v>12994</v>
      </c>
      <c r="D871" s="1112">
        <v>247045</v>
      </c>
    </row>
    <row r="872" spans="2:4">
      <c r="B872" s="412" t="s">
        <v>1129</v>
      </c>
      <c r="C872" s="1112">
        <v>13725.009259259259</v>
      </c>
      <c r="D872" s="1112">
        <v>261097</v>
      </c>
    </row>
    <row r="873" spans="2:4">
      <c r="B873" s="412" t="s">
        <v>1130</v>
      </c>
      <c r="C873" s="1112">
        <v>13002.240437158471</v>
      </c>
      <c r="D873" s="1112">
        <v>247204.37704918033</v>
      </c>
    </row>
    <row r="874" spans="2:4">
      <c r="B874" s="412" t="s">
        <v>1131</v>
      </c>
      <c r="C874" s="1112">
        <v>12994</v>
      </c>
      <c r="D874" s="1112">
        <v>247045</v>
      </c>
    </row>
    <row r="875" spans="2:4">
      <c r="B875" s="412" t="s">
        <v>1132</v>
      </c>
      <c r="C875" s="1112">
        <v>12994</v>
      </c>
      <c r="D875" s="1112">
        <v>247045</v>
      </c>
    </row>
    <row r="876" spans="2:4">
      <c r="B876" s="412" t="s">
        <v>1133</v>
      </c>
      <c r="C876" s="1112">
        <v>16010</v>
      </c>
      <c r="D876" s="1112">
        <v>305377</v>
      </c>
    </row>
    <row r="877" spans="2:4">
      <c r="B877" s="412" t="s">
        <v>1134</v>
      </c>
      <c r="C877" s="1112">
        <v>12994</v>
      </c>
      <c r="D877" s="1112">
        <v>247045</v>
      </c>
    </row>
    <row r="878" spans="2:4">
      <c r="B878" s="412" t="s">
        <v>1135</v>
      </c>
      <c r="C878" s="1112">
        <v>13005.232774674116</v>
      </c>
      <c r="D878" s="1112">
        <v>247262.25139664803</v>
      </c>
    </row>
    <row r="879" spans="2:4">
      <c r="B879" s="412" t="s">
        <v>1136</v>
      </c>
      <c r="C879" s="1112">
        <v>13017.022900763359</v>
      </c>
      <c r="D879" s="1112">
        <v>247490.28244274808</v>
      </c>
    </row>
    <row r="880" spans="2:4">
      <c r="B880" s="412" t="s">
        <v>1137</v>
      </c>
      <c r="C880" s="1112">
        <v>12994</v>
      </c>
      <c r="D880" s="1112">
        <v>247045</v>
      </c>
    </row>
    <row r="881" spans="2:4">
      <c r="B881" s="412" t="s">
        <v>1138</v>
      </c>
      <c r="C881" s="1112">
        <v>13391.544117647059</v>
      </c>
      <c r="D881" s="1112">
        <v>254698.4411764706</v>
      </c>
    </row>
    <row r="882" spans="2:4">
      <c r="B882" s="412" t="s">
        <v>1139</v>
      </c>
      <c r="C882" s="1112">
        <v>16010</v>
      </c>
      <c r="D882" s="1112">
        <v>305377</v>
      </c>
    </row>
    <row r="883" spans="2:4">
      <c r="B883" s="412" t="s">
        <v>1140</v>
      </c>
      <c r="C883" s="1112">
        <v>16010</v>
      </c>
      <c r="D883" s="1112">
        <v>305377</v>
      </c>
    </row>
    <row r="884" spans="2:4">
      <c r="B884" s="412" t="s">
        <v>1141</v>
      </c>
      <c r="C884" s="1112">
        <v>16010</v>
      </c>
      <c r="D884" s="1112">
        <v>305377</v>
      </c>
    </row>
    <row r="885" spans="2:4">
      <c r="B885" s="412" t="s">
        <v>1142</v>
      </c>
      <c r="C885" s="1112">
        <v>16010</v>
      </c>
      <c r="D885" s="1112">
        <v>305377</v>
      </c>
    </row>
    <row r="886" spans="2:4">
      <c r="B886" s="412" t="s">
        <v>1143</v>
      </c>
      <c r="C886" s="1112">
        <v>16010</v>
      </c>
      <c r="D886" s="1112">
        <v>305377</v>
      </c>
    </row>
    <row r="887" spans="2:4">
      <c r="B887" s="412" t="s">
        <v>1144</v>
      </c>
      <c r="C887" s="1112">
        <v>16010</v>
      </c>
      <c r="D887" s="1112">
        <v>305377</v>
      </c>
    </row>
    <row r="888" spans="2:4">
      <c r="B888" s="412" t="s">
        <v>1145</v>
      </c>
      <c r="C888" s="1112">
        <v>16010</v>
      </c>
      <c r="D888" s="1112">
        <v>305377</v>
      </c>
    </row>
    <row r="889" spans="2:4">
      <c r="B889" s="412" t="s">
        <v>1146</v>
      </c>
      <c r="C889" s="1112">
        <v>16010</v>
      </c>
      <c r="D889" s="1112">
        <v>305377</v>
      </c>
    </row>
    <row r="890" spans="2:4">
      <c r="B890" s="412" t="s">
        <v>1147</v>
      </c>
      <c r="C890" s="1112">
        <v>31326</v>
      </c>
      <c r="D890" s="1112">
        <v>602201</v>
      </c>
    </row>
    <row r="891" spans="2:4">
      <c r="B891" s="412" t="s">
        <v>1148</v>
      </c>
      <c r="C891" s="1112">
        <v>11049.25059665871</v>
      </c>
      <c r="D891" s="1112">
        <v>207529.50119331741</v>
      </c>
    </row>
    <row r="892" spans="2:4">
      <c r="B892" s="412" t="s">
        <v>1149</v>
      </c>
      <c r="C892" s="1112">
        <v>10903.08396946565</v>
      </c>
      <c r="D892" s="1112">
        <v>204559.53129770991</v>
      </c>
    </row>
    <row r="893" spans="2:4">
      <c r="B893" s="412" t="s">
        <v>1150</v>
      </c>
      <c r="C893" s="1112">
        <v>31281.719806763285</v>
      </c>
      <c r="D893" s="1112">
        <v>601343.13526570052</v>
      </c>
    </row>
    <row r="894" spans="2:4">
      <c r="B894" s="412" t="s">
        <v>1151</v>
      </c>
      <c r="C894" s="1112">
        <v>31326</v>
      </c>
      <c r="D894" s="1112">
        <v>602201</v>
      </c>
    </row>
    <row r="895" spans="2:4">
      <c r="B895" s="412" t="s">
        <v>1152</v>
      </c>
      <c r="C895" s="1112">
        <v>31225.82513661202</v>
      </c>
      <c r="D895" s="1112">
        <v>600260.25683060114</v>
      </c>
    </row>
    <row r="896" spans="2:4">
      <c r="B896" s="412" t="s">
        <v>1153</v>
      </c>
      <c r="C896" s="1112">
        <v>30862.550561797754</v>
      </c>
      <c r="D896" s="1112">
        <v>593222.33707865165</v>
      </c>
    </row>
    <row r="897" spans="2:4">
      <c r="B897" s="412" t="s">
        <v>1154</v>
      </c>
      <c r="C897" s="1112">
        <v>13030.52821670429</v>
      </c>
      <c r="D897" s="1112">
        <v>247748.09255079005</v>
      </c>
    </row>
    <row r="898" spans="2:4">
      <c r="B898" s="412" t="s">
        <v>1155</v>
      </c>
      <c r="C898" s="1112">
        <v>10928.811594202898</v>
      </c>
      <c r="D898" s="1112">
        <v>205010.51966873705</v>
      </c>
    </row>
    <row r="899" spans="2:4">
      <c r="B899" s="412" t="s">
        <v>1156</v>
      </c>
      <c r="C899" s="1112">
        <v>12994</v>
      </c>
      <c r="D899" s="1112">
        <v>247045</v>
      </c>
    </row>
    <row r="900" spans="2:4">
      <c r="B900" s="412" t="s">
        <v>1157</v>
      </c>
      <c r="C900" s="1112">
        <v>11509.167206040993</v>
      </c>
      <c r="D900" s="1112">
        <v>216313.63430420711</v>
      </c>
    </row>
    <row r="901" spans="2:4">
      <c r="B901" s="412" t="s">
        <v>1158</v>
      </c>
      <c r="C901" s="1112">
        <v>12963.780415430267</v>
      </c>
      <c r="D901" s="1112">
        <v>246405.24925816024</v>
      </c>
    </row>
    <row r="902" spans="2:4">
      <c r="B902" s="412" t="s">
        <v>1159</v>
      </c>
      <c r="C902" s="1112">
        <v>12994</v>
      </c>
      <c r="D902" s="1112">
        <v>247045</v>
      </c>
    </row>
    <row r="903" spans="2:4">
      <c r="B903" s="412" t="s">
        <v>1160</v>
      </c>
      <c r="C903" s="1112">
        <v>12994</v>
      </c>
      <c r="D903" s="1112">
        <v>247045</v>
      </c>
    </row>
    <row r="904" spans="2:4">
      <c r="B904" s="412" t="s">
        <v>1161</v>
      </c>
      <c r="C904" s="1112">
        <v>12994</v>
      </c>
      <c r="D904" s="1112">
        <v>247045</v>
      </c>
    </row>
    <row r="905" spans="2:4">
      <c r="B905" s="412" t="s">
        <v>1162</v>
      </c>
      <c r="C905" s="1112">
        <v>12994</v>
      </c>
      <c r="D905" s="1112">
        <v>247045</v>
      </c>
    </row>
    <row r="906" spans="2:4">
      <c r="B906" s="412" t="s">
        <v>1163</v>
      </c>
      <c r="C906" s="1112">
        <v>13014.073211314475</v>
      </c>
      <c r="D906" s="1112">
        <v>247433.23294509153</v>
      </c>
    </row>
    <row r="907" spans="2:4">
      <c r="B907" s="412" t="s">
        <v>1164</v>
      </c>
      <c r="C907" s="1112">
        <v>12991.755741127348</v>
      </c>
      <c r="D907" s="1112">
        <v>246999.3987473904</v>
      </c>
    </row>
    <row r="908" spans="2:4">
      <c r="B908" s="412" t="s">
        <v>1165</v>
      </c>
      <c r="C908" s="1112">
        <v>11015.502890173411</v>
      </c>
      <c r="D908" s="1112">
        <v>206843.77919075143</v>
      </c>
    </row>
    <row r="909" spans="2:4">
      <c r="B909" s="412" t="s">
        <v>1166</v>
      </c>
      <c r="C909" s="1112">
        <v>10848.860587792013</v>
      </c>
      <c r="D909" s="1112">
        <v>203457.76262245668</v>
      </c>
    </row>
    <row r="910" spans="2:4">
      <c r="B910" s="412" t="s">
        <v>1167</v>
      </c>
      <c r="C910" s="1112">
        <v>10844</v>
      </c>
      <c r="D910" s="1112">
        <v>203359</v>
      </c>
    </row>
    <row r="911" spans="2:4">
      <c r="B911" s="412" t="s">
        <v>1168</v>
      </c>
      <c r="C911" s="1112">
        <v>10844</v>
      </c>
      <c r="D911" s="1112">
        <v>203359</v>
      </c>
    </row>
    <row r="912" spans="2:4">
      <c r="B912" s="412" t="s">
        <v>1169</v>
      </c>
      <c r="C912" s="1112">
        <v>10844</v>
      </c>
      <c r="D912" s="1112">
        <v>203359</v>
      </c>
    </row>
    <row r="913" spans="2:4">
      <c r="B913" s="412" t="s">
        <v>1170</v>
      </c>
      <c r="C913" s="1112">
        <v>12994</v>
      </c>
      <c r="D913" s="1112">
        <v>247045</v>
      </c>
    </row>
    <row r="914" spans="2:4">
      <c r="B914" s="412" t="s">
        <v>1171</v>
      </c>
      <c r="C914" s="1112">
        <v>10844</v>
      </c>
      <c r="D914" s="1112">
        <v>203359</v>
      </c>
    </row>
    <row r="915" spans="2:4">
      <c r="B915" s="412" t="s">
        <v>1172</v>
      </c>
      <c r="C915" s="1112">
        <v>10844</v>
      </c>
      <c r="D915" s="1112">
        <v>203359</v>
      </c>
    </row>
    <row r="916" spans="2:4">
      <c r="B916" s="412" t="s">
        <v>1173</v>
      </c>
      <c r="C916" s="1112">
        <v>11484.413223140496</v>
      </c>
      <c r="D916" s="1112">
        <v>216005.85950413224</v>
      </c>
    </row>
    <row r="917" spans="2:4">
      <c r="B917" s="412" t="s">
        <v>1174</v>
      </c>
      <c r="C917" s="1112">
        <v>15994.579104477612</v>
      </c>
      <c r="D917" s="1112">
        <v>305072.4686567164</v>
      </c>
    </row>
    <row r="918" spans="2:4">
      <c r="B918" s="412" t="s">
        <v>1175</v>
      </c>
      <c r="C918" s="1112">
        <v>12994</v>
      </c>
      <c r="D918" s="1112">
        <v>247045</v>
      </c>
    </row>
    <row r="919" spans="2:4">
      <c r="B919" s="412" t="s">
        <v>1176</v>
      </c>
      <c r="C919" s="1112">
        <v>12994</v>
      </c>
      <c r="D919" s="1112">
        <v>247045</v>
      </c>
    </row>
    <row r="920" spans="2:4">
      <c r="B920" s="412" t="s">
        <v>1177</v>
      </c>
      <c r="C920" s="1112">
        <v>10844</v>
      </c>
      <c r="D920" s="1112">
        <v>203359</v>
      </c>
    </row>
    <row r="921" spans="2:4">
      <c r="B921" s="412" t="s">
        <v>1178</v>
      </c>
      <c r="C921" s="1112">
        <v>10844</v>
      </c>
      <c r="D921" s="1112">
        <v>203359</v>
      </c>
    </row>
    <row r="922" spans="2:4">
      <c r="B922" s="412" t="s">
        <v>1179</v>
      </c>
      <c r="C922" s="1112">
        <v>10844</v>
      </c>
      <c r="D922" s="1112">
        <v>203359</v>
      </c>
    </row>
    <row r="923" spans="2:4">
      <c r="B923" s="412" t="s">
        <v>1180</v>
      </c>
      <c r="C923" s="1112">
        <v>10844</v>
      </c>
      <c r="D923" s="1112">
        <v>203359</v>
      </c>
    </row>
    <row r="924" spans="2:4">
      <c r="B924" s="412" t="s">
        <v>1181</v>
      </c>
      <c r="C924" s="1112">
        <v>10896.868852459016</v>
      </c>
      <c r="D924" s="1112">
        <v>204433.24590163934</v>
      </c>
    </row>
    <row r="925" spans="2:4">
      <c r="B925" s="412" t="s">
        <v>1182</v>
      </c>
      <c r="C925" s="1112">
        <v>10849.443037974683</v>
      </c>
      <c r="D925" s="1112">
        <v>203469.59746835442</v>
      </c>
    </row>
    <row r="926" spans="2:4">
      <c r="B926" s="412" t="s">
        <v>1183</v>
      </c>
      <c r="C926" s="1112">
        <v>10844</v>
      </c>
      <c r="D926" s="1112">
        <v>203359</v>
      </c>
    </row>
    <row r="927" spans="2:4">
      <c r="B927" s="412" t="s">
        <v>1184</v>
      </c>
      <c r="C927" s="1112">
        <v>10844</v>
      </c>
      <c r="D927" s="1112">
        <v>203359</v>
      </c>
    </row>
    <row r="928" spans="2:4">
      <c r="B928" s="412" t="s">
        <v>1185</v>
      </c>
      <c r="C928" s="1112">
        <v>10844</v>
      </c>
      <c r="D928" s="1112">
        <v>203359</v>
      </c>
    </row>
    <row r="929" spans="2:4">
      <c r="B929" s="412" t="s">
        <v>1186</v>
      </c>
      <c r="C929" s="1112">
        <v>12994</v>
      </c>
      <c r="D929" s="1112">
        <v>247045</v>
      </c>
    </row>
    <row r="930" spans="2:4">
      <c r="B930" s="412" t="s">
        <v>1187</v>
      </c>
      <c r="C930" s="1112">
        <v>12519.503663003663</v>
      </c>
      <c r="D930" s="1112">
        <v>237403.67582417582</v>
      </c>
    </row>
    <row r="931" spans="2:4">
      <c r="B931" s="412" t="s">
        <v>1188</v>
      </c>
      <c r="C931" s="1112">
        <v>12680.519944979367</v>
      </c>
      <c r="D931" s="1112">
        <v>240675.37689133425</v>
      </c>
    </row>
    <row r="932" spans="2:4">
      <c r="B932" s="412" t="s">
        <v>1189</v>
      </c>
      <c r="C932" s="1112">
        <v>12994</v>
      </c>
      <c r="D932" s="1112">
        <v>247045</v>
      </c>
    </row>
    <row r="933" spans="2:4">
      <c r="B933" s="412" t="s">
        <v>1190</v>
      </c>
      <c r="C933" s="1112">
        <v>12994</v>
      </c>
      <c r="D933" s="1112">
        <v>247045</v>
      </c>
    </row>
    <row r="934" spans="2:4" ht="17" thickBot="1">
      <c r="B934" s="413" t="s">
        <v>1191</v>
      </c>
      <c r="C934" s="1113">
        <v>12994</v>
      </c>
      <c r="D934" s="1113">
        <v>247045</v>
      </c>
    </row>
    <row r="935" spans="2:4">
      <c r="B935" s="415" t="s">
        <v>1192</v>
      </c>
      <c r="C935" s="1111">
        <v>13017.276736493935</v>
      </c>
      <c r="D935" s="1111">
        <v>247495.19184123483</v>
      </c>
    </row>
    <row r="936" spans="2:4">
      <c r="B936" s="412" t="s">
        <v>1193</v>
      </c>
      <c r="C936" s="1112">
        <v>11464.857142857143</v>
      </c>
      <c r="D936" s="1112">
        <v>215619.66666666666</v>
      </c>
    </row>
    <row r="937" spans="2:4">
      <c r="B937" s="412" t="s">
        <v>1194</v>
      </c>
      <c r="C937" s="1112">
        <v>10844</v>
      </c>
      <c r="D937" s="1112">
        <v>203359</v>
      </c>
    </row>
    <row r="938" spans="2:4">
      <c r="B938" s="412" t="s">
        <v>1195</v>
      </c>
      <c r="C938" s="1112">
        <v>10844</v>
      </c>
      <c r="D938" s="1112">
        <v>203359</v>
      </c>
    </row>
    <row r="939" spans="2:4">
      <c r="B939" s="412" t="s">
        <v>1196</v>
      </c>
      <c r="C939" s="1112">
        <v>10844</v>
      </c>
      <c r="D939" s="1112">
        <v>203359</v>
      </c>
    </row>
    <row r="940" spans="2:4">
      <c r="B940" s="412" t="s">
        <v>1197</v>
      </c>
      <c r="C940" s="1112">
        <v>11235.413173652694</v>
      </c>
      <c r="D940" s="1112">
        <v>211294.48502994012</v>
      </c>
    </row>
    <row r="941" spans="2:4">
      <c r="B941" s="412" t="s">
        <v>1198</v>
      </c>
      <c r="C941" s="1112">
        <v>11212.232044198896</v>
      </c>
      <c r="D941" s="1112">
        <v>210841.13259668509</v>
      </c>
    </row>
    <row r="942" spans="2:4">
      <c r="B942" s="412" t="s">
        <v>1199</v>
      </c>
      <c r="C942" s="1112">
        <v>10844</v>
      </c>
      <c r="D942" s="1112">
        <v>203359</v>
      </c>
    </row>
    <row r="943" spans="2:4">
      <c r="B943" s="412" t="s">
        <v>1200</v>
      </c>
      <c r="C943" s="1112">
        <v>10844</v>
      </c>
      <c r="D943" s="1112">
        <v>203359</v>
      </c>
    </row>
    <row r="944" spans="2:4">
      <c r="B944" s="412" t="s">
        <v>1201</v>
      </c>
      <c r="C944" s="1112">
        <v>10844</v>
      </c>
      <c r="D944" s="1112">
        <v>203359</v>
      </c>
    </row>
    <row r="945" spans="2:4">
      <c r="B945" s="412" t="s">
        <v>1202</v>
      </c>
      <c r="C945" s="1112">
        <v>10844</v>
      </c>
      <c r="D945" s="1112">
        <v>203359</v>
      </c>
    </row>
    <row r="946" spans="2:4">
      <c r="B946" s="412" t="s">
        <v>1203</v>
      </c>
      <c r="C946" s="1112">
        <v>12979.749792874896</v>
      </c>
      <c r="D946" s="1112">
        <v>246755.44904722454</v>
      </c>
    </row>
    <row r="947" spans="2:4">
      <c r="B947" s="412" t="s">
        <v>1204</v>
      </c>
      <c r="C947" s="1112">
        <v>10844</v>
      </c>
      <c r="D947" s="1112">
        <v>203359</v>
      </c>
    </row>
    <row r="948" spans="2:4">
      <c r="B948" s="412" t="s">
        <v>1205</v>
      </c>
      <c r="C948" s="1112">
        <v>10923.62962962963</v>
      </c>
      <c r="D948" s="1112">
        <v>204977</v>
      </c>
    </row>
    <row r="949" spans="2:4">
      <c r="B949" s="412" t="s">
        <v>1206</v>
      </c>
      <c r="C949" s="1112">
        <v>12994</v>
      </c>
      <c r="D949" s="1112">
        <v>247045</v>
      </c>
    </row>
    <row r="950" spans="2:4">
      <c r="B950" s="412" t="s">
        <v>1207</v>
      </c>
      <c r="C950" s="1112">
        <v>13020.928571428571</v>
      </c>
      <c r="D950" s="1112">
        <v>247565.82142857142</v>
      </c>
    </row>
    <row r="951" spans="2:4">
      <c r="B951" s="412" t="s">
        <v>1208</v>
      </c>
      <c r="C951" s="1112">
        <v>12989.232815964524</v>
      </c>
      <c r="D951" s="1112">
        <v>246948.13525498891</v>
      </c>
    </row>
    <row r="952" spans="2:4">
      <c r="B952" s="412" t="s">
        <v>1209</v>
      </c>
      <c r="C952" s="1112">
        <v>12965.099415204679</v>
      </c>
      <c r="D952" s="1112">
        <v>246449.14035087719</v>
      </c>
    </row>
    <row r="953" spans="2:4">
      <c r="B953" s="412" t="s">
        <v>1210</v>
      </c>
      <c r="C953" s="1112">
        <v>10859.579710144928</v>
      </c>
      <c r="D953" s="1112">
        <v>203675.5652173913</v>
      </c>
    </row>
    <row r="954" spans="2:4">
      <c r="B954" s="412" t="s">
        <v>1211</v>
      </c>
      <c r="C954" s="1112">
        <v>10844</v>
      </c>
      <c r="D954" s="1112">
        <v>203359</v>
      </c>
    </row>
    <row r="955" spans="2:4">
      <c r="B955" s="412" t="s">
        <v>1212</v>
      </c>
      <c r="C955" s="1112">
        <v>10844</v>
      </c>
      <c r="D955" s="1112">
        <v>203359</v>
      </c>
    </row>
    <row r="956" spans="2:4">
      <c r="B956" s="412" t="s">
        <v>1213</v>
      </c>
      <c r="C956" s="1112">
        <v>12994</v>
      </c>
      <c r="D956" s="1112">
        <v>247045</v>
      </c>
    </row>
    <row r="957" spans="2:4">
      <c r="B957" s="412" t="s">
        <v>1214</v>
      </c>
      <c r="C957" s="1112">
        <v>12994</v>
      </c>
      <c r="D957" s="1112">
        <v>247045</v>
      </c>
    </row>
    <row r="958" spans="2:4">
      <c r="B958" s="412" t="s">
        <v>1215</v>
      </c>
      <c r="C958" s="1112">
        <v>12994</v>
      </c>
      <c r="D958" s="1112">
        <v>247045</v>
      </c>
    </row>
    <row r="959" spans="2:4">
      <c r="B959" s="412" t="s">
        <v>1216</v>
      </c>
      <c r="C959" s="1112">
        <v>12994</v>
      </c>
      <c r="D959" s="1112">
        <v>247045</v>
      </c>
    </row>
    <row r="960" spans="2:4">
      <c r="B960" s="412" t="s">
        <v>1217</v>
      </c>
      <c r="C960" s="1112">
        <v>12994</v>
      </c>
      <c r="D960" s="1112">
        <v>247045</v>
      </c>
    </row>
    <row r="961" spans="2:4">
      <c r="B961" s="412" t="s">
        <v>1218</v>
      </c>
      <c r="C961" s="1112">
        <v>12994</v>
      </c>
      <c r="D961" s="1112">
        <v>247045</v>
      </c>
    </row>
    <row r="962" spans="2:4">
      <c r="B962" s="412" t="s">
        <v>1219</v>
      </c>
      <c r="C962" s="1112">
        <v>12994</v>
      </c>
      <c r="D962" s="1112">
        <v>247045</v>
      </c>
    </row>
    <row r="963" spans="2:4" ht="17" thickBot="1">
      <c r="B963" s="413" t="s">
        <v>1220</v>
      </c>
      <c r="C963" s="1113">
        <v>12994</v>
      </c>
      <c r="D963" s="1113">
        <v>247045</v>
      </c>
    </row>
    <row r="964" spans="2:4">
      <c r="B964" s="415" t="s">
        <v>1221</v>
      </c>
      <c r="C964" s="1111">
        <v>22005</v>
      </c>
      <c r="D964" s="1111">
        <v>420523</v>
      </c>
    </row>
    <row r="965" spans="2:4">
      <c r="B965" s="412" t="s">
        <v>1222</v>
      </c>
      <c r="C965" s="1112">
        <v>22005</v>
      </c>
      <c r="D965" s="1112">
        <v>420523</v>
      </c>
    </row>
    <row r="966" spans="2:4">
      <c r="B966" s="412" t="s">
        <v>1223</v>
      </c>
      <c r="C966" s="1112">
        <v>22005</v>
      </c>
      <c r="D966" s="1112">
        <v>420523</v>
      </c>
    </row>
    <row r="967" spans="2:4">
      <c r="B967" s="412" t="s">
        <v>1224</v>
      </c>
      <c r="C967" s="1112">
        <v>21978.953325554259</v>
      </c>
      <c r="D967" s="1112">
        <v>420016.19953325554</v>
      </c>
    </row>
    <row r="968" spans="2:4">
      <c r="B968" s="412" t="s">
        <v>1225</v>
      </c>
      <c r="C968" s="1112">
        <v>21978.426190476192</v>
      </c>
      <c r="D968" s="1112">
        <v>420005.94285714283</v>
      </c>
    </row>
    <row r="969" spans="2:4">
      <c r="B969" s="412" t="s">
        <v>1226</v>
      </c>
      <c r="C969" s="1112">
        <v>22005</v>
      </c>
      <c r="D969" s="1112">
        <v>420523</v>
      </c>
    </row>
    <row r="970" spans="2:4">
      <c r="B970" s="412" t="s">
        <v>1227</v>
      </c>
      <c r="C970" s="1112">
        <v>22005</v>
      </c>
      <c r="D970" s="1112">
        <v>420523</v>
      </c>
    </row>
    <row r="971" spans="2:4">
      <c r="B971" s="412" t="s">
        <v>1228</v>
      </c>
      <c r="C971" s="1112">
        <v>22005</v>
      </c>
      <c r="D971" s="1112">
        <v>420523</v>
      </c>
    </row>
    <row r="972" spans="2:4">
      <c r="B972" s="412" t="s">
        <v>1229</v>
      </c>
      <c r="C972" s="1112">
        <v>22005</v>
      </c>
      <c r="D972" s="1112">
        <v>420523</v>
      </c>
    </row>
    <row r="973" spans="2:4">
      <c r="B973" s="412" t="s">
        <v>1230</v>
      </c>
      <c r="C973" s="1112">
        <v>22005</v>
      </c>
      <c r="D973" s="1112">
        <v>420523</v>
      </c>
    </row>
    <row r="974" spans="2:4">
      <c r="B974" s="412" t="s">
        <v>1231</v>
      </c>
      <c r="C974" s="1112">
        <v>22005</v>
      </c>
      <c r="D974" s="1112">
        <v>420523</v>
      </c>
    </row>
    <row r="975" spans="2:4">
      <c r="B975" s="412" t="s">
        <v>1232</v>
      </c>
      <c r="C975" s="1112">
        <v>22005</v>
      </c>
      <c r="D975" s="1112">
        <v>420523</v>
      </c>
    </row>
    <row r="976" spans="2:4">
      <c r="B976" s="412" t="s">
        <v>1233</v>
      </c>
      <c r="C976" s="1112">
        <v>22005</v>
      </c>
      <c r="D976" s="1112">
        <v>420523</v>
      </c>
    </row>
    <row r="977" spans="2:4">
      <c r="B977" s="412" t="s">
        <v>1234</v>
      </c>
      <c r="C977" s="1112">
        <v>22005</v>
      </c>
      <c r="D977" s="1112">
        <v>420523</v>
      </c>
    </row>
    <row r="978" spans="2:4">
      <c r="B978" s="412" t="s">
        <v>1235</v>
      </c>
      <c r="C978" s="1112">
        <v>20967.47708138447</v>
      </c>
      <c r="D978" s="1112">
        <v>400594.53601496725</v>
      </c>
    </row>
    <row r="979" spans="2:4">
      <c r="B979" s="412" t="s">
        <v>1236</v>
      </c>
      <c r="C979" s="1112">
        <v>22005</v>
      </c>
      <c r="D979" s="1112">
        <v>420523</v>
      </c>
    </row>
    <row r="980" spans="2:4">
      <c r="B980" s="412" t="s">
        <v>1237</v>
      </c>
      <c r="C980" s="1112">
        <v>22005</v>
      </c>
      <c r="D980" s="1112">
        <v>420523</v>
      </c>
    </row>
    <row r="981" spans="2:4">
      <c r="B981" s="412" t="s">
        <v>1238</v>
      </c>
      <c r="C981" s="1112">
        <v>22005</v>
      </c>
      <c r="D981" s="1112">
        <v>420523</v>
      </c>
    </row>
    <row r="982" spans="2:4">
      <c r="B982" s="412" t="s">
        <v>1239</v>
      </c>
      <c r="C982" s="1112">
        <v>22005</v>
      </c>
      <c r="D982" s="1112">
        <v>420523</v>
      </c>
    </row>
    <row r="983" spans="2:4">
      <c r="B983" s="412" t="s">
        <v>1240</v>
      </c>
      <c r="C983" s="1112">
        <v>22005</v>
      </c>
      <c r="D983" s="1112">
        <v>420523</v>
      </c>
    </row>
    <row r="984" spans="2:4">
      <c r="B984" s="412" t="s">
        <v>1241</v>
      </c>
      <c r="C984" s="1112">
        <v>22005</v>
      </c>
      <c r="D984" s="1112">
        <v>420523</v>
      </c>
    </row>
    <row r="985" spans="2:4">
      <c r="B985" s="412" t="s">
        <v>1242</v>
      </c>
      <c r="C985" s="1112">
        <v>20086.988543371521</v>
      </c>
      <c r="D985" s="1112">
        <v>383203.49099836336</v>
      </c>
    </row>
    <row r="986" spans="2:4">
      <c r="B986" s="412" t="s">
        <v>1243</v>
      </c>
      <c r="C986" s="1112">
        <v>22005</v>
      </c>
      <c r="D986" s="1112">
        <v>420523</v>
      </c>
    </row>
    <row r="987" spans="2:4">
      <c r="B987" s="412" t="s">
        <v>1244</v>
      </c>
      <c r="C987" s="1112">
        <v>14127.622585438336</v>
      </c>
      <c r="D987" s="1112">
        <v>267249.74591381871</v>
      </c>
    </row>
    <row r="988" spans="2:4">
      <c r="B988" s="412" t="s">
        <v>1245</v>
      </c>
      <c r="C988" s="1112">
        <v>22005</v>
      </c>
      <c r="D988" s="1112">
        <v>420523</v>
      </c>
    </row>
    <row r="989" spans="2:4">
      <c r="B989" s="412" t="s">
        <v>1246</v>
      </c>
      <c r="C989" s="1112">
        <v>21910.573353293414</v>
      </c>
      <c r="D989" s="1112">
        <v>418705.11676646705</v>
      </c>
    </row>
    <row r="990" spans="2:4">
      <c r="B990" s="412" t="s">
        <v>1247</v>
      </c>
      <c r="C990" s="1112">
        <v>21152.448094612351</v>
      </c>
      <c r="D990" s="1112">
        <v>404109.83837056503</v>
      </c>
    </row>
    <row r="991" spans="2:4">
      <c r="B991" s="412" t="s">
        <v>1248</v>
      </c>
      <c r="C991" s="1112">
        <v>21943.843835616437</v>
      </c>
      <c r="D991" s="1112">
        <v>419333.06027397263</v>
      </c>
    </row>
    <row r="992" spans="2:4">
      <c r="B992" s="412" t="s">
        <v>1249</v>
      </c>
      <c r="C992" s="1112">
        <v>22005</v>
      </c>
      <c r="D992" s="1112">
        <v>420523</v>
      </c>
    </row>
    <row r="993" spans="2:4">
      <c r="B993" s="412" t="s">
        <v>1250</v>
      </c>
      <c r="C993" s="1112">
        <v>10844</v>
      </c>
      <c r="D993" s="1112">
        <v>203359</v>
      </c>
    </row>
    <row r="994" spans="2:4">
      <c r="B994" s="412" t="s">
        <v>1251</v>
      </c>
      <c r="C994" s="1112">
        <v>13118.680503144655</v>
      </c>
      <c r="D994" s="1112">
        <v>249445.32452830189</v>
      </c>
    </row>
    <row r="995" spans="2:4">
      <c r="B995" s="412" t="s">
        <v>1252</v>
      </c>
      <c r="C995" s="1112">
        <v>12990.135555555555</v>
      </c>
      <c r="D995" s="1112">
        <v>246945.10666666666</v>
      </c>
    </row>
    <row r="996" spans="2:4">
      <c r="B996" s="412" t="s">
        <v>1253</v>
      </c>
      <c r="C996" s="1112">
        <v>10844</v>
      </c>
      <c r="D996" s="1112">
        <v>203359</v>
      </c>
    </row>
    <row r="997" spans="2:4">
      <c r="B997" s="412" t="s">
        <v>1254</v>
      </c>
      <c r="C997" s="1112">
        <v>13132.177398160315</v>
      </c>
      <c r="D997" s="1112">
        <v>249705.86990801577</v>
      </c>
    </row>
    <row r="998" spans="2:4">
      <c r="B998" s="412" t="s">
        <v>1255</v>
      </c>
      <c r="C998" s="1112">
        <v>15633.940149625934</v>
      </c>
      <c r="D998" s="1112">
        <v>298103.68329177058</v>
      </c>
    </row>
    <row r="999" spans="2:4">
      <c r="B999" s="412" t="s">
        <v>1256</v>
      </c>
      <c r="C999" s="1112">
        <v>13071.333333333334</v>
      </c>
      <c r="D999" s="1112">
        <v>248540.69230769231</v>
      </c>
    </row>
    <row r="1000" spans="2:4">
      <c r="B1000" s="412" t="s">
        <v>1257</v>
      </c>
      <c r="C1000" s="1112">
        <v>16005.166666666666</v>
      </c>
      <c r="D1000" s="1112">
        <v>305283.51923076925</v>
      </c>
    </row>
    <row r="1001" spans="2:4">
      <c r="B1001" s="412" t="s">
        <v>1258</v>
      </c>
      <c r="C1001" s="1112">
        <v>15973.442424242425</v>
      </c>
      <c r="D1001" s="1112">
        <v>304669.94545454544</v>
      </c>
    </row>
    <row r="1002" spans="2:4">
      <c r="B1002" s="412" t="s">
        <v>1259</v>
      </c>
      <c r="C1002" s="1112">
        <v>18734.69560669456</v>
      </c>
      <c r="D1002" s="1112">
        <v>357709.82217573223</v>
      </c>
    </row>
    <row r="1003" spans="2:4">
      <c r="B1003" s="412" t="s">
        <v>1260</v>
      </c>
      <c r="C1003" s="1112">
        <v>16010</v>
      </c>
      <c r="D1003" s="1112">
        <v>305377</v>
      </c>
    </row>
    <row r="1004" spans="2:4">
      <c r="B1004" s="412" t="s">
        <v>1261</v>
      </c>
      <c r="C1004" s="1112">
        <v>19386.721672167216</v>
      </c>
      <c r="D1004" s="1112">
        <v>370233.71287128713</v>
      </c>
    </row>
    <row r="1005" spans="2:4">
      <c r="B1005" s="412" t="s">
        <v>1262</v>
      </c>
      <c r="C1005" s="1112">
        <v>22005</v>
      </c>
      <c r="D1005" s="1112">
        <v>420523</v>
      </c>
    </row>
    <row r="1006" spans="2:4">
      <c r="B1006" s="412" t="s">
        <v>1263</v>
      </c>
      <c r="C1006" s="1112">
        <v>22005</v>
      </c>
      <c r="D1006" s="1112">
        <v>420523</v>
      </c>
    </row>
    <row r="1007" spans="2:4">
      <c r="B1007" s="412" t="s">
        <v>1264</v>
      </c>
      <c r="C1007" s="1112">
        <v>22005</v>
      </c>
      <c r="D1007" s="1112">
        <v>420523</v>
      </c>
    </row>
    <row r="1008" spans="2:4">
      <c r="B1008" s="412" t="s">
        <v>1265</v>
      </c>
      <c r="C1008" s="1112">
        <v>22005</v>
      </c>
      <c r="D1008" s="1112">
        <v>420523</v>
      </c>
    </row>
    <row r="1009" spans="2:4">
      <c r="B1009" s="412" t="s">
        <v>1266</v>
      </c>
      <c r="C1009" s="1112">
        <v>12074.206070287541</v>
      </c>
      <c r="D1009" s="1112">
        <v>227295.60702875399</v>
      </c>
    </row>
    <row r="1010" spans="2:4">
      <c r="B1010" s="412" t="s">
        <v>1267</v>
      </c>
      <c r="C1010" s="1112">
        <v>10847.18047337278</v>
      </c>
      <c r="D1010" s="1112">
        <v>203423.62426035502</v>
      </c>
    </row>
    <row r="1011" spans="2:4">
      <c r="B1011" s="412" t="s">
        <v>1268</v>
      </c>
      <c r="C1011" s="1112">
        <v>10934.547584187409</v>
      </c>
      <c r="D1011" s="1112">
        <v>205142.51976573939</v>
      </c>
    </row>
    <row r="1012" spans="2:4">
      <c r="B1012" s="412" t="s">
        <v>1269</v>
      </c>
      <c r="C1012" s="1112">
        <v>22005</v>
      </c>
      <c r="D1012" s="1112">
        <v>420523</v>
      </c>
    </row>
    <row r="1013" spans="2:4">
      <c r="B1013" s="412" t="s">
        <v>1270</v>
      </c>
      <c r="C1013" s="1112">
        <v>10848.419321685509</v>
      </c>
      <c r="D1013" s="1112">
        <v>203448.79650565263</v>
      </c>
    </row>
    <row r="1014" spans="2:4">
      <c r="B1014" s="412" t="s">
        <v>1271</v>
      </c>
      <c r="C1014" s="1112">
        <v>10844</v>
      </c>
      <c r="D1014" s="1112">
        <v>203359</v>
      </c>
    </row>
    <row r="1015" spans="2:4">
      <c r="B1015" s="412" t="s">
        <v>1272</v>
      </c>
      <c r="C1015" s="1112">
        <v>10844</v>
      </c>
      <c r="D1015" s="1112">
        <v>203359</v>
      </c>
    </row>
    <row r="1016" spans="2:4">
      <c r="B1016" s="412" t="s">
        <v>1273</v>
      </c>
      <c r="C1016" s="1112">
        <v>10844</v>
      </c>
      <c r="D1016" s="1112">
        <v>203359</v>
      </c>
    </row>
    <row r="1017" spans="2:4">
      <c r="B1017" s="412" t="s">
        <v>1274</v>
      </c>
      <c r="C1017" s="1112">
        <v>22005</v>
      </c>
      <c r="D1017" s="1112">
        <v>420523</v>
      </c>
    </row>
    <row r="1018" spans="2:4">
      <c r="B1018" s="412" t="s">
        <v>1275</v>
      </c>
      <c r="C1018" s="1112">
        <v>22005</v>
      </c>
      <c r="D1018" s="1112">
        <v>420523</v>
      </c>
    </row>
    <row r="1019" spans="2:4">
      <c r="B1019" s="412" t="s">
        <v>1276</v>
      </c>
      <c r="C1019" s="1112">
        <v>22005</v>
      </c>
      <c r="D1019" s="1112">
        <v>420523</v>
      </c>
    </row>
    <row r="1020" spans="2:4">
      <c r="B1020" s="412" t="s">
        <v>1277</v>
      </c>
      <c r="C1020" s="1112">
        <v>12994</v>
      </c>
      <c r="D1020" s="1112">
        <v>247045</v>
      </c>
    </row>
    <row r="1021" spans="2:4">
      <c r="B1021" s="412" t="s">
        <v>1278</v>
      </c>
      <c r="C1021" s="1112">
        <v>12994</v>
      </c>
      <c r="D1021" s="1112">
        <v>247045</v>
      </c>
    </row>
    <row r="1022" spans="2:4">
      <c r="B1022" s="412" t="s">
        <v>1279</v>
      </c>
      <c r="C1022" s="1112">
        <v>12994</v>
      </c>
      <c r="D1022" s="1112">
        <v>247045</v>
      </c>
    </row>
    <row r="1023" spans="2:4">
      <c r="B1023" s="412" t="s">
        <v>1280</v>
      </c>
      <c r="C1023" s="1112">
        <v>14372.600877192983</v>
      </c>
      <c r="D1023" s="1112">
        <v>273685.25</v>
      </c>
    </row>
    <row r="1024" spans="2:4">
      <c r="B1024" s="412" t="s">
        <v>1281</v>
      </c>
      <c r="C1024" s="1112">
        <v>13133.98312236287</v>
      </c>
      <c r="D1024" s="1112">
        <v>249752.39240506329</v>
      </c>
    </row>
    <row r="1025" spans="2:4">
      <c r="B1025" s="412" t="s">
        <v>1282</v>
      </c>
      <c r="C1025" s="1112">
        <v>10844</v>
      </c>
      <c r="D1025" s="1112">
        <v>203359</v>
      </c>
    </row>
    <row r="1026" spans="2:4">
      <c r="B1026" s="412" t="s">
        <v>1283</v>
      </c>
      <c r="C1026" s="1112">
        <v>10844</v>
      </c>
      <c r="D1026" s="1112">
        <v>203359</v>
      </c>
    </row>
    <row r="1027" spans="2:4">
      <c r="B1027" s="412" t="s">
        <v>1284</v>
      </c>
      <c r="C1027" s="1112">
        <v>10844</v>
      </c>
      <c r="D1027" s="1112">
        <v>203359</v>
      </c>
    </row>
    <row r="1028" spans="2:4">
      <c r="B1028" s="412" t="s">
        <v>1285</v>
      </c>
      <c r="C1028" s="1112">
        <v>10866.751322751323</v>
      </c>
      <c r="D1028" s="1112">
        <v>203821.28571428571</v>
      </c>
    </row>
    <row r="1029" spans="2:4">
      <c r="B1029" s="412" t="s">
        <v>1286</v>
      </c>
      <c r="C1029" s="1112">
        <v>10906.824675324675</v>
      </c>
      <c r="D1029" s="1112">
        <v>204635.53896103895</v>
      </c>
    </row>
    <row r="1030" spans="2:4">
      <c r="B1030" s="412" t="s">
        <v>1287</v>
      </c>
      <c r="C1030" s="1112">
        <v>11123.442970822281</v>
      </c>
      <c r="D1030" s="1112">
        <v>209037.02122015916</v>
      </c>
    </row>
    <row r="1031" spans="2:4">
      <c r="B1031" s="412" t="s">
        <v>1288</v>
      </c>
      <c r="C1031" s="1112">
        <v>12559.763546798029</v>
      </c>
      <c r="D1031" s="1112">
        <v>238221.71921182267</v>
      </c>
    </row>
    <row r="1032" spans="2:4">
      <c r="B1032" s="412" t="s">
        <v>1289</v>
      </c>
      <c r="C1032" s="1112">
        <v>11257.891779396463</v>
      </c>
      <c r="D1032" s="1112">
        <v>211768.89594172736</v>
      </c>
    </row>
    <row r="1033" spans="2:4">
      <c r="B1033" s="412" t="s">
        <v>1290</v>
      </c>
      <c r="C1033" s="1112">
        <v>11309.833333333334</v>
      </c>
      <c r="D1033" s="1112">
        <v>212824.3</v>
      </c>
    </row>
    <row r="1034" spans="2:4">
      <c r="B1034" s="412" t="s">
        <v>1291</v>
      </c>
      <c r="C1034" s="1112">
        <v>12939.829713292789</v>
      </c>
      <c r="D1034" s="1112">
        <v>245944.31016507384</v>
      </c>
    </row>
    <row r="1035" spans="2:4">
      <c r="B1035" s="412" t="s">
        <v>1292</v>
      </c>
      <c r="C1035" s="1112">
        <v>12994</v>
      </c>
      <c r="D1035" s="1112">
        <v>247045</v>
      </c>
    </row>
    <row r="1036" spans="2:4">
      <c r="B1036" s="412" t="s">
        <v>1293</v>
      </c>
      <c r="C1036" s="1112">
        <v>12994</v>
      </c>
      <c r="D1036" s="1112">
        <v>247045</v>
      </c>
    </row>
    <row r="1037" spans="2:4">
      <c r="B1037" s="412" t="s">
        <v>1294</v>
      </c>
      <c r="C1037" s="1112">
        <v>12781.929915639195</v>
      </c>
      <c r="D1037" s="1112">
        <v>242735.93316028552</v>
      </c>
    </row>
    <row r="1038" spans="2:4">
      <c r="B1038" s="412" t="s">
        <v>1295</v>
      </c>
      <c r="C1038" s="1112">
        <v>12200.375838926175</v>
      </c>
      <c r="D1038" s="1112">
        <v>230919.29530201343</v>
      </c>
    </row>
    <row r="1039" spans="2:4">
      <c r="B1039" s="412" t="s">
        <v>1296</v>
      </c>
      <c r="C1039" s="1112">
        <v>12841.476125511595</v>
      </c>
      <c r="D1039" s="1112">
        <v>243945.85675306959</v>
      </c>
    </row>
    <row r="1040" spans="2:4">
      <c r="B1040" s="412" t="s">
        <v>1297</v>
      </c>
      <c r="C1040" s="1112">
        <v>10854.508308895405</v>
      </c>
      <c r="D1040" s="1112">
        <v>203572.51906158359</v>
      </c>
    </row>
    <row r="1041" spans="2:4">
      <c r="B1041" s="412" t="s">
        <v>1298</v>
      </c>
      <c r="C1041" s="1112">
        <v>10866.318339100346</v>
      </c>
      <c r="D1041" s="1112">
        <v>203812.48788927335</v>
      </c>
    </row>
    <row r="1042" spans="2:4">
      <c r="B1042" s="412" t="s">
        <v>1299</v>
      </c>
      <c r="C1042" s="1112">
        <v>11129.546875</v>
      </c>
      <c r="D1042" s="1112">
        <v>209161.046875</v>
      </c>
    </row>
    <row r="1043" spans="2:4">
      <c r="B1043" s="412" t="s">
        <v>1300</v>
      </c>
      <c r="C1043" s="1112">
        <v>12953.125475285171</v>
      </c>
      <c r="D1043" s="1112">
        <v>246214.46768060836</v>
      </c>
    </row>
    <row r="1044" spans="2:4">
      <c r="B1044" s="412" t="s">
        <v>1301</v>
      </c>
      <c r="C1044" s="1112">
        <v>10966.644067796609</v>
      </c>
      <c r="D1044" s="1112">
        <v>205827.79661016949</v>
      </c>
    </row>
    <row r="1045" spans="2:4">
      <c r="B1045" s="412" t="s">
        <v>1302</v>
      </c>
      <c r="C1045" s="1112">
        <v>10881.148809523809</v>
      </c>
      <c r="D1045" s="1112">
        <v>204096.26785714287</v>
      </c>
    </row>
    <row r="1046" spans="2:4">
      <c r="B1046" s="412" t="s">
        <v>1303</v>
      </c>
      <c r="C1046" s="1112">
        <v>15443.711711711712</v>
      </c>
      <c r="D1046" s="1112">
        <v>294216.08108108107</v>
      </c>
    </row>
    <row r="1047" spans="2:4">
      <c r="B1047" s="412" t="s">
        <v>1304</v>
      </c>
      <c r="C1047" s="1112">
        <v>12994</v>
      </c>
      <c r="D1047" s="1112">
        <v>247045</v>
      </c>
    </row>
    <row r="1048" spans="2:4">
      <c r="B1048" s="412" t="s">
        <v>1305</v>
      </c>
      <c r="C1048" s="1112">
        <v>11398.40251572327</v>
      </c>
      <c r="D1048" s="1112">
        <v>214623.94339622642</v>
      </c>
    </row>
    <row r="1049" spans="2:4">
      <c r="B1049" s="412" t="s">
        <v>1306</v>
      </c>
      <c r="C1049" s="1112">
        <v>10844</v>
      </c>
      <c r="D1049" s="1112">
        <v>203359</v>
      </c>
    </row>
    <row r="1050" spans="2:4">
      <c r="B1050" s="412" t="s">
        <v>1307</v>
      </c>
      <c r="C1050" s="1112">
        <v>12174.544488711819</v>
      </c>
      <c r="D1050" s="1112">
        <v>230394.4262948207</v>
      </c>
    </row>
    <row r="1051" spans="2:4">
      <c r="B1051" s="412" t="s">
        <v>1308</v>
      </c>
      <c r="C1051" s="1112">
        <v>10845.589061345159</v>
      </c>
      <c r="D1051" s="1112">
        <v>203391.28824833702</v>
      </c>
    </row>
    <row r="1052" spans="2:4">
      <c r="B1052" s="412" t="s">
        <v>1309</v>
      </c>
      <c r="C1052" s="1112">
        <v>12994</v>
      </c>
      <c r="D1052" s="1112">
        <v>247045</v>
      </c>
    </row>
    <row r="1053" spans="2:4">
      <c r="B1053" s="412" t="s">
        <v>1310</v>
      </c>
      <c r="C1053" s="1112">
        <v>12990.214788732394</v>
      </c>
      <c r="D1053" s="1112">
        <v>246968.088028169</v>
      </c>
    </row>
    <row r="1054" spans="2:4">
      <c r="B1054" s="412" t="s">
        <v>1311</v>
      </c>
      <c r="C1054" s="1112">
        <v>10844</v>
      </c>
      <c r="D1054" s="1112">
        <v>203359</v>
      </c>
    </row>
    <row r="1055" spans="2:4">
      <c r="B1055" s="412" t="s">
        <v>1312</v>
      </c>
      <c r="C1055" s="1112">
        <v>12994</v>
      </c>
      <c r="D1055" s="1112">
        <v>247045</v>
      </c>
    </row>
    <row r="1056" spans="2:4">
      <c r="B1056" s="412" t="s">
        <v>1313</v>
      </c>
      <c r="C1056" s="1112">
        <v>12994</v>
      </c>
      <c r="D1056" s="1112">
        <v>247045</v>
      </c>
    </row>
    <row r="1057" spans="2:4">
      <c r="B1057" s="412" t="s">
        <v>1314</v>
      </c>
      <c r="C1057" s="1112">
        <v>12994</v>
      </c>
      <c r="D1057" s="1112">
        <v>247045</v>
      </c>
    </row>
    <row r="1058" spans="2:4">
      <c r="B1058" s="412" t="s">
        <v>1315</v>
      </c>
      <c r="C1058" s="1112">
        <v>12994</v>
      </c>
      <c r="D1058" s="1112">
        <v>247045</v>
      </c>
    </row>
    <row r="1059" spans="2:4">
      <c r="B1059" s="412" t="s">
        <v>1316</v>
      </c>
      <c r="C1059" s="1112">
        <v>12994</v>
      </c>
      <c r="D1059" s="1112">
        <v>247045</v>
      </c>
    </row>
    <row r="1060" spans="2:4">
      <c r="B1060" s="412" t="s">
        <v>1317</v>
      </c>
      <c r="C1060" s="1112">
        <v>12994</v>
      </c>
      <c r="D1060" s="1112">
        <v>247045</v>
      </c>
    </row>
    <row r="1061" spans="2:4">
      <c r="B1061" s="412" t="s">
        <v>1318</v>
      </c>
      <c r="C1061" s="1112">
        <v>12994</v>
      </c>
      <c r="D1061" s="1112">
        <v>247045</v>
      </c>
    </row>
    <row r="1062" spans="2:4">
      <c r="B1062" s="412" t="s">
        <v>1319</v>
      </c>
      <c r="C1062" s="1112">
        <v>12994</v>
      </c>
      <c r="D1062" s="1112">
        <v>247045</v>
      </c>
    </row>
    <row r="1063" spans="2:4">
      <c r="B1063" s="412" t="s">
        <v>1320</v>
      </c>
      <c r="C1063" s="1112">
        <v>12994</v>
      </c>
      <c r="D1063" s="1112">
        <v>247045</v>
      </c>
    </row>
    <row r="1064" spans="2:4">
      <c r="B1064" s="412" t="s">
        <v>1321</v>
      </c>
      <c r="C1064" s="1112">
        <v>11714.985401459853</v>
      </c>
      <c r="D1064" s="1112">
        <v>221056.61313868614</v>
      </c>
    </row>
    <row r="1065" spans="2:4">
      <c r="B1065" s="412" t="s">
        <v>1322</v>
      </c>
      <c r="C1065" s="1112">
        <v>10875.31067961165</v>
      </c>
      <c r="D1065" s="1112">
        <v>203995.20388349515</v>
      </c>
    </row>
    <row r="1066" spans="2:4">
      <c r="B1066" s="412" t="s">
        <v>1323</v>
      </c>
      <c r="C1066" s="1112">
        <v>10844</v>
      </c>
      <c r="D1066" s="1112">
        <v>203359</v>
      </c>
    </row>
    <row r="1067" spans="2:4">
      <c r="B1067" s="412" t="s">
        <v>1324</v>
      </c>
      <c r="C1067" s="1112">
        <v>10844</v>
      </c>
      <c r="D1067" s="1112">
        <v>203359</v>
      </c>
    </row>
    <row r="1068" spans="2:4">
      <c r="B1068" s="412" t="s">
        <v>1325</v>
      </c>
      <c r="C1068" s="1112">
        <v>12994</v>
      </c>
      <c r="D1068" s="1112">
        <v>247045</v>
      </c>
    </row>
    <row r="1069" spans="2:4">
      <c r="B1069" s="412" t="s">
        <v>1326</v>
      </c>
      <c r="C1069" s="1112">
        <v>12674.405405405405</v>
      </c>
      <c r="D1069" s="1112">
        <v>240551.13513513515</v>
      </c>
    </row>
    <row r="1070" spans="2:4">
      <c r="B1070" s="412" t="s">
        <v>1327</v>
      </c>
      <c r="C1070" s="1112">
        <v>12175.191588785046</v>
      </c>
      <c r="D1070" s="1112">
        <v>230407.57476635513</v>
      </c>
    </row>
    <row r="1071" spans="2:4">
      <c r="B1071" s="412" t="s">
        <v>1328</v>
      </c>
      <c r="C1071" s="1112">
        <v>12994</v>
      </c>
      <c r="D1071" s="1112">
        <v>247045</v>
      </c>
    </row>
    <row r="1072" spans="2:4">
      <c r="B1072" s="412" t="s">
        <v>1329</v>
      </c>
      <c r="C1072" s="1112">
        <v>12800.811594202898</v>
      </c>
      <c r="D1072" s="1112">
        <v>243119.59130434782</v>
      </c>
    </row>
    <row r="1073" spans="2:4">
      <c r="B1073" s="412" t="s">
        <v>1330</v>
      </c>
      <c r="C1073" s="1112">
        <v>12992.243464052288</v>
      </c>
      <c r="D1073" s="1112">
        <v>247009.3088235294</v>
      </c>
    </row>
    <row r="1074" spans="2:4">
      <c r="B1074" s="412" t="s">
        <v>1331</v>
      </c>
      <c r="C1074" s="1112">
        <v>12994</v>
      </c>
      <c r="D1074" s="1112">
        <v>247045</v>
      </c>
    </row>
    <row r="1075" spans="2:4">
      <c r="B1075" s="412" t="s">
        <v>1332</v>
      </c>
      <c r="C1075" s="1112">
        <v>12954.590631364563</v>
      </c>
      <c r="D1075" s="1112">
        <v>246244.23828920571</v>
      </c>
    </row>
    <row r="1076" spans="2:4">
      <c r="B1076" s="412" t="s">
        <v>1333</v>
      </c>
      <c r="C1076" s="1112">
        <v>10850.286549707602</v>
      </c>
      <c r="D1076" s="1112">
        <v>203486.73684210525</v>
      </c>
    </row>
    <row r="1077" spans="2:4">
      <c r="B1077" s="412" t="s">
        <v>1334</v>
      </c>
      <c r="C1077" s="1112">
        <v>12994</v>
      </c>
      <c r="D1077" s="1112">
        <v>247045</v>
      </c>
    </row>
    <row r="1078" spans="2:4">
      <c r="B1078" s="412" t="s">
        <v>1335</v>
      </c>
      <c r="C1078" s="1112">
        <v>11880.607142857143</v>
      </c>
      <c r="D1078" s="1112">
        <v>224421.89285714287</v>
      </c>
    </row>
    <row r="1079" spans="2:4">
      <c r="B1079" s="412" t="s">
        <v>1336</v>
      </c>
      <c r="C1079" s="1112">
        <v>10844</v>
      </c>
      <c r="D1079" s="1112">
        <v>203359</v>
      </c>
    </row>
    <row r="1080" spans="2:4">
      <c r="B1080" s="412" t="s">
        <v>1337</v>
      </c>
      <c r="C1080" s="1112">
        <v>10844</v>
      </c>
      <c r="D1080" s="1112">
        <v>203359</v>
      </c>
    </row>
    <row r="1081" spans="2:4">
      <c r="B1081" s="412" t="s">
        <v>1338</v>
      </c>
      <c r="C1081" s="1112">
        <v>10844</v>
      </c>
      <c r="D1081" s="1112">
        <v>203359</v>
      </c>
    </row>
    <row r="1082" spans="2:4">
      <c r="B1082" s="412" t="s">
        <v>1339</v>
      </c>
      <c r="C1082" s="1112">
        <v>10928.154040404041</v>
      </c>
      <c r="D1082" s="1112">
        <v>205068.93181818182</v>
      </c>
    </row>
    <row r="1083" spans="2:4">
      <c r="B1083" s="412" t="s">
        <v>1340</v>
      </c>
      <c r="C1083" s="1112">
        <v>10930.132511556239</v>
      </c>
      <c r="D1083" s="1112">
        <v>205109.13251155624</v>
      </c>
    </row>
    <row r="1084" spans="2:4">
      <c r="B1084" s="412" t="s">
        <v>1341</v>
      </c>
      <c r="C1084" s="1112">
        <v>10844</v>
      </c>
      <c r="D1084" s="1112">
        <v>203359</v>
      </c>
    </row>
    <row r="1085" spans="2:4">
      <c r="B1085" s="412" t="s">
        <v>1342</v>
      </c>
      <c r="C1085" s="1112">
        <v>12994</v>
      </c>
      <c r="D1085" s="1112">
        <v>247045</v>
      </c>
    </row>
    <row r="1086" spans="2:4">
      <c r="B1086" s="412" t="s">
        <v>1343</v>
      </c>
      <c r="C1086" s="1112">
        <v>12994</v>
      </c>
      <c r="D1086" s="1112">
        <v>247045</v>
      </c>
    </row>
    <row r="1087" spans="2:4">
      <c r="B1087" s="412" t="s">
        <v>1344</v>
      </c>
      <c r="C1087" s="1112">
        <v>12994</v>
      </c>
      <c r="D1087" s="1112">
        <v>247045</v>
      </c>
    </row>
    <row r="1088" spans="2:4">
      <c r="B1088" s="412" t="s">
        <v>1345</v>
      </c>
      <c r="C1088" s="1112">
        <v>12994</v>
      </c>
      <c r="D1088" s="1112">
        <v>247045</v>
      </c>
    </row>
    <row r="1089" spans="2:4">
      <c r="B1089" s="412" t="s">
        <v>1346</v>
      </c>
      <c r="C1089" s="1112">
        <v>12994</v>
      </c>
      <c r="D1089" s="1112">
        <v>247045</v>
      </c>
    </row>
    <row r="1090" spans="2:4">
      <c r="B1090" s="412" t="s">
        <v>1347</v>
      </c>
      <c r="C1090" s="1112">
        <v>12994</v>
      </c>
      <c r="D1090" s="1112">
        <v>247045</v>
      </c>
    </row>
    <row r="1091" spans="2:4">
      <c r="B1091" s="412" t="s">
        <v>1348</v>
      </c>
      <c r="C1091" s="1112">
        <v>12994</v>
      </c>
      <c r="D1091" s="1112">
        <v>247045</v>
      </c>
    </row>
    <row r="1092" spans="2:4">
      <c r="B1092" s="412" t="s">
        <v>1349</v>
      </c>
      <c r="C1092" s="1112">
        <v>12994</v>
      </c>
      <c r="D1092" s="1112">
        <v>247045</v>
      </c>
    </row>
    <row r="1093" spans="2:4">
      <c r="B1093" s="412" t="s">
        <v>1350</v>
      </c>
      <c r="C1093" s="1112">
        <v>12994</v>
      </c>
      <c r="D1093" s="1112">
        <v>247045</v>
      </c>
    </row>
    <row r="1094" spans="2:4" ht="17" thickBot="1">
      <c r="B1094" s="413" t="s">
        <v>1351</v>
      </c>
      <c r="C1094" s="1113">
        <v>12994</v>
      </c>
      <c r="D1094" s="1113">
        <v>247045</v>
      </c>
    </row>
    <row r="1095" spans="2:4">
      <c r="B1095" s="415" t="s">
        <v>1352</v>
      </c>
      <c r="C1095" s="1111">
        <v>31326</v>
      </c>
      <c r="D1095" s="1111">
        <v>602201</v>
      </c>
    </row>
    <row r="1096" spans="2:4">
      <c r="B1096" s="412" t="s">
        <v>1353</v>
      </c>
      <c r="C1096" s="1112">
        <v>31326</v>
      </c>
      <c r="D1096" s="1112">
        <v>602201</v>
      </c>
    </row>
    <row r="1097" spans="2:4">
      <c r="B1097" s="412" t="s">
        <v>1354</v>
      </c>
      <c r="C1097" s="1112">
        <v>31326</v>
      </c>
      <c r="D1097" s="1112">
        <v>602201</v>
      </c>
    </row>
    <row r="1098" spans="2:4">
      <c r="B1098" s="412" t="s">
        <v>1355</v>
      </c>
      <c r="C1098" s="1112">
        <v>31326</v>
      </c>
      <c r="D1098" s="1112">
        <v>602201</v>
      </c>
    </row>
    <row r="1099" spans="2:4">
      <c r="B1099" s="412" t="s">
        <v>1356</v>
      </c>
      <c r="C1099" s="1112">
        <v>31326</v>
      </c>
      <c r="D1099" s="1112">
        <v>602201</v>
      </c>
    </row>
    <row r="1100" spans="2:4">
      <c r="B1100" s="412" t="s">
        <v>1357</v>
      </c>
      <c r="C1100" s="1112">
        <v>31307.614003590665</v>
      </c>
      <c r="D1100" s="1112">
        <v>601842.97307001799</v>
      </c>
    </row>
    <row r="1101" spans="2:4">
      <c r="B1101" s="412" t="s">
        <v>1358</v>
      </c>
      <c r="C1101" s="1112">
        <v>25886.796680497926</v>
      </c>
      <c r="D1101" s="1112">
        <v>496284.45228215767</v>
      </c>
    </row>
    <row r="1102" spans="2:4">
      <c r="B1102" s="412" t="s">
        <v>1359</v>
      </c>
      <c r="C1102" s="1112">
        <v>31304.584112149532</v>
      </c>
      <c r="D1102" s="1112">
        <v>601786.09813084116</v>
      </c>
    </row>
    <row r="1103" spans="2:4">
      <c r="B1103" s="412" t="s">
        <v>1360</v>
      </c>
      <c r="C1103" s="1112">
        <v>31326</v>
      </c>
      <c r="D1103" s="1112">
        <v>602201</v>
      </c>
    </row>
    <row r="1104" spans="2:4">
      <c r="B1104" s="412" t="s">
        <v>1361</v>
      </c>
      <c r="C1104" s="1112">
        <v>31326</v>
      </c>
      <c r="D1104" s="1112">
        <v>602201</v>
      </c>
    </row>
    <row r="1105" spans="2:4">
      <c r="B1105" s="412" t="s">
        <v>1362</v>
      </c>
      <c r="C1105" s="1112">
        <v>13200</v>
      </c>
      <c r="D1105" s="1112">
        <v>250221</v>
      </c>
    </row>
    <row r="1106" spans="2:4">
      <c r="B1106" s="412" t="s">
        <v>1363</v>
      </c>
      <c r="C1106" s="1112">
        <v>13200</v>
      </c>
      <c r="D1106" s="1112">
        <v>250221</v>
      </c>
    </row>
    <row r="1107" spans="2:4">
      <c r="B1107" s="412" t="s">
        <v>1364</v>
      </c>
      <c r="C1107" s="1112">
        <v>13200</v>
      </c>
      <c r="D1107" s="1112">
        <v>250221</v>
      </c>
    </row>
    <row r="1108" spans="2:4">
      <c r="B1108" s="412" t="s">
        <v>1365</v>
      </c>
      <c r="C1108" s="1112">
        <v>13200</v>
      </c>
      <c r="D1108" s="1112">
        <v>250221</v>
      </c>
    </row>
    <row r="1109" spans="2:4">
      <c r="B1109" s="412" t="s">
        <v>1366</v>
      </c>
      <c r="C1109" s="1112">
        <v>13200</v>
      </c>
      <c r="D1109" s="1112">
        <v>250221</v>
      </c>
    </row>
    <row r="1110" spans="2:4">
      <c r="B1110" s="412" t="s">
        <v>1367</v>
      </c>
      <c r="C1110" s="1112">
        <v>13200</v>
      </c>
      <c r="D1110" s="1112">
        <v>250221</v>
      </c>
    </row>
    <row r="1111" spans="2:4">
      <c r="B1111" s="412" t="s">
        <v>1368</v>
      </c>
      <c r="C1111" s="1112">
        <v>13200</v>
      </c>
      <c r="D1111" s="1112">
        <v>250221</v>
      </c>
    </row>
    <row r="1112" spans="2:4">
      <c r="B1112" s="412" t="s">
        <v>1369</v>
      </c>
      <c r="C1112" s="1112">
        <v>13200</v>
      </c>
      <c r="D1112" s="1112">
        <v>250221</v>
      </c>
    </row>
    <row r="1113" spans="2:4">
      <c r="B1113" s="412" t="s">
        <v>1370</v>
      </c>
      <c r="C1113" s="1112">
        <v>13200</v>
      </c>
      <c r="D1113" s="1112">
        <v>250221</v>
      </c>
    </row>
    <row r="1114" spans="2:4">
      <c r="B1114" s="412" t="s">
        <v>1371</v>
      </c>
      <c r="C1114" s="1112">
        <v>10844</v>
      </c>
      <c r="D1114" s="1112">
        <v>203359</v>
      </c>
    </row>
    <row r="1115" spans="2:4">
      <c r="B1115" s="412" t="s">
        <v>1372</v>
      </c>
      <c r="C1115" s="1112">
        <v>10844</v>
      </c>
      <c r="D1115" s="1112">
        <v>203359</v>
      </c>
    </row>
    <row r="1116" spans="2:4">
      <c r="B1116" s="412" t="s">
        <v>1373</v>
      </c>
      <c r="C1116" s="1112">
        <v>10844</v>
      </c>
      <c r="D1116" s="1112">
        <v>203359</v>
      </c>
    </row>
    <row r="1117" spans="2:4">
      <c r="B1117" s="412" t="s">
        <v>1374</v>
      </c>
      <c r="C1117" s="1112">
        <v>10987.623481781377</v>
      </c>
      <c r="D1117" s="1112">
        <v>206277.29554655871</v>
      </c>
    </row>
    <row r="1118" spans="2:4">
      <c r="B1118" s="412" t="s">
        <v>1375</v>
      </c>
      <c r="C1118" s="1112">
        <v>10844</v>
      </c>
      <c r="D1118" s="1112">
        <v>203359</v>
      </c>
    </row>
    <row r="1119" spans="2:4">
      <c r="B1119" s="412" t="s">
        <v>1376</v>
      </c>
      <c r="C1119" s="1112">
        <v>12994</v>
      </c>
      <c r="D1119" s="1112">
        <v>247045</v>
      </c>
    </row>
    <row r="1120" spans="2:4">
      <c r="B1120" s="412" t="s">
        <v>1377</v>
      </c>
      <c r="C1120" s="1112">
        <v>16010</v>
      </c>
      <c r="D1120" s="1112">
        <v>305377</v>
      </c>
    </row>
    <row r="1121" spans="2:4">
      <c r="B1121" s="412" t="s">
        <v>1378</v>
      </c>
      <c r="C1121" s="1112">
        <v>16010</v>
      </c>
      <c r="D1121" s="1112">
        <v>305377</v>
      </c>
    </row>
    <row r="1122" spans="2:4">
      <c r="B1122" s="412" t="s">
        <v>1379</v>
      </c>
      <c r="C1122" s="1112">
        <v>16010</v>
      </c>
      <c r="D1122" s="1112">
        <v>305377</v>
      </c>
    </row>
    <row r="1123" spans="2:4">
      <c r="B1123" s="412" t="s">
        <v>1380</v>
      </c>
      <c r="C1123" s="1112">
        <v>16010</v>
      </c>
      <c r="D1123" s="1112">
        <v>305377</v>
      </c>
    </row>
    <row r="1124" spans="2:4">
      <c r="B1124" s="412" t="s">
        <v>1381</v>
      </c>
      <c r="C1124" s="1112">
        <v>15987.280602636534</v>
      </c>
      <c r="D1124" s="1112">
        <v>304937.58757062146</v>
      </c>
    </row>
    <row r="1125" spans="2:4">
      <c r="B1125" s="412" t="s">
        <v>1382</v>
      </c>
      <c r="C1125" s="1112">
        <v>16010</v>
      </c>
      <c r="D1125" s="1112">
        <v>305377</v>
      </c>
    </row>
    <row r="1126" spans="2:4">
      <c r="B1126" s="412" t="s">
        <v>1383</v>
      </c>
      <c r="C1126" s="1112">
        <v>16010</v>
      </c>
      <c r="D1126" s="1112">
        <v>305377</v>
      </c>
    </row>
    <row r="1127" spans="2:4">
      <c r="B1127" s="412" t="s">
        <v>1384</v>
      </c>
      <c r="C1127" s="1112">
        <v>16010</v>
      </c>
      <c r="D1127" s="1112">
        <v>305377</v>
      </c>
    </row>
    <row r="1128" spans="2:4">
      <c r="B1128" s="412" t="s">
        <v>1385</v>
      </c>
      <c r="C1128" s="1112">
        <v>15969.546944858421</v>
      </c>
      <c r="D1128" s="1112">
        <v>304594.60357675113</v>
      </c>
    </row>
    <row r="1129" spans="2:4">
      <c r="B1129" s="412" t="s">
        <v>1386</v>
      </c>
      <c r="C1129" s="1112">
        <v>16010</v>
      </c>
      <c r="D1129" s="1112">
        <v>305377</v>
      </c>
    </row>
    <row r="1130" spans="2:4">
      <c r="B1130" s="412" t="s">
        <v>1387</v>
      </c>
      <c r="C1130" s="1112">
        <v>12994</v>
      </c>
      <c r="D1130" s="1112">
        <v>247045</v>
      </c>
    </row>
    <row r="1131" spans="2:4">
      <c r="B1131" s="412" t="s">
        <v>1388</v>
      </c>
      <c r="C1131" s="1112">
        <v>16010</v>
      </c>
      <c r="D1131" s="1112">
        <v>305377</v>
      </c>
    </row>
    <row r="1132" spans="2:4">
      <c r="B1132" s="412" t="s">
        <v>1389</v>
      </c>
      <c r="C1132" s="1112">
        <v>16010</v>
      </c>
      <c r="D1132" s="1112">
        <v>305377</v>
      </c>
    </row>
    <row r="1133" spans="2:4">
      <c r="B1133" s="412" t="s">
        <v>1390</v>
      </c>
      <c r="C1133" s="1112">
        <v>16010</v>
      </c>
      <c r="D1133" s="1112">
        <v>305377</v>
      </c>
    </row>
    <row r="1134" spans="2:4">
      <c r="B1134" s="412" t="s">
        <v>1391</v>
      </c>
      <c r="C1134" s="1112">
        <v>13345.956912028725</v>
      </c>
      <c r="D1134" s="1112">
        <v>253852.14542190306</v>
      </c>
    </row>
    <row r="1135" spans="2:4">
      <c r="B1135" s="412" t="s">
        <v>1392</v>
      </c>
      <c r="C1135" s="1112">
        <v>16010</v>
      </c>
      <c r="D1135" s="1112">
        <v>305377</v>
      </c>
    </row>
    <row r="1136" spans="2:4">
      <c r="B1136" s="412" t="s">
        <v>1393</v>
      </c>
      <c r="C1136" s="1112">
        <v>12942.123324396784</v>
      </c>
      <c r="D1136" s="1112">
        <v>245990.91420911529</v>
      </c>
    </row>
    <row r="1137" spans="2:4">
      <c r="B1137" s="412" t="s">
        <v>1394</v>
      </c>
      <c r="C1137" s="1112">
        <v>13090.770053475935</v>
      </c>
      <c r="D1137" s="1112">
        <v>248916.61497326204</v>
      </c>
    </row>
    <row r="1138" spans="2:4">
      <c r="B1138" s="412" t="s">
        <v>1395</v>
      </c>
      <c r="C1138" s="1112">
        <v>16001.714285714286</v>
      </c>
      <c r="D1138" s="1112">
        <v>305216.74725274724</v>
      </c>
    </row>
    <row r="1139" spans="2:4">
      <c r="B1139" s="412" t="s">
        <v>1396</v>
      </c>
      <c r="C1139" s="1112">
        <v>16010</v>
      </c>
      <c r="D1139" s="1112">
        <v>305377</v>
      </c>
    </row>
    <row r="1140" spans="2:4">
      <c r="B1140" s="412" t="s">
        <v>1397</v>
      </c>
      <c r="C1140" s="1112">
        <v>16010</v>
      </c>
      <c r="D1140" s="1112">
        <v>305377</v>
      </c>
    </row>
    <row r="1141" spans="2:4">
      <c r="B1141" s="412" t="s">
        <v>1398</v>
      </c>
      <c r="C1141" s="1112">
        <v>15986.193548387097</v>
      </c>
      <c r="D1141" s="1112">
        <v>304906.87096774194</v>
      </c>
    </row>
    <row r="1142" spans="2:4">
      <c r="B1142" s="412" t="s">
        <v>1399</v>
      </c>
      <c r="C1142" s="1112">
        <v>16010</v>
      </c>
      <c r="D1142" s="1112">
        <v>305377</v>
      </c>
    </row>
    <row r="1143" spans="2:4">
      <c r="B1143" s="412" t="s">
        <v>1400</v>
      </c>
      <c r="C1143" s="1112">
        <v>12994</v>
      </c>
      <c r="D1143" s="1112">
        <v>247045</v>
      </c>
    </row>
    <row r="1144" spans="2:4">
      <c r="B1144" s="412" t="s">
        <v>1401</v>
      </c>
      <c r="C1144" s="1112">
        <v>12994</v>
      </c>
      <c r="D1144" s="1112">
        <v>247045</v>
      </c>
    </row>
    <row r="1145" spans="2:4">
      <c r="B1145" s="412" t="s">
        <v>1402</v>
      </c>
      <c r="C1145" s="1112">
        <v>12994</v>
      </c>
      <c r="D1145" s="1112">
        <v>247045</v>
      </c>
    </row>
    <row r="1146" spans="2:4">
      <c r="B1146" s="412" t="s">
        <v>1403</v>
      </c>
      <c r="C1146" s="1112">
        <v>12994</v>
      </c>
      <c r="D1146" s="1112">
        <v>247045</v>
      </c>
    </row>
    <row r="1147" spans="2:4">
      <c r="B1147" s="412" t="s">
        <v>1404</v>
      </c>
      <c r="C1147" s="1112">
        <v>12994</v>
      </c>
      <c r="D1147" s="1112">
        <v>247045</v>
      </c>
    </row>
    <row r="1148" spans="2:4">
      <c r="B1148" s="412" t="s">
        <v>1405</v>
      </c>
      <c r="C1148" s="1112">
        <v>12994</v>
      </c>
      <c r="D1148" s="1112">
        <v>247045</v>
      </c>
    </row>
    <row r="1149" spans="2:4">
      <c r="B1149" s="412" t="s">
        <v>1406</v>
      </c>
      <c r="C1149" s="1112">
        <v>12994</v>
      </c>
      <c r="D1149" s="1112">
        <v>247045</v>
      </c>
    </row>
    <row r="1150" spans="2:4">
      <c r="B1150" s="412" t="s">
        <v>1407</v>
      </c>
      <c r="C1150" s="1112">
        <v>12885.139240506329</v>
      </c>
      <c r="D1150" s="1112">
        <v>244833.05063291139</v>
      </c>
    </row>
    <row r="1151" spans="2:4">
      <c r="B1151" s="412" t="s">
        <v>1408</v>
      </c>
      <c r="C1151" s="1112">
        <v>12972.473091364205</v>
      </c>
      <c r="D1151" s="1112">
        <v>246607.59324155195</v>
      </c>
    </row>
    <row r="1152" spans="2:4">
      <c r="B1152" s="412" t="s">
        <v>1409</v>
      </c>
      <c r="C1152" s="1112">
        <v>10844</v>
      </c>
      <c r="D1152" s="1112">
        <v>203359</v>
      </c>
    </row>
    <row r="1153" spans="2:4">
      <c r="B1153" s="412" t="s">
        <v>1410</v>
      </c>
      <c r="C1153" s="1112">
        <v>10844</v>
      </c>
      <c r="D1153" s="1112">
        <v>203359</v>
      </c>
    </row>
    <row r="1154" spans="2:4">
      <c r="B1154" s="412" t="s">
        <v>1411</v>
      </c>
      <c r="C1154" s="1112">
        <v>10844</v>
      </c>
      <c r="D1154" s="1112">
        <v>203359</v>
      </c>
    </row>
    <row r="1155" spans="2:4">
      <c r="B1155" s="412" t="s">
        <v>1412</v>
      </c>
      <c r="C1155" s="1112">
        <v>10844</v>
      </c>
      <c r="D1155" s="1112">
        <v>203359</v>
      </c>
    </row>
    <row r="1156" spans="2:4">
      <c r="B1156" s="412" t="s">
        <v>1413</v>
      </c>
      <c r="C1156" s="1112">
        <v>10844</v>
      </c>
      <c r="D1156" s="1112">
        <v>203359</v>
      </c>
    </row>
    <row r="1157" spans="2:4">
      <c r="B1157" s="412" t="s">
        <v>1414</v>
      </c>
      <c r="C1157" s="1112">
        <v>10844</v>
      </c>
      <c r="D1157" s="1112">
        <v>203359</v>
      </c>
    </row>
    <row r="1158" spans="2:4">
      <c r="B1158" s="412" t="s">
        <v>1415</v>
      </c>
      <c r="C1158" s="1112">
        <v>10844</v>
      </c>
      <c r="D1158" s="1112">
        <v>203359</v>
      </c>
    </row>
    <row r="1159" spans="2:4">
      <c r="B1159" s="412" t="s">
        <v>1416</v>
      </c>
      <c r="C1159" s="1112">
        <v>10844</v>
      </c>
      <c r="D1159" s="1112">
        <v>203359</v>
      </c>
    </row>
    <row r="1160" spans="2:4">
      <c r="B1160" s="412" t="s">
        <v>1417</v>
      </c>
      <c r="C1160" s="1112">
        <v>10844</v>
      </c>
      <c r="D1160" s="1112">
        <v>203359</v>
      </c>
    </row>
    <row r="1161" spans="2:4">
      <c r="B1161" s="412" t="s">
        <v>1418</v>
      </c>
      <c r="C1161" s="1112">
        <v>16010</v>
      </c>
      <c r="D1161" s="1112">
        <v>305377</v>
      </c>
    </row>
    <row r="1162" spans="2:4">
      <c r="B1162" s="412" t="s">
        <v>1419</v>
      </c>
      <c r="C1162" s="1112">
        <v>16010</v>
      </c>
      <c r="D1162" s="1112">
        <v>305377</v>
      </c>
    </row>
    <row r="1163" spans="2:4">
      <c r="B1163" s="412" t="s">
        <v>1420</v>
      </c>
      <c r="C1163" s="1112">
        <v>16010</v>
      </c>
      <c r="D1163" s="1112">
        <v>305377</v>
      </c>
    </row>
    <row r="1164" spans="2:4">
      <c r="B1164" s="412" t="s">
        <v>1421</v>
      </c>
      <c r="C1164" s="1112">
        <v>16010</v>
      </c>
      <c r="D1164" s="1112">
        <v>305377</v>
      </c>
    </row>
    <row r="1165" spans="2:4">
      <c r="B1165" s="412" t="s">
        <v>1422</v>
      </c>
      <c r="C1165" s="1112">
        <v>16010</v>
      </c>
      <c r="D1165" s="1112">
        <v>305377</v>
      </c>
    </row>
    <row r="1166" spans="2:4">
      <c r="B1166" s="412" t="s">
        <v>1423</v>
      </c>
      <c r="C1166" s="1112">
        <v>16010</v>
      </c>
      <c r="D1166" s="1112">
        <v>305377</v>
      </c>
    </row>
    <row r="1167" spans="2:4">
      <c r="B1167" s="412" t="s">
        <v>1424</v>
      </c>
      <c r="C1167" s="1112">
        <v>16010</v>
      </c>
      <c r="D1167" s="1112">
        <v>305377</v>
      </c>
    </row>
    <row r="1168" spans="2:4">
      <c r="B1168" s="412" t="s">
        <v>1425</v>
      </c>
      <c r="C1168" s="1112">
        <v>16010</v>
      </c>
      <c r="D1168" s="1112">
        <v>305377</v>
      </c>
    </row>
    <row r="1169" spans="2:4">
      <c r="B1169" s="412" t="s">
        <v>1426</v>
      </c>
      <c r="C1169" s="1112">
        <v>16010</v>
      </c>
      <c r="D1169" s="1112">
        <v>305377</v>
      </c>
    </row>
    <row r="1170" spans="2:4">
      <c r="B1170" s="412" t="s">
        <v>1427</v>
      </c>
      <c r="C1170" s="1112">
        <v>16010</v>
      </c>
      <c r="D1170" s="1112">
        <v>305377</v>
      </c>
    </row>
    <row r="1171" spans="2:4">
      <c r="B1171" s="412" t="s">
        <v>1428</v>
      </c>
      <c r="C1171" s="1112">
        <v>16010</v>
      </c>
      <c r="D1171" s="1112">
        <v>305377</v>
      </c>
    </row>
    <row r="1172" spans="2:4">
      <c r="B1172" s="412" t="s">
        <v>1429</v>
      </c>
      <c r="C1172" s="1112">
        <v>16010</v>
      </c>
      <c r="D1172" s="1112">
        <v>305377</v>
      </c>
    </row>
    <row r="1173" spans="2:4">
      <c r="B1173" s="412" t="s">
        <v>1430</v>
      </c>
      <c r="C1173" s="1112">
        <v>16010</v>
      </c>
      <c r="D1173" s="1112">
        <v>305377</v>
      </c>
    </row>
    <row r="1174" spans="2:4">
      <c r="B1174" s="412" t="s">
        <v>1431</v>
      </c>
      <c r="C1174" s="1112">
        <v>16010</v>
      </c>
      <c r="D1174" s="1112">
        <v>305377</v>
      </c>
    </row>
    <row r="1175" spans="2:4">
      <c r="B1175" s="412" t="s">
        <v>1432</v>
      </c>
      <c r="C1175" s="1112">
        <v>16010</v>
      </c>
      <c r="D1175" s="1112">
        <v>305377</v>
      </c>
    </row>
    <row r="1176" spans="2:4">
      <c r="B1176" s="412" t="s">
        <v>1433</v>
      </c>
      <c r="C1176" s="1112">
        <v>16010</v>
      </c>
      <c r="D1176" s="1112">
        <v>305377</v>
      </c>
    </row>
    <row r="1177" spans="2:4">
      <c r="B1177" s="412" t="s">
        <v>1434</v>
      </c>
      <c r="C1177" s="1112">
        <v>16010</v>
      </c>
      <c r="D1177" s="1112">
        <v>305377</v>
      </c>
    </row>
    <row r="1178" spans="2:4">
      <c r="B1178" s="412" t="s">
        <v>1435</v>
      </c>
      <c r="C1178" s="1112">
        <v>16010</v>
      </c>
      <c r="D1178" s="1112">
        <v>305377</v>
      </c>
    </row>
    <row r="1179" spans="2:4">
      <c r="B1179" s="412" t="s">
        <v>1436</v>
      </c>
      <c r="C1179" s="1112">
        <v>16010</v>
      </c>
      <c r="D1179" s="1112">
        <v>305377</v>
      </c>
    </row>
    <row r="1180" spans="2:4">
      <c r="B1180" s="412" t="s">
        <v>1437</v>
      </c>
      <c r="C1180" s="1112">
        <v>16010</v>
      </c>
      <c r="D1180" s="1112">
        <v>305377</v>
      </c>
    </row>
    <row r="1181" spans="2:4">
      <c r="B1181" s="412" t="s">
        <v>1438</v>
      </c>
      <c r="C1181" s="1112">
        <v>13200</v>
      </c>
      <c r="D1181" s="1112">
        <v>250221</v>
      </c>
    </row>
    <row r="1182" spans="2:4">
      <c r="B1182" s="412" t="s">
        <v>1439</v>
      </c>
      <c r="C1182" s="1112">
        <v>13200</v>
      </c>
      <c r="D1182" s="1112">
        <v>250221</v>
      </c>
    </row>
    <row r="1183" spans="2:4">
      <c r="B1183" s="412" t="s">
        <v>1440</v>
      </c>
      <c r="C1183" s="1112">
        <v>13200</v>
      </c>
      <c r="D1183" s="1112">
        <v>250221</v>
      </c>
    </row>
    <row r="1184" spans="2:4">
      <c r="B1184" s="412" t="s">
        <v>1441</v>
      </c>
      <c r="C1184" s="1112">
        <v>13200</v>
      </c>
      <c r="D1184" s="1112">
        <v>250221</v>
      </c>
    </row>
    <row r="1185" spans="2:4">
      <c r="B1185" s="412" t="s">
        <v>1442</v>
      </c>
      <c r="C1185" s="1112">
        <v>13200</v>
      </c>
      <c r="D1185" s="1112">
        <v>250221</v>
      </c>
    </row>
    <row r="1186" spans="2:4">
      <c r="B1186" s="412" t="s">
        <v>1443</v>
      </c>
      <c r="C1186" s="1112">
        <v>13200</v>
      </c>
      <c r="D1186" s="1112">
        <v>250221</v>
      </c>
    </row>
    <row r="1187" spans="2:4" ht="17" thickBot="1">
      <c r="B1187" s="413" t="s">
        <v>1444</v>
      </c>
      <c r="C1187" s="1113">
        <v>13200</v>
      </c>
      <c r="D1187" s="1113">
        <v>250221</v>
      </c>
    </row>
    <row r="1188" spans="2:4">
      <c r="B1188" s="415" t="s">
        <v>1445</v>
      </c>
      <c r="C1188" s="1111">
        <v>31326</v>
      </c>
      <c r="D1188" s="1111">
        <v>602201</v>
      </c>
    </row>
    <row r="1189" spans="2:4">
      <c r="B1189" s="412" t="s">
        <v>1446</v>
      </c>
      <c r="C1189" s="1112">
        <v>12994</v>
      </c>
      <c r="D1189" s="1112">
        <v>247045</v>
      </c>
    </row>
    <row r="1190" spans="2:4">
      <c r="B1190" s="412" t="s">
        <v>1447</v>
      </c>
      <c r="C1190" s="1112">
        <v>31415.549676025919</v>
      </c>
      <c r="D1190" s="1112">
        <v>603919.92548596114</v>
      </c>
    </row>
    <row r="1191" spans="2:4">
      <c r="B1191" s="412" t="s">
        <v>1448</v>
      </c>
      <c r="C1191" s="1112">
        <v>31326</v>
      </c>
      <c r="D1191" s="1112">
        <v>602201</v>
      </c>
    </row>
    <row r="1192" spans="2:4">
      <c r="B1192" s="412" t="s">
        <v>1449</v>
      </c>
      <c r="C1192" s="1112">
        <v>31326</v>
      </c>
      <c r="D1192" s="1112">
        <v>602201</v>
      </c>
    </row>
    <row r="1193" spans="2:4">
      <c r="B1193" s="412" t="s">
        <v>1450</v>
      </c>
      <c r="C1193" s="1112">
        <v>31326</v>
      </c>
      <c r="D1193" s="1112">
        <v>602201</v>
      </c>
    </row>
    <row r="1194" spans="2:4">
      <c r="B1194" s="412" t="s">
        <v>1451</v>
      </c>
      <c r="C1194" s="1112">
        <v>31326</v>
      </c>
      <c r="D1194" s="1112">
        <v>602201</v>
      </c>
    </row>
    <row r="1195" spans="2:4">
      <c r="B1195" s="412" t="s">
        <v>1452</v>
      </c>
      <c r="C1195" s="1112">
        <v>31326</v>
      </c>
      <c r="D1195" s="1112">
        <v>602201</v>
      </c>
    </row>
    <row r="1196" spans="2:4">
      <c r="B1196" s="412" t="s">
        <v>1453</v>
      </c>
      <c r="C1196" s="1112">
        <v>19643.10655737705</v>
      </c>
      <c r="D1196" s="1112">
        <v>375861.82786885247</v>
      </c>
    </row>
    <row r="1197" spans="2:4">
      <c r="B1197" s="412" t="s">
        <v>1454</v>
      </c>
      <c r="C1197" s="1112">
        <v>29582.224390243904</v>
      </c>
      <c r="D1197" s="1112">
        <v>568417.86829268292</v>
      </c>
    </row>
    <row r="1198" spans="2:4">
      <c r="B1198" s="412" t="s">
        <v>1455</v>
      </c>
      <c r="C1198" s="1112">
        <v>15030.888888888889</v>
      </c>
      <c r="D1198" s="1112">
        <v>286506.77777777775</v>
      </c>
    </row>
    <row r="1199" spans="2:4">
      <c r="B1199" s="412" t="s">
        <v>1456</v>
      </c>
      <c r="C1199" s="1112">
        <v>10844</v>
      </c>
      <c r="D1199" s="1112">
        <v>203359</v>
      </c>
    </row>
    <row r="1200" spans="2:4">
      <c r="B1200" s="412" t="s">
        <v>1457</v>
      </c>
      <c r="C1200" s="1112">
        <v>10844</v>
      </c>
      <c r="D1200" s="1112">
        <v>203359</v>
      </c>
    </row>
    <row r="1201" spans="2:4">
      <c r="B1201" s="412" t="s">
        <v>1458</v>
      </c>
      <c r="C1201" s="1112">
        <v>10844</v>
      </c>
      <c r="D1201" s="1112">
        <v>203359</v>
      </c>
    </row>
    <row r="1202" spans="2:4">
      <c r="B1202" s="412" t="s">
        <v>1459</v>
      </c>
      <c r="C1202" s="1112">
        <v>10844</v>
      </c>
      <c r="D1202" s="1112">
        <v>203359</v>
      </c>
    </row>
    <row r="1203" spans="2:4">
      <c r="B1203" s="412" t="s">
        <v>1460</v>
      </c>
      <c r="C1203" s="1112">
        <v>10844</v>
      </c>
      <c r="D1203" s="1112">
        <v>203359</v>
      </c>
    </row>
    <row r="1204" spans="2:4">
      <c r="B1204" s="412" t="s">
        <v>1461</v>
      </c>
      <c r="C1204" s="1112">
        <v>10844</v>
      </c>
      <c r="D1204" s="1112">
        <v>203359</v>
      </c>
    </row>
    <row r="1205" spans="2:4">
      <c r="B1205" s="412" t="s">
        <v>1462</v>
      </c>
      <c r="C1205" s="1112">
        <v>10844</v>
      </c>
      <c r="D1205" s="1112">
        <v>203359</v>
      </c>
    </row>
    <row r="1206" spans="2:4">
      <c r="B1206" s="412" t="s">
        <v>1463</v>
      </c>
      <c r="C1206" s="1112">
        <v>10844</v>
      </c>
      <c r="D1206" s="1112">
        <v>203359</v>
      </c>
    </row>
    <row r="1207" spans="2:4">
      <c r="B1207" s="412" t="s">
        <v>1464</v>
      </c>
      <c r="C1207" s="1112">
        <v>10844</v>
      </c>
      <c r="D1207" s="1112">
        <v>203359</v>
      </c>
    </row>
    <row r="1208" spans="2:4">
      <c r="B1208" s="412" t="s">
        <v>1465</v>
      </c>
      <c r="C1208" s="1112">
        <v>10844</v>
      </c>
      <c r="D1208" s="1112">
        <v>203359</v>
      </c>
    </row>
    <row r="1209" spans="2:4">
      <c r="B1209" s="412" t="s">
        <v>1466</v>
      </c>
      <c r="C1209" s="1112">
        <v>10861.817679558011</v>
      </c>
      <c r="D1209" s="1112">
        <v>203721.03867403316</v>
      </c>
    </row>
    <row r="1210" spans="2:4">
      <c r="B1210" s="412" t="s">
        <v>1467</v>
      </c>
      <c r="C1210" s="1112">
        <v>10844</v>
      </c>
      <c r="D1210" s="1112">
        <v>203359</v>
      </c>
    </row>
    <row r="1211" spans="2:4">
      <c r="B1211" s="412" t="s">
        <v>1468</v>
      </c>
      <c r="C1211" s="1112">
        <v>10844</v>
      </c>
      <c r="D1211" s="1112">
        <v>203359</v>
      </c>
    </row>
    <row r="1212" spans="2:4">
      <c r="B1212" s="412" t="s">
        <v>1469</v>
      </c>
      <c r="C1212" s="1112">
        <v>10844</v>
      </c>
      <c r="D1212" s="1112">
        <v>203359</v>
      </c>
    </row>
    <row r="1213" spans="2:4">
      <c r="B1213" s="412" t="s">
        <v>1470</v>
      </c>
      <c r="C1213" s="1112">
        <v>11153.540329575022</v>
      </c>
      <c r="D1213" s="1112">
        <v>209648.57155247181</v>
      </c>
    </row>
    <row r="1214" spans="2:4">
      <c r="B1214" s="412" t="s">
        <v>1471</v>
      </c>
      <c r="C1214" s="1112">
        <v>12994</v>
      </c>
      <c r="D1214" s="1112">
        <v>247045</v>
      </c>
    </row>
    <row r="1215" spans="2:4">
      <c r="B1215" s="412" t="s">
        <v>1472</v>
      </c>
      <c r="C1215" s="1112">
        <v>10844</v>
      </c>
      <c r="D1215" s="1112">
        <v>203359</v>
      </c>
    </row>
    <row r="1216" spans="2:4">
      <c r="B1216" s="412" t="s">
        <v>1473</v>
      </c>
      <c r="C1216" s="1112">
        <v>10844</v>
      </c>
      <c r="D1216" s="1112">
        <v>203359</v>
      </c>
    </row>
    <row r="1217" spans="2:4">
      <c r="B1217" s="412" t="s">
        <v>1474</v>
      </c>
      <c r="C1217" s="1112">
        <v>10844</v>
      </c>
      <c r="D1217" s="1112">
        <v>203359</v>
      </c>
    </row>
    <row r="1218" spans="2:4">
      <c r="B1218" s="412" t="s">
        <v>1475</v>
      </c>
      <c r="C1218" s="1112">
        <v>10844</v>
      </c>
      <c r="D1218" s="1112">
        <v>203359</v>
      </c>
    </row>
    <row r="1219" spans="2:4">
      <c r="B1219" s="412" t="s">
        <v>1476</v>
      </c>
      <c r="C1219" s="1112">
        <v>10847.65025466893</v>
      </c>
      <c r="D1219" s="1112">
        <v>203433.16977928692</v>
      </c>
    </row>
    <row r="1220" spans="2:4">
      <c r="B1220" s="412" t="s">
        <v>1477</v>
      </c>
      <c r="C1220" s="1112">
        <v>10949.688202247191</v>
      </c>
      <c r="D1220" s="1112">
        <v>205506.48595505618</v>
      </c>
    </row>
    <row r="1221" spans="2:4">
      <c r="B1221" s="412" t="s">
        <v>1478</v>
      </c>
      <c r="C1221" s="1112">
        <v>12855.290322580646</v>
      </c>
      <c r="D1221" s="1112">
        <v>244226.54838709679</v>
      </c>
    </row>
    <row r="1222" spans="2:4">
      <c r="B1222" s="412" t="s">
        <v>1479</v>
      </c>
      <c r="C1222" s="1112">
        <v>12994</v>
      </c>
      <c r="D1222" s="1112">
        <v>247045</v>
      </c>
    </row>
    <row r="1223" spans="2:4">
      <c r="B1223" s="412" t="s">
        <v>1480</v>
      </c>
      <c r="C1223" s="1112">
        <v>12810.647196261682</v>
      </c>
      <c r="D1223" s="1112">
        <v>243319.44158878503</v>
      </c>
    </row>
    <row r="1224" spans="2:4">
      <c r="B1224" s="412" t="s">
        <v>1481</v>
      </c>
      <c r="C1224" s="1112">
        <v>12994</v>
      </c>
      <c r="D1224" s="1112">
        <v>247045</v>
      </c>
    </row>
    <row r="1225" spans="2:4">
      <c r="B1225" s="412" t="s">
        <v>1482</v>
      </c>
      <c r="C1225" s="1112">
        <v>12777.027522935779</v>
      </c>
      <c r="D1225" s="1112">
        <v>242636.32110091744</v>
      </c>
    </row>
    <row r="1226" spans="2:4">
      <c r="B1226" s="412" t="s">
        <v>1483</v>
      </c>
      <c r="C1226" s="1112">
        <v>12994</v>
      </c>
      <c r="D1226" s="1112">
        <v>247045</v>
      </c>
    </row>
    <row r="1227" spans="2:4">
      <c r="B1227" s="412" t="s">
        <v>1484</v>
      </c>
      <c r="C1227" s="1112">
        <v>11458.285714285714</v>
      </c>
      <c r="D1227" s="1112">
        <v>215840.71428571429</v>
      </c>
    </row>
    <row r="1228" spans="2:4">
      <c r="B1228" s="412" t="s">
        <v>1485</v>
      </c>
      <c r="C1228" s="1112">
        <v>11081.927565392354</v>
      </c>
      <c r="D1228" s="1112">
        <v>208193.46680080483</v>
      </c>
    </row>
    <row r="1229" spans="2:4">
      <c r="B1229" s="412" t="s">
        <v>1486</v>
      </c>
      <c r="C1229" s="1112">
        <v>10844</v>
      </c>
      <c r="D1229" s="1112">
        <v>203359</v>
      </c>
    </row>
    <row r="1230" spans="2:4">
      <c r="B1230" s="412" t="s">
        <v>1487</v>
      </c>
      <c r="C1230" s="1112">
        <v>11413.430693069307</v>
      </c>
      <c r="D1230" s="1112">
        <v>214929.30198019801</v>
      </c>
    </row>
    <row r="1231" spans="2:4">
      <c r="B1231" s="412" t="s">
        <v>1488</v>
      </c>
      <c r="C1231" s="1112">
        <v>10844</v>
      </c>
      <c r="D1231" s="1112">
        <v>203359</v>
      </c>
    </row>
    <row r="1232" spans="2:4">
      <c r="B1232" s="412" t="s">
        <v>1489</v>
      </c>
      <c r="C1232" s="1112">
        <v>12450.460674157302</v>
      </c>
      <c r="D1232" s="1112">
        <v>236000.78651685393</v>
      </c>
    </row>
    <row r="1233" spans="2:4">
      <c r="B1233" s="412" t="s">
        <v>1490</v>
      </c>
      <c r="C1233" s="1112">
        <v>11591.566063977747</v>
      </c>
      <c r="D1233" s="1112">
        <v>218548.84700973573</v>
      </c>
    </row>
    <row r="1234" spans="2:4">
      <c r="B1234" s="412" t="s">
        <v>1491</v>
      </c>
      <c r="C1234" s="1112">
        <v>10844</v>
      </c>
      <c r="D1234" s="1112">
        <v>203359</v>
      </c>
    </row>
    <row r="1235" spans="2:4">
      <c r="B1235" s="412" t="s">
        <v>1492</v>
      </c>
      <c r="C1235" s="1112">
        <v>10844</v>
      </c>
      <c r="D1235" s="1112">
        <v>203359</v>
      </c>
    </row>
    <row r="1236" spans="2:4">
      <c r="B1236" s="412" t="s">
        <v>1493</v>
      </c>
      <c r="C1236" s="1112">
        <v>10844</v>
      </c>
      <c r="D1236" s="1112">
        <v>203359</v>
      </c>
    </row>
    <row r="1237" spans="2:4">
      <c r="B1237" s="412" t="s">
        <v>1494</v>
      </c>
      <c r="C1237" s="1112">
        <v>10844</v>
      </c>
      <c r="D1237" s="1112">
        <v>203359</v>
      </c>
    </row>
    <row r="1238" spans="2:4">
      <c r="B1238" s="412" t="s">
        <v>1495</v>
      </c>
      <c r="C1238" s="1112">
        <v>12590.514745308312</v>
      </c>
      <c r="D1238" s="1112">
        <v>238846.55495978551</v>
      </c>
    </row>
    <row r="1239" spans="2:4">
      <c r="B1239" s="412" t="s">
        <v>1496</v>
      </c>
      <c r="C1239" s="1112">
        <v>12994</v>
      </c>
      <c r="D1239" s="1112">
        <v>247045</v>
      </c>
    </row>
    <row r="1240" spans="2:4">
      <c r="B1240" s="412" t="s">
        <v>1497</v>
      </c>
      <c r="C1240" s="1112">
        <v>12974.674157303371</v>
      </c>
      <c r="D1240" s="1112">
        <v>246652.31685393257</v>
      </c>
    </row>
    <row r="1241" spans="2:4">
      <c r="B1241" s="412" t="s">
        <v>1498</v>
      </c>
      <c r="C1241" s="1112">
        <v>12971.415966386554</v>
      </c>
      <c r="D1241" s="1112">
        <v>246586.11344537814</v>
      </c>
    </row>
    <row r="1242" spans="2:4">
      <c r="B1242" s="412" t="s">
        <v>1499</v>
      </c>
      <c r="C1242" s="1112">
        <v>12994</v>
      </c>
      <c r="D1242" s="1112">
        <v>247045</v>
      </c>
    </row>
    <row r="1243" spans="2:4">
      <c r="B1243" s="412" t="s">
        <v>1500</v>
      </c>
      <c r="C1243" s="1112">
        <v>12994</v>
      </c>
      <c r="D1243" s="1112">
        <v>247045</v>
      </c>
    </row>
    <row r="1244" spans="2:4">
      <c r="B1244" s="412" t="s">
        <v>1501</v>
      </c>
      <c r="C1244" s="1112">
        <v>12994</v>
      </c>
      <c r="D1244" s="1112">
        <v>247045</v>
      </c>
    </row>
    <row r="1245" spans="2:4">
      <c r="B1245" s="412" t="s">
        <v>1502</v>
      </c>
      <c r="C1245" s="1112">
        <v>12994</v>
      </c>
      <c r="D1245" s="1112">
        <v>247045</v>
      </c>
    </row>
    <row r="1246" spans="2:4">
      <c r="B1246" s="412" t="s">
        <v>1503</v>
      </c>
      <c r="C1246" s="1112">
        <v>12994</v>
      </c>
      <c r="D1246" s="1112">
        <v>247045</v>
      </c>
    </row>
    <row r="1247" spans="2:4">
      <c r="B1247" s="412" t="s">
        <v>1504</v>
      </c>
      <c r="C1247" s="1112">
        <v>12994</v>
      </c>
      <c r="D1247" s="1112">
        <v>247045</v>
      </c>
    </row>
    <row r="1248" spans="2:4">
      <c r="B1248" s="412" t="s">
        <v>1505</v>
      </c>
      <c r="C1248" s="1112">
        <v>12994</v>
      </c>
      <c r="D1248" s="1112">
        <v>247045</v>
      </c>
    </row>
    <row r="1249" spans="2:4">
      <c r="B1249" s="412" t="s">
        <v>1506</v>
      </c>
      <c r="C1249" s="1112">
        <v>12994</v>
      </c>
      <c r="D1249" s="1112">
        <v>247045</v>
      </c>
    </row>
    <row r="1250" spans="2:4">
      <c r="B1250" s="412" t="s">
        <v>1507</v>
      </c>
      <c r="C1250" s="1112">
        <v>12994</v>
      </c>
      <c r="D1250" s="1112">
        <v>247045</v>
      </c>
    </row>
    <row r="1251" spans="2:4">
      <c r="B1251" s="412" t="s">
        <v>1508</v>
      </c>
      <c r="C1251" s="1112">
        <v>12994</v>
      </c>
      <c r="D1251" s="1112">
        <v>247045</v>
      </c>
    </row>
    <row r="1252" spans="2:4">
      <c r="B1252" s="412" t="s">
        <v>1509</v>
      </c>
      <c r="C1252" s="1112">
        <v>12994</v>
      </c>
      <c r="D1252" s="1112">
        <v>247045</v>
      </c>
    </row>
    <row r="1253" spans="2:4">
      <c r="B1253" s="412" t="s">
        <v>1510</v>
      </c>
      <c r="C1253" s="1112">
        <v>12994</v>
      </c>
      <c r="D1253" s="1112">
        <v>247045</v>
      </c>
    </row>
    <row r="1254" spans="2:4">
      <c r="B1254" s="412" t="s">
        <v>1511</v>
      </c>
      <c r="C1254" s="1112">
        <v>12994</v>
      </c>
      <c r="D1254" s="1112">
        <v>247045</v>
      </c>
    </row>
    <row r="1255" spans="2:4">
      <c r="B1255" s="412" t="s">
        <v>1512</v>
      </c>
      <c r="C1255" s="1112">
        <v>12994</v>
      </c>
      <c r="D1255" s="1112">
        <v>247045</v>
      </c>
    </row>
    <row r="1256" spans="2:4">
      <c r="B1256" s="412" t="s">
        <v>1513</v>
      </c>
      <c r="C1256" s="1112">
        <v>12994</v>
      </c>
      <c r="D1256" s="1112">
        <v>247045</v>
      </c>
    </row>
    <row r="1257" spans="2:4">
      <c r="B1257" s="412" t="s">
        <v>1514</v>
      </c>
      <c r="C1257" s="1112">
        <v>12994</v>
      </c>
      <c r="D1257" s="1112">
        <v>247045</v>
      </c>
    </row>
    <row r="1258" spans="2:4">
      <c r="B1258" s="412" t="s">
        <v>1515</v>
      </c>
      <c r="C1258" s="1112">
        <v>12994</v>
      </c>
      <c r="D1258" s="1112">
        <v>247045</v>
      </c>
    </row>
    <row r="1259" spans="2:4">
      <c r="B1259" s="412" t="s">
        <v>1516</v>
      </c>
      <c r="C1259" s="1112">
        <v>12994</v>
      </c>
      <c r="D1259" s="1112">
        <v>247045</v>
      </c>
    </row>
    <row r="1260" spans="2:4">
      <c r="B1260" s="412" t="s">
        <v>1517</v>
      </c>
      <c r="C1260" s="1112">
        <v>12994</v>
      </c>
      <c r="D1260" s="1112">
        <v>247045</v>
      </c>
    </row>
    <row r="1261" spans="2:4">
      <c r="B1261" s="412" t="s">
        <v>1518</v>
      </c>
      <c r="C1261" s="1112">
        <v>12994</v>
      </c>
      <c r="D1261" s="1112">
        <v>247045</v>
      </c>
    </row>
    <row r="1262" spans="2:4">
      <c r="B1262" s="412" t="s">
        <v>1519</v>
      </c>
      <c r="C1262" s="1112">
        <v>12994</v>
      </c>
      <c r="D1262" s="1112">
        <v>247045</v>
      </c>
    </row>
    <row r="1263" spans="2:4">
      <c r="B1263" s="412" t="s">
        <v>1520</v>
      </c>
      <c r="C1263" s="1112">
        <v>12994</v>
      </c>
      <c r="D1263" s="1112">
        <v>247045</v>
      </c>
    </row>
    <row r="1264" spans="2:4">
      <c r="B1264" s="412" t="s">
        <v>1521</v>
      </c>
      <c r="C1264" s="1112">
        <v>12994</v>
      </c>
      <c r="D1264" s="1112">
        <v>247045</v>
      </c>
    </row>
    <row r="1265" spans="2:4">
      <c r="B1265" s="412" t="s">
        <v>1522</v>
      </c>
      <c r="C1265" s="1112">
        <v>10844</v>
      </c>
      <c r="D1265" s="1112">
        <v>203359</v>
      </c>
    </row>
    <row r="1266" spans="2:4">
      <c r="B1266" s="412" t="s">
        <v>1523</v>
      </c>
      <c r="C1266" s="1112">
        <v>10844</v>
      </c>
      <c r="D1266" s="1112">
        <v>203359</v>
      </c>
    </row>
    <row r="1267" spans="2:4">
      <c r="B1267" s="412" t="s">
        <v>1524</v>
      </c>
      <c r="C1267" s="1112">
        <v>10844</v>
      </c>
      <c r="D1267" s="1112">
        <v>203359</v>
      </c>
    </row>
    <row r="1268" spans="2:4">
      <c r="B1268" s="412" t="s">
        <v>1525</v>
      </c>
      <c r="C1268" s="1112">
        <v>10844</v>
      </c>
      <c r="D1268" s="1112">
        <v>203359</v>
      </c>
    </row>
    <row r="1269" spans="2:4">
      <c r="B1269" s="412" t="s">
        <v>1526</v>
      </c>
      <c r="C1269" s="1112">
        <v>12994</v>
      </c>
      <c r="D1269" s="1112">
        <v>247045</v>
      </c>
    </row>
    <row r="1270" spans="2:4">
      <c r="B1270" s="412" t="s">
        <v>1527</v>
      </c>
      <c r="C1270" s="1112">
        <v>12994</v>
      </c>
      <c r="D1270" s="1112">
        <v>247045</v>
      </c>
    </row>
    <row r="1271" spans="2:4">
      <c r="B1271" s="412" t="s">
        <v>1528</v>
      </c>
      <c r="C1271" s="1112">
        <v>12994</v>
      </c>
      <c r="D1271" s="1112">
        <v>247045</v>
      </c>
    </row>
    <row r="1272" spans="2:4">
      <c r="B1272" s="412" t="s">
        <v>1529</v>
      </c>
      <c r="C1272" s="1112">
        <v>12994</v>
      </c>
      <c r="D1272" s="1112">
        <v>247045</v>
      </c>
    </row>
    <row r="1273" spans="2:4">
      <c r="B1273" s="412" t="s">
        <v>1530</v>
      </c>
      <c r="C1273" s="1112">
        <v>12994</v>
      </c>
      <c r="D1273" s="1112">
        <v>247045</v>
      </c>
    </row>
    <row r="1274" spans="2:4">
      <c r="B1274" s="412" t="s">
        <v>1531</v>
      </c>
      <c r="C1274" s="1112">
        <v>12994</v>
      </c>
      <c r="D1274" s="1112">
        <v>247045</v>
      </c>
    </row>
    <row r="1275" spans="2:4">
      <c r="B1275" s="412" t="s">
        <v>1532</v>
      </c>
      <c r="C1275" s="1112">
        <v>12994</v>
      </c>
      <c r="D1275" s="1112">
        <v>247045</v>
      </c>
    </row>
    <row r="1276" spans="2:4">
      <c r="B1276" s="412" t="s">
        <v>1533</v>
      </c>
      <c r="C1276" s="1112">
        <v>12994</v>
      </c>
      <c r="D1276" s="1112">
        <v>247045</v>
      </c>
    </row>
    <row r="1277" spans="2:4">
      <c r="B1277" s="412" t="s">
        <v>1534</v>
      </c>
      <c r="C1277" s="1112">
        <v>12994</v>
      </c>
      <c r="D1277" s="1112">
        <v>247045</v>
      </c>
    </row>
    <row r="1278" spans="2:4">
      <c r="B1278" s="412" t="s">
        <v>1535</v>
      </c>
      <c r="C1278" s="1112">
        <v>12994</v>
      </c>
      <c r="D1278" s="1112">
        <v>247045</v>
      </c>
    </row>
    <row r="1279" spans="2:4">
      <c r="B1279" s="412" t="s">
        <v>1536</v>
      </c>
      <c r="C1279" s="1112">
        <v>12994</v>
      </c>
      <c r="D1279" s="1112">
        <v>247045</v>
      </c>
    </row>
    <row r="1280" spans="2:4">
      <c r="B1280" s="412" t="s">
        <v>1537</v>
      </c>
      <c r="C1280" s="1112">
        <v>12994</v>
      </c>
      <c r="D1280" s="1112">
        <v>247045</v>
      </c>
    </row>
    <row r="1281" spans="2:4">
      <c r="B1281" s="412" t="s">
        <v>1538</v>
      </c>
      <c r="C1281" s="1112">
        <v>12994</v>
      </c>
      <c r="D1281" s="1112">
        <v>247045</v>
      </c>
    </row>
    <row r="1282" spans="2:4">
      <c r="B1282" s="412" t="s">
        <v>1539</v>
      </c>
      <c r="C1282" s="1112">
        <v>12994</v>
      </c>
      <c r="D1282" s="1112">
        <v>247045</v>
      </c>
    </row>
    <row r="1283" spans="2:4">
      <c r="B1283" s="412" t="s">
        <v>1540</v>
      </c>
      <c r="C1283" s="1112">
        <v>12994</v>
      </c>
      <c r="D1283" s="1112">
        <v>247045</v>
      </c>
    </row>
    <row r="1284" spans="2:4">
      <c r="B1284" s="412" t="s">
        <v>1541</v>
      </c>
      <c r="C1284" s="1112">
        <v>12994</v>
      </c>
      <c r="D1284" s="1112">
        <v>247045</v>
      </c>
    </row>
    <row r="1285" spans="2:4">
      <c r="B1285" s="412" t="s">
        <v>1542</v>
      </c>
      <c r="C1285" s="1112">
        <v>12994</v>
      </c>
      <c r="D1285" s="1112">
        <v>247045</v>
      </c>
    </row>
    <row r="1286" spans="2:4">
      <c r="B1286" s="412" t="s">
        <v>1543</v>
      </c>
      <c r="C1286" s="1112">
        <v>12994</v>
      </c>
      <c r="D1286" s="1112">
        <v>247045</v>
      </c>
    </row>
    <row r="1287" spans="2:4">
      <c r="B1287" s="412" t="s">
        <v>1544</v>
      </c>
      <c r="C1287" s="1112">
        <v>12994</v>
      </c>
      <c r="D1287" s="1112">
        <v>247045</v>
      </c>
    </row>
    <row r="1288" spans="2:4">
      <c r="B1288" s="412" t="s">
        <v>1545</v>
      </c>
      <c r="C1288" s="1112">
        <v>12994</v>
      </c>
      <c r="D1288" s="1112">
        <v>247045</v>
      </c>
    </row>
    <row r="1289" spans="2:4">
      <c r="B1289" s="412" t="s">
        <v>1546</v>
      </c>
      <c r="C1289" s="1112">
        <v>12994</v>
      </c>
      <c r="D1289" s="1112">
        <v>247045</v>
      </c>
    </row>
    <row r="1290" spans="2:4">
      <c r="B1290" s="412" t="s">
        <v>1547</v>
      </c>
      <c r="C1290" s="1112">
        <v>12994</v>
      </c>
      <c r="D1290" s="1112">
        <v>247045</v>
      </c>
    </row>
    <row r="1291" spans="2:4">
      <c r="B1291" s="412" t="s">
        <v>1548</v>
      </c>
      <c r="C1291" s="1112">
        <v>12994</v>
      </c>
      <c r="D1291" s="1112">
        <v>247045</v>
      </c>
    </row>
    <row r="1292" spans="2:4" ht="17" thickBot="1">
      <c r="B1292" s="413" t="s">
        <v>1549</v>
      </c>
      <c r="C1292" s="1113">
        <v>12994</v>
      </c>
      <c r="D1292" s="1113">
        <v>247045</v>
      </c>
    </row>
    <row r="1293" spans="2:4">
      <c r="B1293" s="415" t="s">
        <v>1550</v>
      </c>
      <c r="C1293" s="1111">
        <v>12994</v>
      </c>
      <c r="D1293" s="1111">
        <v>247045</v>
      </c>
    </row>
    <row r="1294" spans="2:4">
      <c r="B1294" s="412" t="s">
        <v>1551</v>
      </c>
      <c r="C1294" s="1112">
        <v>12994</v>
      </c>
      <c r="D1294" s="1112">
        <v>247045</v>
      </c>
    </row>
    <row r="1295" spans="2:4">
      <c r="B1295" s="412" t="s">
        <v>1552</v>
      </c>
      <c r="C1295" s="1112">
        <v>12994</v>
      </c>
      <c r="D1295" s="1112">
        <v>247045</v>
      </c>
    </row>
    <row r="1296" spans="2:4" ht="17" thickBot="1">
      <c r="B1296" s="413" t="s">
        <v>1553</v>
      </c>
      <c r="C1296" s="1113">
        <v>12994</v>
      </c>
      <c r="D1296" s="1113">
        <v>247045</v>
      </c>
    </row>
    <row r="1297" spans="2:4">
      <c r="B1297" s="415" t="s">
        <v>1554</v>
      </c>
      <c r="C1297" s="1111">
        <v>12994</v>
      </c>
      <c r="D1297" s="1111">
        <v>247045</v>
      </c>
    </row>
    <row r="1298" spans="2:4">
      <c r="B1298" s="412" t="s">
        <v>1555</v>
      </c>
      <c r="C1298" s="1112">
        <v>12994</v>
      </c>
      <c r="D1298" s="1112">
        <v>247045</v>
      </c>
    </row>
    <row r="1299" spans="2:4">
      <c r="B1299" s="412" t="s">
        <v>1556</v>
      </c>
      <c r="C1299" s="1112">
        <v>12994</v>
      </c>
      <c r="D1299" s="1112">
        <v>247045</v>
      </c>
    </row>
    <row r="1300" spans="2:4">
      <c r="B1300" s="412" t="s">
        <v>1557</v>
      </c>
      <c r="C1300" s="1112">
        <v>12994</v>
      </c>
      <c r="D1300" s="1112">
        <v>247045</v>
      </c>
    </row>
    <row r="1301" spans="2:4">
      <c r="B1301" s="412" t="s">
        <v>1558</v>
      </c>
      <c r="C1301" s="1112">
        <v>12994</v>
      </c>
      <c r="D1301" s="1112">
        <v>247045</v>
      </c>
    </row>
    <row r="1302" spans="2:4">
      <c r="B1302" s="412" t="s">
        <v>1559</v>
      </c>
      <c r="C1302" s="1112">
        <v>12994</v>
      </c>
      <c r="D1302" s="1112">
        <v>247045</v>
      </c>
    </row>
    <row r="1303" spans="2:4">
      <c r="B1303" s="412" t="s">
        <v>1560</v>
      </c>
      <c r="C1303" s="1112">
        <v>12994</v>
      </c>
      <c r="D1303" s="1112">
        <v>247045</v>
      </c>
    </row>
    <row r="1304" spans="2:4">
      <c r="B1304" s="412" t="s">
        <v>1561</v>
      </c>
      <c r="C1304" s="1112">
        <v>12994</v>
      </c>
      <c r="D1304" s="1112">
        <v>247045</v>
      </c>
    </row>
    <row r="1305" spans="2:4">
      <c r="B1305" s="412" t="s">
        <v>1562</v>
      </c>
      <c r="C1305" s="1112">
        <v>12994</v>
      </c>
      <c r="D1305" s="1112">
        <v>247045</v>
      </c>
    </row>
    <row r="1306" spans="2:4">
      <c r="B1306" s="412" t="s">
        <v>1563</v>
      </c>
      <c r="C1306" s="1112">
        <v>12994</v>
      </c>
      <c r="D1306" s="1112">
        <v>247045</v>
      </c>
    </row>
    <row r="1307" spans="2:4">
      <c r="B1307" s="412" t="s">
        <v>1564</v>
      </c>
      <c r="C1307" s="1112">
        <v>12994</v>
      </c>
      <c r="D1307" s="1112">
        <v>247045</v>
      </c>
    </row>
    <row r="1308" spans="2:4">
      <c r="B1308" s="412" t="s">
        <v>1565</v>
      </c>
      <c r="C1308" s="1112">
        <v>12994</v>
      </c>
      <c r="D1308" s="1112">
        <v>247045</v>
      </c>
    </row>
    <row r="1309" spans="2:4">
      <c r="B1309" s="412" t="s">
        <v>1566</v>
      </c>
      <c r="C1309" s="1112">
        <v>12994</v>
      </c>
      <c r="D1309" s="1112">
        <v>247045</v>
      </c>
    </row>
    <row r="1310" spans="2:4">
      <c r="B1310" s="412" t="s">
        <v>1567</v>
      </c>
      <c r="C1310" s="1112">
        <v>12994</v>
      </c>
      <c r="D1310" s="1112">
        <v>247045</v>
      </c>
    </row>
    <row r="1311" spans="2:4">
      <c r="B1311" s="412" t="s">
        <v>1568</v>
      </c>
      <c r="C1311" s="1112">
        <v>12994</v>
      </c>
      <c r="D1311" s="1112">
        <v>247045</v>
      </c>
    </row>
    <row r="1312" spans="2:4">
      <c r="B1312" s="412" t="s">
        <v>1569</v>
      </c>
      <c r="C1312" s="1112">
        <v>12994</v>
      </c>
      <c r="D1312" s="1112">
        <v>247045</v>
      </c>
    </row>
    <row r="1313" spans="2:4">
      <c r="B1313" s="412" t="s">
        <v>1570</v>
      </c>
      <c r="C1313" s="1112">
        <v>12994</v>
      </c>
      <c r="D1313" s="1112">
        <v>247045</v>
      </c>
    </row>
    <row r="1314" spans="2:4">
      <c r="B1314" s="412" t="s">
        <v>1571</v>
      </c>
      <c r="C1314" s="1112">
        <v>12994</v>
      </c>
      <c r="D1314" s="1112">
        <v>247045</v>
      </c>
    </row>
    <row r="1315" spans="2:4">
      <c r="B1315" s="412" t="s">
        <v>1572</v>
      </c>
      <c r="C1315" s="1112">
        <v>12994</v>
      </c>
      <c r="D1315" s="1112">
        <v>247045</v>
      </c>
    </row>
    <row r="1316" spans="2:4">
      <c r="B1316" s="412" t="s">
        <v>1573</v>
      </c>
      <c r="C1316" s="1112">
        <v>12994</v>
      </c>
      <c r="D1316" s="1112">
        <v>247045</v>
      </c>
    </row>
    <row r="1317" spans="2:4">
      <c r="B1317" s="412" t="s">
        <v>1574</v>
      </c>
      <c r="C1317" s="1112">
        <v>12994</v>
      </c>
      <c r="D1317" s="1112">
        <v>247045</v>
      </c>
    </row>
    <row r="1318" spans="2:4">
      <c r="B1318" s="412" t="s">
        <v>1575</v>
      </c>
      <c r="C1318" s="1112">
        <v>12994</v>
      </c>
      <c r="D1318" s="1112">
        <v>247045</v>
      </c>
    </row>
    <row r="1319" spans="2:4">
      <c r="B1319" s="412" t="s">
        <v>1576</v>
      </c>
      <c r="C1319" s="1112">
        <v>12994</v>
      </c>
      <c r="D1319" s="1112">
        <v>247045</v>
      </c>
    </row>
    <row r="1320" spans="2:4">
      <c r="B1320" s="412" t="s">
        <v>1577</v>
      </c>
      <c r="C1320" s="1112">
        <v>12994</v>
      </c>
      <c r="D1320" s="1112">
        <v>247045</v>
      </c>
    </row>
    <row r="1321" spans="2:4">
      <c r="B1321" s="412" t="s">
        <v>1578</v>
      </c>
      <c r="C1321" s="1112">
        <v>12994</v>
      </c>
      <c r="D1321" s="1112">
        <v>247045</v>
      </c>
    </row>
    <row r="1322" spans="2:4">
      <c r="B1322" s="412" t="s">
        <v>1579</v>
      </c>
      <c r="C1322" s="1112">
        <v>12994</v>
      </c>
      <c r="D1322" s="1112">
        <v>247045</v>
      </c>
    </row>
    <row r="1323" spans="2:4">
      <c r="B1323" s="412" t="s">
        <v>1580</v>
      </c>
      <c r="C1323" s="1112">
        <v>12994</v>
      </c>
      <c r="D1323" s="1112">
        <v>247045</v>
      </c>
    </row>
    <row r="1324" spans="2:4">
      <c r="B1324" s="412" t="s">
        <v>1581</v>
      </c>
      <c r="C1324" s="1112">
        <v>12994</v>
      </c>
      <c r="D1324" s="1112">
        <v>247045</v>
      </c>
    </row>
    <row r="1325" spans="2:4">
      <c r="B1325" s="412" t="s">
        <v>1582</v>
      </c>
      <c r="C1325" s="1112">
        <v>12994</v>
      </c>
      <c r="D1325" s="1112">
        <v>247045</v>
      </c>
    </row>
    <row r="1326" spans="2:4">
      <c r="B1326" s="412" t="s">
        <v>1583</v>
      </c>
      <c r="C1326" s="1112">
        <v>12994</v>
      </c>
      <c r="D1326" s="1112">
        <v>247045</v>
      </c>
    </row>
    <row r="1327" spans="2:4">
      <c r="B1327" s="412" t="s">
        <v>1584</v>
      </c>
      <c r="C1327" s="1112">
        <v>31326</v>
      </c>
      <c r="D1327" s="1112">
        <v>602201</v>
      </c>
    </row>
    <row r="1328" spans="2:4">
      <c r="B1328" s="412" t="s">
        <v>1585</v>
      </c>
      <c r="C1328" s="1112">
        <v>10844</v>
      </c>
      <c r="D1328" s="1112">
        <v>203359</v>
      </c>
    </row>
    <row r="1329" spans="2:4">
      <c r="B1329" s="412" t="s">
        <v>1586</v>
      </c>
      <c r="C1329" s="1112">
        <v>10951.5</v>
      </c>
      <c r="D1329" s="1112">
        <v>205543.3</v>
      </c>
    </row>
    <row r="1330" spans="2:4">
      <c r="B1330" s="412" t="s">
        <v>1587</v>
      </c>
      <c r="C1330" s="1112">
        <v>10846.171717171717</v>
      </c>
      <c r="D1330" s="1112">
        <v>203403.12727272726</v>
      </c>
    </row>
    <row r="1331" spans="2:4">
      <c r="B1331" s="412" t="s">
        <v>1588</v>
      </c>
      <c r="C1331" s="1112">
        <v>10873.673776662485</v>
      </c>
      <c r="D1331" s="1112">
        <v>203961.9435382685</v>
      </c>
    </row>
    <row r="1332" spans="2:4">
      <c r="B1332" s="412" t="s">
        <v>1589</v>
      </c>
      <c r="C1332" s="1112">
        <v>12923.060913705584</v>
      </c>
      <c r="D1332" s="1112">
        <v>245603.58375634518</v>
      </c>
    </row>
    <row r="1333" spans="2:4">
      <c r="B1333" s="412" t="s">
        <v>1590</v>
      </c>
      <c r="C1333" s="1112">
        <v>12994</v>
      </c>
      <c r="D1333" s="1112">
        <v>247045</v>
      </c>
    </row>
    <row r="1334" spans="2:4">
      <c r="B1334" s="412" t="s">
        <v>1591</v>
      </c>
      <c r="C1334" s="1112">
        <v>12994</v>
      </c>
      <c r="D1334" s="1112">
        <v>247045</v>
      </c>
    </row>
    <row r="1335" spans="2:4">
      <c r="B1335" s="412" t="s">
        <v>1592</v>
      </c>
      <c r="C1335" s="1112">
        <v>11064.236559139785</v>
      </c>
      <c r="D1335" s="1112">
        <v>207647.62365591398</v>
      </c>
    </row>
    <row r="1336" spans="2:4">
      <c r="B1336" s="412" t="s">
        <v>1593</v>
      </c>
      <c r="C1336" s="1112">
        <v>11134.023622047243</v>
      </c>
      <c r="D1336" s="1112">
        <v>209217.88976377953</v>
      </c>
    </row>
    <row r="1337" spans="2:4">
      <c r="B1337" s="412" t="s">
        <v>1594</v>
      </c>
      <c r="C1337" s="1112">
        <v>10929.460361613352</v>
      </c>
      <c r="D1337" s="1112">
        <v>205023.15299026427</v>
      </c>
    </row>
    <row r="1338" spans="2:4">
      <c r="B1338" s="412" t="s">
        <v>1595</v>
      </c>
      <c r="C1338" s="1112">
        <v>31326</v>
      </c>
      <c r="D1338" s="1112">
        <v>602201</v>
      </c>
    </row>
    <row r="1339" spans="2:4">
      <c r="B1339" s="412" t="s">
        <v>1596</v>
      </c>
      <c r="C1339" s="1112">
        <v>11006.927191679049</v>
      </c>
      <c r="D1339" s="1112">
        <v>206669.52897473998</v>
      </c>
    </row>
    <row r="1340" spans="2:4">
      <c r="B1340" s="412" t="s">
        <v>1597</v>
      </c>
      <c r="C1340" s="1112">
        <v>12994</v>
      </c>
      <c r="D1340" s="1112">
        <v>247045</v>
      </c>
    </row>
    <row r="1341" spans="2:4">
      <c r="B1341" s="412" t="s">
        <v>1598</v>
      </c>
      <c r="C1341" s="1112">
        <v>12709.853982300885</v>
      </c>
      <c r="D1341" s="1112">
        <v>241252.24336283185</v>
      </c>
    </row>
    <row r="1342" spans="2:4">
      <c r="B1342" s="412" t="s">
        <v>1599</v>
      </c>
      <c r="C1342" s="1112">
        <v>12994</v>
      </c>
      <c r="D1342" s="1112">
        <v>247045</v>
      </c>
    </row>
    <row r="1343" spans="2:4">
      <c r="B1343" s="412" t="s">
        <v>1600</v>
      </c>
      <c r="C1343" s="1112">
        <v>12994</v>
      </c>
      <c r="D1343" s="1112">
        <v>247045</v>
      </c>
    </row>
    <row r="1344" spans="2:4">
      <c r="B1344" s="412" t="s">
        <v>1601</v>
      </c>
      <c r="C1344" s="1112">
        <v>31326</v>
      </c>
      <c r="D1344" s="1112">
        <v>602201</v>
      </c>
    </row>
    <row r="1345" spans="2:4">
      <c r="B1345" s="412" t="s">
        <v>1602</v>
      </c>
      <c r="C1345" s="1112">
        <v>26605.386666666665</v>
      </c>
      <c r="D1345" s="1112">
        <v>510277.41523809521</v>
      </c>
    </row>
    <row r="1346" spans="2:4">
      <c r="B1346" s="412" t="s">
        <v>1603</v>
      </c>
      <c r="C1346" s="1112">
        <v>31326</v>
      </c>
      <c r="D1346" s="1112">
        <v>602201</v>
      </c>
    </row>
    <row r="1347" spans="2:4">
      <c r="B1347" s="412" t="s">
        <v>1604</v>
      </c>
      <c r="C1347" s="1112">
        <v>28772.688346883468</v>
      </c>
      <c r="D1347" s="1112">
        <v>552480.85907859076</v>
      </c>
    </row>
    <row r="1348" spans="2:4">
      <c r="B1348" s="412" t="s">
        <v>1605</v>
      </c>
      <c r="C1348" s="1112">
        <v>11166.551181102363</v>
      </c>
      <c r="D1348" s="1112">
        <v>209639.97637795276</v>
      </c>
    </row>
    <row r="1349" spans="2:4">
      <c r="B1349" s="412" t="s">
        <v>1606</v>
      </c>
      <c r="C1349" s="1112">
        <v>11726.444444444445</v>
      </c>
      <c r="D1349" s="1112">
        <v>220542.66893424036</v>
      </c>
    </row>
    <row r="1350" spans="2:4">
      <c r="B1350" s="412" t="s">
        <v>1607</v>
      </c>
      <c r="C1350" s="1112">
        <v>31122.7047146402</v>
      </c>
      <c r="D1350" s="1112">
        <v>598242.27047146403</v>
      </c>
    </row>
    <row r="1351" spans="2:4">
      <c r="B1351" s="412" t="s">
        <v>1608</v>
      </c>
      <c r="C1351" s="1112">
        <v>12994</v>
      </c>
      <c r="D1351" s="1112">
        <v>247045</v>
      </c>
    </row>
    <row r="1352" spans="2:4">
      <c r="B1352" s="412" t="s">
        <v>1609</v>
      </c>
      <c r="C1352" s="1112">
        <v>12994</v>
      </c>
      <c r="D1352" s="1112">
        <v>247045</v>
      </c>
    </row>
    <row r="1353" spans="2:4">
      <c r="B1353" s="412" t="s">
        <v>1610</v>
      </c>
      <c r="C1353" s="1112">
        <v>12994</v>
      </c>
      <c r="D1353" s="1112">
        <v>247045</v>
      </c>
    </row>
    <row r="1354" spans="2:4">
      <c r="B1354" s="412" t="s">
        <v>1611</v>
      </c>
      <c r="C1354" s="1112">
        <v>12994</v>
      </c>
      <c r="D1354" s="1112">
        <v>247045</v>
      </c>
    </row>
    <row r="1355" spans="2:4">
      <c r="B1355" s="412" t="s">
        <v>1612</v>
      </c>
      <c r="C1355" s="1112">
        <v>12994</v>
      </c>
      <c r="D1355" s="1112">
        <v>247045</v>
      </c>
    </row>
    <row r="1356" spans="2:4">
      <c r="B1356" s="412" t="s">
        <v>1613</v>
      </c>
      <c r="C1356" s="1112">
        <v>12994</v>
      </c>
      <c r="D1356" s="1112">
        <v>247045</v>
      </c>
    </row>
    <row r="1357" spans="2:4">
      <c r="B1357" s="412" t="s">
        <v>1614</v>
      </c>
      <c r="C1357" s="1112">
        <v>8343</v>
      </c>
      <c r="D1357" s="1112">
        <v>152694</v>
      </c>
    </row>
    <row r="1358" spans="2:4">
      <c r="B1358" s="412" t="s">
        <v>1615</v>
      </c>
      <c r="C1358" s="1112">
        <v>8343</v>
      </c>
      <c r="D1358" s="1112">
        <v>152694</v>
      </c>
    </row>
    <row r="1359" spans="2:4">
      <c r="B1359" s="412" t="s">
        <v>1616</v>
      </c>
      <c r="C1359" s="1112">
        <v>8343</v>
      </c>
      <c r="D1359" s="1112">
        <v>152694</v>
      </c>
    </row>
    <row r="1360" spans="2:4">
      <c r="B1360" s="412" t="s">
        <v>1617</v>
      </c>
      <c r="C1360" s="1112">
        <v>12994</v>
      </c>
      <c r="D1360" s="1112">
        <v>247045</v>
      </c>
    </row>
    <row r="1361" spans="2:4">
      <c r="B1361" s="412" t="s">
        <v>1618</v>
      </c>
      <c r="C1361" s="1112">
        <v>12994</v>
      </c>
      <c r="D1361" s="1112">
        <v>247045</v>
      </c>
    </row>
    <row r="1362" spans="2:4">
      <c r="B1362" s="412" t="s">
        <v>1619</v>
      </c>
      <c r="C1362" s="1112">
        <v>12994</v>
      </c>
      <c r="D1362" s="1112">
        <v>247045</v>
      </c>
    </row>
    <row r="1363" spans="2:4">
      <c r="B1363" s="412" t="s">
        <v>1620</v>
      </c>
      <c r="C1363" s="1112">
        <v>12994</v>
      </c>
      <c r="D1363" s="1112">
        <v>247045</v>
      </c>
    </row>
    <row r="1364" spans="2:4">
      <c r="B1364" s="412" t="s">
        <v>1621</v>
      </c>
      <c r="C1364" s="1112">
        <v>12994</v>
      </c>
      <c r="D1364" s="1112">
        <v>247045</v>
      </c>
    </row>
    <row r="1365" spans="2:4">
      <c r="B1365" s="412" t="s">
        <v>1622</v>
      </c>
      <c r="C1365" s="1112">
        <v>12994</v>
      </c>
      <c r="D1365" s="1112">
        <v>247045</v>
      </c>
    </row>
    <row r="1366" spans="2:4">
      <c r="B1366" s="412" t="s">
        <v>1623</v>
      </c>
      <c r="C1366" s="1112">
        <v>12994</v>
      </c>
      <c r="D1366" s="1112">
        <v>247045</v>
      </c>
    </row>
    <row r="1367" spans="2:4">
      <c r="B1367" s="412" t="s">
        <v>1624</v>
      </c>
      <c r="C1367" s="1112">
        <v>16010</v>
      </c>
      <c r="D1367" s="1112">
        <v>305377</v>
      </c>
    </row>
    <row r="1368" spans="2:4">
      <c r="B1368" s="412" t="s">
        <v>1625</v>
      </c>
      <c r="C1368" s="1112">
        <v>16010</v>
      </c>
      <c r="D1368" s="1112">
        <v>305377</v>
      </c>
    </row>
    <row r="1369" spans="2:4">
      <c r="B1369" s="412" t="s">
        <v>1626</v>
      </c>
      <c r="C1369" s="1112">
        <v>16010</v>
      </c>
      <c r="D1369" s="1112">
        <v>305377</v>
      </c>
    </row>
    <row r="1370" spans="2:4">
      <c r="B1370" s="412" t="s">
        <v>1627</v>
      </c>
      <c r="C1370" s="1112">
        <v>16010</v>
      </c>
      <c r="D1370" s="1112">
        <v>305377</v>
      </c>
    </row>
    <row r="1371" spans="2:4">
      <c r="B1371" s="412" t="s">
        <v>1628</v>
      </c>
      <c r="C1371" s="1112">
        <v>12987.482233502538</v>
      </c>
      <c r="D1371" s="1112">
        <v>246897.58883248732</v>
      </c>
    </row>
    <row r="1372" spans="2:4">
      <c r="B1372" s="412" t="s">
        <v>1629</v>
      </c>
      <c r="C1372" s="1112">
        <v>15921.619047619048</v>
      </c>
      <c r="D1372" s="1112">
        <v>303667.63736263738</v>
      </c>
    </row>
    <row r="1373" spans="2:4">
      <c r="B1373" s="412" t="s">
        <v>1630</v>
      </c>
      <c r="C1373" s="1112">
        <v>16010</v>
      </c>
      <c r="D1373" s="1112">
        <v>305377</v>
      </c>
    </row>
    <row r="1374" spans="2:4">
      <c r="B1374" s="412" t="s">
        <v>1631</v>
      </c>
      <c r="C1374" s="1112">
        <v>16010</v>
      </c>
      <c r="D1374" s="1112">
        <v>305377</v>
      </c>
    </row>
    <row r="1375" spans="2:4">
      <c r="B1375" s="412" t="s">
        <v>1632</v>
      </c>
      <c r="C1375" s="1112">
        <v>16010</v>
      </c>
      <c r="D1375" s="1112">
        <v>305377</v>
      </c>
    </row>
    <row r="1376" spans="2:4">
      <c r="B1376" s="412" t="s">
        <v>1633</v>
      </c>
      <c r="C1376" s="1112">
        <v>16010</v>
      </c>
      <c r="D1376" s="1112">
        <v>305377</v>
      </c>
    </row>
    <row r="1377" spans="2:4">
      <c r="B1377" s="412" t="s">
        <v>1634</v>
      </c>
      <c r="C1377" s="1112">
        <v>15915.565557729942</v>
      </c>
      <c r="D1377" s="1112">
        <v>303550.55772994127</v>
      </c>
    </row>
    <row r="1378" spans="2:4">
      <c r="B1378" s="412" t="s">
        <v>1635</v>
      </c>
      <c r="C1378" s="1112">
        <v>15997.274261603376</v>
      </c>
      <c r="D1378" s="1112">
        <v>305130.87341772154</v>
      </c>
    </row>
    <row r="1379" spans="2:4">
      <c r="B1379" s="412" t="s">
        <v>1636</v>
      </c>
      <c r="C1379" s="1112">
        <v>15971.083870967743</v>
      </c>
      <c r="D1379" s="1112">
        <v>304624.32903225807</v>
      </c>
    </row>
    <row r="1380" spans="2:4">
      <c r="B1380" s="412" t="s">
        <v>1637</v>
      </c>
      <c r="C1380" s="1112">
        <v>16010</v>
      </c>
      <c r="D1380" s="1112">
        <v>305377</v>
      </c>
    </row>
    <row r="1381" spans="2:4">
      <c r="B1381" s="412" t="s">
        <v>1638</v>
      </c>
      <c r="C1381" s="1112">
        <v>16010</v>
      </c>
      <c r="D1381" s="1112">
        <v>305377</v>
      </c>
    </row>
    <row r="1382" spans="2:4">
      <c r="B1382" s="412" t="s">
        <v>1639</v>
      </c>
      <c r="C1382" s="1112">
        <v>16010</v>
      </c>
      <c r="D1382" s="1112">
        <v>305377</v>
      </c>
    </row>
    <row r="1383" spans="2:4" ht="17" thickBot="1">
      <c r="B1383" s="413" t="s">
        <v>1640</v>
      </c>
      <c r="C1383" s="1113">
        <v>16010</v>
      </c>
      <c r="D1383" s="1113">
        <v>305377</v>
      </c>
    </row>
    <row r="1384" spans="2:4">
      <c r="B1384" s="415" t="s">
        <v>1641</v>
      </c>
      <c r="C1384" s="1111">
        <v>22005</v>
      </c>
      <c r="D1384" s="1111">
        <v>420523</v>
      </c>
    </row>
    <row r="1385" spans="2:4">
      <c r="B1385" s="412" t="s">
        <v>1642</v>
      </c>
      <c r="C1385" s="1112">
        <v>16176.338028169013</v>
      </c>
      <c r="D1385" s="1112">
        <v>307787.87323943659</v>
      </c>
    </row>
    <row r="1386" spans="2:4">
      <c r="B1386" s="412" t="s">
        <v>1643</v>
      </c>
      <c r="C1386" s="1112">
        <v>22005</v>
      </c>
      <c r="D1386" s="1112">
        <v>420523</v>
      </c>
    </row>
    <row r="1387" spans="2:4">
      <c r="B1387" s="412" t="s">
        <v>1644</v>
      </c>
      <c r="C1387" s="1112">
        <v>22005</v>
      </c>
      <c r="D1387" s="1112">
        <v>420523</v>
      </c>
    </row>
    <row r="1388" spans="2:4">
      <c r="B1388" s="412" t="s">
        <v>1645</v>
      </c>
      <c r="C1388" s="1112">
        <v>22005</v>
      </c>
      <c r="D1388" s="1112">
        <v>420523</v>
      </c>
    </row>
    <row r="1389" spans="2:4">
      <c r="B1389" s="412" t="s">
        <v>1646</v>
      </c>
      <c r="C1389" s="1112">
        <v>19114.087982832618</v>
      </c>
      <c r="D1389" s="1112">
        <v>364608.39484978543</v>
      </c>
    </row>
    <row r="1390" spans="2:4">
      <c r="B1390" s="412" t="s">
        <v>1647</v>
      </c>
      <c r="C1390" s="1112">
        <v>22005</v>
      </c>
      <c r="D1390" s="1112">
        <v>420523</v>
      </c>
    </row>
    <row r="1391" spans="2:4">
      <c r="B1391" s="412" t="s">
        <v>1648</v>
      </c>
      <c r="C1391" s="1112">
        <v>20958.504098360656</v>
      </c>
      <c r="D1391" s="1112">
        <v>400282.18852459016</v>
      </c>
    </row>
    <row r="1392" spans="2:4">
      <c r="B1392" s="412" t="s">
        <v>1649</v>
      </c>
      <c r="C1392" s="1112">
        <v>22005</v>
      </c>
      <c r="D1392" s="1112">
        <v>420523</v>
      </c>
    </row>
    <row r="1393" spans="2:4">
      <c r="B1393" s="412" t="s">
        <v>1650</v>
      </c>
      <c r="C1393" s="1112">
        <v>22005</v>
      </c>
      <c r="D1393" s="1112">
        <v>420523</v>
      </c>
    </row>
    <row r="1394" spans="2:4">
      <c r="B1394" s="412" t="s">
        <v>1651</v>
      </c>
      <c r="C1394" s="1112">
        <v>22005</v>
      </c>
      <c r="D1394" s="1112">
        <v>420523</v>
      </c>
    </row>
    <row r="1395" spans="2:4">
      <c r="B1395" s="412" t="s">
        <v>1652</v>
      </c>
      <c r="C1395" s="1112">
        <v>22005</v>
      </c>
      <c r="D1395" s="1112">
        <v>420523</v>
      </c>
    </row>
    <row r="1396" spans="2:4">
      <c r="B1396" s="412" t="s">
        <v>1653</v>
      </c>
      <c r="C1396" s="1112">
        <v>13922.01</v>
      </c>
      <c r="D1396" s="1112">
        <v>264185.76400000002</v>
      </c>
    </row>
    <row r="1397" spans="2:4">
      <c r="B1397" s="412" t="s">
        <v>1654</v>
      </c>
      <c r="C1397" s="1112">
        <v>13200</v>
      </c>
      <c r="D1397" s="1112">
        <v>250221</v>
      </c>
    </row>
    <row r="1398" spans="2:4">
      <c r="B1398" s="412" t="s">
        <v>1655</v>
      </c>
      <c r="C1398" s="1112">
        <v>13200</v>
      </c>
      <c r="D1398" s="1112">
        <v>250221</v>
      </c>
    </row>
    <row r="1399" spans="2:4">
      <c r="B1399" s="412" t="s">
        <v>1656</v>
      </c>
      <c r="C1399" s="1112">
        <v>13200</v>
      </c>
      <c r="D1399" s="1112">
        <v>250221</v>
      </c>
    </row>
    <row r="1400" spans="2:4">
      <c r="B1400" s="412" t="s">
        <v>1657</v>
      </c>
      <c r="C1400" s="1112">
        <v>20468.537688442211</v>
      </c>
      <c r="D1400" s="1112">
        <v>390931.42211055278</v>
      </c>
    </row>
    <row r="1401" spans="2:4">
      <c r="B1401" s="412" t="s">
        <v>1658</v>
      </c>
      <c r="C1401" s="1112">
        <v>20900.467455621303</v>
      </c>
      <c r="D1401" s="1112">
        <v>399159.67218934913</v>
      </c>
    </row>
    <row r="1402" spans="2:4">
      <c r="B1402" s="412" t="s">
        <v>1659</v>
      </c>
      <c r="C1402" s="1112">
        <v>13282.034161490683</v>
      </c>
      <c r="D1402" s="1112">
        <v>251807.6645962733</v>
      </c>
    </row>
    <row r="1403" spans="2:4">
      <c r="B1403" s="412" t="s">
        <v>1660</v>
      </c>
      <c r="C1403" s="1112">
        <v>22005</v>
      </c>
      <c r="D1403" s="1112">
        <v>420523</v>
      </c>
    </row>
    <row r="1404" spans="2:4">
      <c r="B1404" s="412" t="s">
        <v>1661</v>
      </c>
      <c r="C1404" s="1112">
        <v>14807.869565217392</v>
      </c>
      <c r="D1404" s="1112">
        <v>281319.62608695653</v>
      </c>
    </row>
    <row r="1405" spans="2:4">
      <c r="B1405" s="412" t="s">
        <v>1662</v>
      </c>
      <c r="C1405" s="1112">
        <v>13200</v>
      </c>
      <c r="D1405" s="1112">
        <v>250221</v>
      </c>
    </row>
    <row r="1406" spans="2:4">
      <c r="B1406" s="412" t="s">
        <v>1663</v>
      </c>
      <c r="C1406" s="1112">
        <v>22005</v>
      </c>
      <c r="D1406" s="1112">
        <v>420523</v>
      </c>
    </row>
    <row r="1407" spans="2:4">
      <c r="B1407" s="412" t="s">
        <v>1664</v>
      </c>
      <c r="C1407" s="1112">
        <v>13200</v>
      </c>
      <c r="D1407" s="1112">
        <v>250221</v>
      </c>
    </row>
    <row r="1408" spans="2:4">
      <c r="B1408" s="412" t="s">
        <v>1665</v>
      </c>
      <c r="C1408" s="1112">
        <v>13162.553642384106</v>
      </c>
      <c r="D1408" s="1112">
        <v>249476.17350993378</v>
      </c>
    </row>
    <row r="1409" spans="2:4">
      <c r="B1409" s="412" t="s">
        <v>1666</v>
      </c>
      <c r="C1409" s="1112">
        <v>13200</v>
      </c>
      <c r="D1409" s="1112">
        <v>250221</v>
      </c>
    </row>
    <row r="1410" spans="2:4">
      <c r="B1410" s="412" t="s">
        <v>1667</v>
      </c>
      <c r="C1410" s="1112">
        <v>13133.696060037524</v>
      </c>
      <c r="D1410" s="1112">
        <v>248902.18198874296</v>
      </c>
    </row>
    <row r="1411" spans="2:4">
      <c r="B1411" s="412" t="s">
        <v>1668</v>
      </c>
      <c r="C1411" s="1112">
        <v>13200</v>
      </c>
      <c r="D1411" s="1112">
        <v>250221</v>
      </c>
    </row>
    <row r="1412" spans="2:4">
      <c r="B1412" s="412" t="s">
        <v>1669</v>
      </c>
      <c r="C1412" s="1112">
        <v>13199.700145560408</v>
      </c>
      <c r="D1412" s="1112">
        <v>250216.37700145561</v>
      </c>
    </row>
    <row r="1413" spans="2:4">
      <c r="B1413" s="412" t="s">
        <v>1670</v>
      </c>
      <c r="C1413" s="1112">
        <v>13209.162330905307</v>
      </c>
      <c r="D1413" s="1112">
        <v>250398.21331945891</v>
      </c>
    </row>
    <row r="1414" spans="2:4">
      <c r="B1414" s="412" t="s">
        <v>1671</v>
      </c>
      <c r="C1414" s="1112">
        <v>13139.680722891566</v>
      </c>
      <c r="D1414" s="1112">
        <v>249021.21987951806</v>
      </c>
    </row>
    <row r="1415" spans="2:4">
      <c r="B1415" s="412" t="s">
        <v>1672</v>
      </c>
      <c r="C1415" s="1112">
        <v>13200</v>
      </c>
      <c r="D1415" s="1112">
        <v>250221</v>
      </c>
    </row>
    <row r="1416" spans="2:4">
      <c r="B1416" s="412" t="s">
        <v>1673</v>
      </c>
      <c r="C1416" s="1112">
        <v>10844</v>
      </c>
      <c r="D1416" s="1112">
        <v>203359</v>
      </c>
    </row>
    <row r="1417" spans="2:4">
      <c r="B1417" s="412" t="s">
        <v>1674</v>
      </c>
      <c r="C1417" s="1112">
        <v>22005</v>
      </c>
      <c r="D1417" s="1112">
        <v>420523</v>
      </c>
    </row>
    <row r="1418" spans="2:4">
      <c r="B1418" s="412" t="s">
        <v>1675</v>
      </c>
      <c r="C1418" s="1112">
        <v>10844</v>
      </c>
      <c r="D1418" s="1112">
        <v>203359</v>
      </c>
    </row>
    <row r="1419" spans="2:4">
      <c r="B1419" s="412" t="s">
        <v>1676</v>
      </c>
      <c r="C1419" s="1112">
        <v>22005</v>
      </c>
      <c r="D1419" s="1112">
        <v>420523</v>
      </c>
    </row>
    <row r="1420" spans="2:4">
      <c r="B1420" s="412" t="s">
        <v>1677</v>
      </c>
      <c r="C1420" s="1112">
        <v>22005</v>
      </c>
      <c r="D1420" s="1112">
        <v>420523</v>
      </c>
    </row>
    <row r="1421" spans="2:4">
      <c r="B1421" s="412" t="s">
        <v>1678</v>
      </c>
      <c r="C1421" s="1112">
        <v>22005</v>
      </c>
      <c r="D1421" s="1112">
        <v>420523</v>
      </c>
    </row>
    <row r="1422" spans="2:4">
      <c r="B1422" s="412" t="s">
        <v>1679</v>
      </c>
      <c r="C1422" s="1112">
        <v>13200</v>
      </c>
      <c r="D1422" s="1112">
        <v>250221</v>
      </c>
    </row>
    <row r="1423" spans="2:4">
      <c r="B1423" s="412" t="s">
        <v>1680</v>
      </c>
      <c r="C1423" s="1112">
        <v>21735.459183673469</v>
      </c>
      <c r="D1423" s="1112">
        <v>415309.67346938775</v>
      </c>
    </row>
    <row r="1424" spans="2:4">
      <c r="B1424" s="412" t="s">
        <v>1681</v>
      </c>
      <c r="C1424" s="1112">
        <v>22005</v>
      </c>
      <c r="D1424" s="1112">
        <v>420523</v>
      </c>
    </row>
    <row r="1425" spans="2:4">
      <c r="B1425" s="412" t="s">
        <v>1682</v>
      </c>
      <c r="C1425" s="1112">
        <v>20244</v>
      </c>
      <c r="D1425" s="1112">
        <v>386462.6</v>
      </c>
    </row>
    <row r="1426" spans="2:4">
      <c r="B1426" s="412" t="s">
        <v>1683</v>
      </c>
      <c r="C1426" s="1112">
        <v>16586.538461538461</v>
      </c>
      <c r="D1426" s="1112">
        <v>315721.76923076925</v>
      </c>
    </row>
    <row r="1427" spans="2:4">
      <c r="B1427" s="412" t="s">
        <v>1684</v>
      </c>
      <c r="C1427" s="1112">
        <v>13200</v>
      </c>
      <c r="D1427" s="1112">
        <v>250221</v>
      </c>
    </row>
    <row r="1428" spans="2:4">
      <c r="B1428" s="412" t="s">
        <v>1685</v>
      </c>
      <c r="C1428" s="1112">
        <v>22005</v>
      </c>
      <c r="D1428" s="1112">
        <v>420523</v>
      </c>
    </row>
    <row r="1429" spans="2:4">
      <c r="B1429" s="412" t="s">
        <v>1686</v>
      </c>
      <c r="C1429" s="1112">
        <v>15756.290322580646</v>
      </c>
      <c r="D1429" s="1112">
        <v>299663.51612903224</v>
      </c>
    </row>
    <row r="1430" spans="2:4">
      <c r="B1430" s="412" t="s">
        <v>1687</v>
      </c>
      <c r="C1430" s="1112">
        <v>22005</v>
      </c>
      <c r="D1430" s="1112">
        <v>420523</v>
      </c>
    </row>
    <row r="1431" spans="2:4">
      <c r="B1431" s="412" t="s">
        <v>1688</v>
      </c>
      <c r="C1431" s="1112">
        <v>13200</v>
      </c>
      <c r="D1431" s="1112">
        <v>250221</v>
      </c>
    </row>
    <row r="1432" spans="2:4">
      <c r="B1432" s="412" t="s">
        <v>1689</v>
      </c>
      <c r="C1432" s="1112">
        <v>21614.286846275754</v>
      </c>
      <c r="D1432" s="1112">
        <v>412966.01743264659</v>
      </c>
    </row>
    <row r="1433" spans="2:4">
      <c r="B1433" s="412" t="s">
        <v>1690</v>
      </c>
      <c r="C1433" s="1112">
        <v>10844</v>
      </c>
      <c r="D1433" s="1112">
        <v>203359</v>
      </c>
    </row>
    <row r="1434" spans="2:4">
      <c r="B1434" s="412" t="s">
        <v>1691</v>
      </c>
      <c r="C1434" s="1112">
        <v>12984.271493212669</v>
      </c>
      <c r="D1434" s="1112">
        <v>246847.3257918552</v>
      </c>
    </row>
    <row r="1435" spans="2:4">
      <c r="B1435" s="412" t="s">
        <v>1692</v>
      </c>
      <c r="C1435" s="1112">
        <v>12994</v>
      </c>
      <c r="D1435" s="1112">
        <v>247045</v>
      </c>
    </row>
    <row r="1436" spans="2:4">
      <c r="B1436" s="412" t="s">
        <v>1693</v>
      </c>
      <c r="C1436" s="1112">
        <v>12900.223404255319</v>
      </c>
      <c r="D1436" s="1112">
        <v>245139.54680851064</v>
      </c>
    </row>
    <row r="1437" spans="2:4">
      <c r="B1437" s="412" t="s">
        <v>1694</v>
      </c>
      <c r="C1437" s="1112">
        <v>10887.086172344689</v>
      </c>
      <c r="D1437" s="1112">
        <v>204234.47094188377</v>
      </c>
    </row>
    <row r="1438" spans="2:4">
      <c r="B1438" s="412" t="s">
        <v>1695</v>
      </c>
      <c r="C1438" s="1112">
        <v>10844</v>
      </c>
      <c r="D1438" s="1112">
        <v>203359</v>
      </c>
    </row>
    <row r="1439" spans="2:4">
      <c r="B1439" s="412" t="s">
        <v>1696</v>
      </c>
      <c r="C1439" s="1112">
        <v>10852.26923076923</v>
      </c>
      <c r="D1439" s="1112">
        <v>203527.02307692307</v>
      </c>
    </row>
    <row r="1440" spans="2:4">
      <c r="B1440" s="412" t="s">
        <v>1697</v>
      </c>
      <c r="C1440" s="1112">
        <v>10844</v>
      </c>
      <c r="D1440" s="1112">
        <v>203359</v>
      </c>
    </row>
    <row r="1441" spans="2:4">
      <c r="B1441" s="412" t="s">
        <v>1698</v>
      </c>
      <c r="C1441" s="1112">
        <v>12957.559322033898</v>
      </c>
      <c r="D1441" s="1112">
        <v>246304.55932203389</v>
      </c>
    </row>
    <row r="1442" spans="2:4">
      <c r="B1442" s="412" t="s">
        <v>1699</v>
      </c>
      <c r="C1442" s="1112">
        <v>10844</v>
      </c>
      <c r="D1442" s="1112">
        <v>203359</v>
      </c>
    </row>
    <row r="1443" spans="2:4">
      <c r="B1443" s="412" t="s">
        <v>1700</v>
      </c>
      <c r="C1443" s="1112">
        <v>10844</v>
      </c>
      <c r="D1443" s="1112">
        <v>203359</v>
      </c>
    </row>
    <row r="1444" spans="2:4">
      <c r="B1444" s="412" t="s">
        <v>1701</v>
      </c>
      <c r="C1444" s="1112">
        <v>10875.095041322315</v>
      </c>
      <c r="D1444" s="1112">
        <v>203990.82231404958</v>
      </c>
    </row>
    <row r="1445" spans="2:4">
      <c r="B1445" s="412" t="s">
        <v>1702</v>
      </c>
      <c r="C1445" s="1112">
        <v>12771.586206896553</v>
      </c>
      <c r="D1445" s="1112">
        <v>242525.75862068965</v>
      </c>
    </row>
    <row r="1446" spans="2:4">
      <c r="B1446" s="412" t="s">
        <v>1703</v>
      </c>
      <c r="C1446" s="1112">
        <v>12994</v>
      </c>
      <c r="D1446" s="1112">
        <v>247045</v>
      </c>
    </row>
    <row r="1447" spans="2:4">
      <c r="B1447" s="412" t="s">
        <v>1704</v>
      </c>
      <c r="C1447" s="1112">
        <v>12994</v>
      </c>
      <c r="D1447" s="1112">
        <v>247045</v>
      </c>
    </row>
    <row r="1448" spans="2:4">
      <c r="B1448" s="412" t="s">
        <v>1705</v>
      </c>
      <c r="C1448" s="1112">
        <v>12994</v>
      </c>
      <c r="D1448" s="1112">
        <v>247045</v>
      </c>
    </row>
    <row r="1449" spans="2:4">
      <c r="B1449" s="412" t="s">
        <v>1706</v>
      </c>
      <c r="C1449" s="1112">
        <v>10844</v>
      </c>
      <c r="D1449" s="1112">
        <v>203359</v>
      </c>
    </row>
    <row r="1450" spans="2:4">
      <c r="B1450" s="412" t="s">
        <v>1707</v>
      </c>
      <c r="C1450" s="1112">
        <v>10844</v>
      </c>
      <c r="D1450" s="1112">
        <v>203359</v>
      </c>
    </row>
    <row r="1451" spans="2:4">
      <c r="B1451" s="412" t="s">
        <v>1708</v>
      </c>
      <c r="C1451" s="1112">
        <v>11222.103448275862</v>
      </c>
      <c r="D1451" s="1112">
        <v>211041.71034482759</v>
      </c>
    </row>
    <row r="1452" spans="2:4">
      <c r="B1452" s="412" t="s">
        <v>1709</v>
      </c>
      <c r="C1452" s="1112">
        <v>11793.476047904192</v>
      </c>
      <c r="D1452" s="1112">
        <v>222651.47005988023</v>
      </c>
    </row>
    <row r="1453" spans="2:4">
      <c r="B1453" s="412" t="s">
        <v>1710</v>
      </c>
      <c r="C1453" s="1112">
        <v>12983.858490566037</v>
      </c>
      <c r="D1453" s="1112">
        <v>246838.93396226416</v>
      </c>
    </row>
    <row r="1454" spans="2:4">
      <c r="B1454" s="412" t="s">
        <v>1711</v>
      </c>
      <c r="C1454" s="1112">
        <v>12994</v>
      </c>
      <c r="D1454" s="1112">
        <v>247045</v>
      </c>
    </row>
    <row r="1455" spans="2:4">
      <c r="B1455" s="412" t="s">
        <v>1712</v>
      </c>
      <c r="C1455" s="1112">
        <v>12994</v>
      </c>
      <c r="D1455" s="1112">
        <v>247045</v>
      </c>
    </row>
    <row r="1456" spans="2:4">
      <c r="B1456" s="412" t="s">
        <v>1713</v>
      </c>
      <c r="C1456" s="1112">
        <v>12994</v>
      </c>
      <c r="D1456" s="1112">
        <v>247045</v>
      </c>
    </row>
    <row r="1457" spans="2:4">
      <c r="B1457" s="412" t="s">
        <v>1714</v>
      </c>
      <c r="C1457" s="1112">
        <v>12994</v>
      </c>
      <c r="D1457" s="1112">
        <v>247045</v>
      </c>
    </row>
    <row r="1458" spans="2:4">
      <c r="B1458" s="412" t="s">
        <v>1715</v>
      </c>
      <c r="C1458" s="1112">
        <v>12994</v>
      </c>
      <c r="D1458" s="1112">
        <v>247045</v>
      </c>
    </row>
    <row r="1459" spans="2:4">
      <c r="B1459" s="412" t="s">
        <v>1716</v>
      </c>
      <c r="C1459" s="1112">
        <v>12994</v>
      </c>
      <c r="D1459" s="1112">
        <v>247045</v>
      </c>
    </row>
    <row r="1460" spans="2:4">
      <c r="B1460" s="412" t="s">
        <v>1717</v>
      </c>
      <c r="C1460" s="1112">
        <v>12994</v>
      </c>
      <c r="D1460" s="1112">
        <v>247045</v>
      </c>
    </row>
    <row r="1461" spans="2:4">
      <c r="B1461" s="412" t="s">
        <v>1718</v>
      </c>
      <c r="C1461" s="1112">
        <v>12994</v>
      </c>
      <c r="D1461" s="1112">
        <v>247045</v>
      </c>
    </row>
    <row r="1462" spans="2:4">
      <c r="B1462" s="412" t="s">
        <v>1719</v>
      </c>
      <c r="C1462" s="1112">
        <v>13330.812182741116</v>
      </c>
      <c r="D1462" s="1112">
        <v>253559.23350253806</v>
      </c>
    </row>
    <row r="1463" spans="2:4">
      <c r="B1463" s="412" t="s">
        <v>1720</v>
      </c>
      <c r="C1463" s="1112">
        <v>12994</v>
      </c>
      <c r="D1463" s="1112">
        <v>247045</v>
      </c>
    </row>
    <row r="1464" spans="2:4">
      <c r="B1464" s="412" t="s">
        <v>1721</v>
      </c>
      <c r="C1464" s="1112">
        <v>15840.017167381975</v>
      </c>
      <c r="D1464" s="1112">
        <v>302020.18454935623</v>
      </c>
    </row>
    <row r="1465" spans="2:4">
      <c r="B1465" s="412" t="s">
        <v>1722</v>
      </c>
      <c r="C1465" s="1112">
        <v>10926.544642857143</v>
      </c>
      <c r="D1465" s="1112">
        <v>205036.23035714286</v>
      </c>
    </row>
    <row r="1466" spans="2:4">
      <c r="B1466" s="412" t="s">
        <v>1723</v>
      </c>
      <c r="C1466" s="1112">
        <v>12994</v>
      </c>
      <c r="D1466" s="1112">
        <v>247045</v>
      </c>
    </row>
    <row r="1467" spans="2:4">
      <c r="B1467" s="412" t="s">
        <v>1724</v>
      </c>
      <c r="C1467" s="1112">
        <v>12889.086898395723</v>
      </c>
      <c r="D1467" s="1112">
        <v>244913.26336898396</v>
      </c>
    </row>
    <row r="1468" spans="2:4">
      <c r="B1468" s="412" t="s">
        <v>1725</v>
      </c>
      <c r="C1468" s="1112">
        <v>12994</v>
      </c>
      <c r="D1468" s="1112">
        <v>247045</v>
      </c>
    </row>
    <row r="1469" spans="2:4">
      <c r="B1469" s="412" t="s">
        <v>1726</v>
      </c>
      <c r="C1469" s="1112">
        <v>12987.238993710691</v>
      </c>
      <c r="D1469" s="1112">
        <v>246907.62264150943</v>
      </c>
    </row>
    <row r="1470" spans="2:4">
      <c r="B1470" s="412" t="s">
        <v>1727</v>
      </c>
      <c r="C1470" s="1112">
        <v>10875.272727272728</v>
      </c>
      <c r="D1470" s="1112">
        <v>203994.43272727274</v>
      </c>
    </row>
    <row r="1471" spans="2:4">
      <c r="B1471" s="412" t="s">
        <v>1728</v>
      </c>
      <c r="C1471" s="1112">
        <v>10949.56112224449</v>
      </c>
      <c r="D1471" s="1112">
        <v>205503.90380761522</v>
      </c>
    </row>
    <row r="1472" spans="2:4">
      <c r="B1472" s="412" t="s">
        <v>1729</v>
      </c>
      <c r="C1472" s="1112">
        <v>10855.039794608472</v>
      </c>
      <c r="D1472" s="1112">
        <v>203583.31835686779</v>
      </c>
    </row>
    <row r="1473" spans="2:4">
      <c r="B1473" s="412" t="s">
        <v>1730</v>
      </c>
      <c r="C1473" s="1112">
        <v>12964.588235294117</v>
      </c>
      <c r="D1473" s="1112">
        <v>246447.38030095759</v>
      </c>
    </row>
    <row r="1474" spans="2:4">
      <c r="B1474" s="412" t="s">
        <v>1731</v>
      </c>
      <c r="C1474" s="1112">
        <v>10844</v>
      </c>
      <c r="D1474" s="1112">
        <v>203359</v>
      </c>
    </row>
    <row r="1475" spans="2:4">
      <c r="B1475" s="412" t="s">
        <v>1732</v>
      </c>
      <c r="C1475" s="1112">
        <v>14999.669114047969</v>
      </c>
      <c r="D1475" s="1112">
        <v>285701.48458149779</v>
      </c>
    </row>
    <row r="1476" spans="2:4">
      <c r="B1476" s="412" t="s">
        <v>1733</v>
      </c>
      <c r="C1476" s="1112">
        <v>15041.375</v>
      </c>
      <c r="D1476" s="1112">
        <v>286248.625</v>
      </c>
    </row>
    <row r="1477" spans="2:4">
      <c r="B1477" s="412" t="s">
        <v>1734</v>
      </c>
      <c r="C1477" s="1112">
        <v>14082.005512679161</v>
      </c>
      <c r="D1477" s="1112">
        <v>267303.02756339579</v>
      </c>
    </row>
    <row r="1478" spans="2:4">
      <c r="B1478" s="412" t="s">
        <v>1735</v>
      </c>
      <c r="C1478" s="1112">
        <v>15123.6346782988</v>
      </c>
      <c r="D1478" s="1112">
        <v>288225.91494002182</v>
      </c>
    </row>
    <row r="1479" spans="2:4">
      <c r="B1479" s="412" t="s">
        <v>1736</v>
      </c>
      <c r="C1479" s="1112">
        <v>10844</v>
      </c>
      <c r="D1479" s="1112">
        <v>203359</v>
      </c>
    </row>
    <row r="1480" spans="2:4">
      <c r="B1480" s="412" t="s">
        <v>1737</v>
      </c>
      <c r="C1480" s="1112">
        <v>15858.731673582295</v>
      </c>
      <c r="D1480" s="1112">
        <v>302403.34439834027</v>
      </c>
    </row>
    <row r="1481" spans="2:4">
      <c r="B1481" s="412" t="s">
        <v>1738</v>
      </c>
      <c r="C1481" s="1112">
        <v>16010</v>
      </c>
      <c r="D1481" s="1112">
        <v>305377</v>
      </c>
    </row>
    <row r="1482" spans="2:4">
      <c r="B1482" s="412" t="s">
        <v>1739</v>
      </c>
      <c r="C1482" s="1112">
        <v>11000.680161943319</v>
      </c>
      <c r="D1482" s="1112">
        <v>206542.59514170041</v>
      </c>
    </row>
    <row r="1483" spans="2:4">
      <c r="B1483" s="412" t="s">
        <v>1740</v>
      </c>
      <c r="C1483" s="1112">
        <v>10894.105932203391</v>
      </c>
      <c r="D1483" s="1112">
        <v>204377.10593220338</v>
      </c>
    </row>
    <row r="1484" spans="2:4">
      <c r="B1484" s="412" t="s">
        <v>1741</v>
      </c>
      <c r="C1484" s="1112">
        <v>10861.562968005446</v>
      </c>
      <c r="D1484" s="1112">
        <v>203715.863172226</v>
      </c>
    </row>
    <row r="1485" spans="2:4">
      <c r="B1485" s="412" t="s">
        <v>1742</v>
      </c>
      <c r="C1485" s="1112">
        <v>12426.53774385072</v>
      </c>
      <c r="D1485" s="1112">
        <v>235497.17811704834</v>
      </c>
    </row>
    <row r="1486" spans="2:4">
      <c r="B1486" s="412" t="s">
        <v>1743</v>
      </c>
      <c r="C1486" s="1112">
        <v>10846.508751458576</v>
      </c>
      <c r="D1486" s="1112">
        <v>203409.97549591598</v>
      </c>
    </row>
    <row r="1487" spans="2:4">
      <c r="B1487" s="412" t="s">
        <v>1744</v>
      </c>
      <c r="C1487" s="1112">
        <v>15484.878048780487</v>
      </c>
      <c r="D1487" s="1112">
        <v>295066.80487804877</v>
      </c>
    </row>
    <row r="1488" spans="2:4">
      <c r="B1488" s="412" t="s">
        <v>1745</v>
      </c>
      <c r="C1488" s="1112">
        <v>10844</v>
      </c>
      <c r="D1488" s="1112">
        <v>203359</v>
      </c>
    </row>
    <row r="1489" spans="2:4">
      <c r="B1489" s="412" t="s">
        <v>1746</v>
      </c>
      <c r="C1489" s="1112">
        <v>10844</v>
      </c>
      <c r="D1489" s="1112">
        <v>203359</v>
      </c>
    </row>
    <row r="1490" spans="2:4">
      <c r="B1490" s="412" t="s">
        <v>1747</v>
      </c>
      <c r="C1490" s="1112">
        <v>10844</v>
      </c>
      <c r="D1490" s="1112">
        <v>203359</v>
      </c>
    </row>
    <row r="1491" spans="2:4">
      <c r="B1491" s="412" t="s">
        <v>1748</v>
      </c>
      <c r="C1491" s="1112">
        <v>12949.13910355487</v>
      </c>
      <c r="D1491" s="1112">
        <v>246133.4683153014</v>
      </c>
    </row>
    <row r="1492" spans="2:4">
      <c r="B1492" s="412" t="s">
        <v>1749</v>
      </c>
      <c r="C1492" s="1112">
        <v>12994</v>
      </c>
      <c r="D1492" s="1112">
        <v>247045</v>
      </c>
    </row>
    <row r="1493" spans="2:4">
      <c r="B1493" s="412" t="s">
        <v>1750</v>
      </c>
      <c r="C1493" s="1112">
        <v>12994</v>
      </c>
      <c r="D1493" s="1112">
        <v>247045</v>
      </c>
    </row>
    <row r="1494" spans="2:4">
      <c r="B1494" s="412" t="s">
        <v>1751</v>
      </c>
      <c r="C1494" s="1112">
        <v>13076.068027210884</v>
      </c>
      <c r="D1494" s="1112">
        <v>248632.26530612246</v>
      </c>
    </row>
    <row r="1495" spans="2:4">
      <c r="B1495" s="412" t="s">
        <v>1752</v>
      </c>
      <c r="C1495" s="1112">
        <v>10844</v>
      </c>
      <c r="D1495" s="1112">
        <v>203359</v>
      </c>
    </row>
    <row r="1496" spans="2:4">
      <c r="B1496" s="412" t="s">
        <v>1753</v>
      </c>
      <c r="C1496" s="1112">
        <v>11211.319749216302</v>
      </c>
      <c r="D1496" s="1112">
        <v>210822.59561128527</v>
      </c>
    </row>
    <row r="1497" spans="2:4">
      <c r="B1497" s="412" t="s">
        <v>1754</v>
      </c>
      <c r="C1497" s="1112">
        <v>10873.185520361991</v>
      </c>
      <c r="D1497" s="1112">
        <v>203952.02262443438</v>
      </c>
    </row>
    <row r="1498" spans="2:4">
      <c r="B1498" s="412" t="s">
        <v>1755</v>
      </c>
      <c r="C1498" s="1112">
        <v>11173.678483099753</v>
      </c>
      <c r="D1498" s="1112">
        <v>210057.76009892827</v>
      </c>
    </row>
    <row r="1499" spans="2:4">
      <c r="B1499" s="412" t="s">
        <v>1756</v>
      </c>
      <c r="C1499" s="1112">
        <v>10973.865771812081</v>
      </c>
      <c r="D1499" s="1112">
        <v>205997.75167785236</v>
      </c>
    </row>
    <row r="1500" spans="2:4">
      <c r="B1500" s="412" t="s">
        <v>1757</v>
      </c>
      <c r="C1500" s="1112">
        <v>11882.320209973754</v>
      </c>
      <c r="D1500" s="1112">
        <v>224456.70078740158</v>
      </c>
    </row>
    <row r="1501" spans="2:4">
      <c r="B1501" s="412" t="s">
        <v>1758</v>
      </c>
      <c r="C1501" s="1112">
        <v>11375.657608695652</v>
      </c>
      <c r="D1501" s="1112">
        <v>214161.78804347827</v>
      </c>
    </row>
    <row r="1502" spans="2:4">
      <c r="B1502" s="412" t="s">
        <v>1759</v>
      </c>
      <c r="C1502" s="1112">
        <v>12957.16199376947</v>
      </c>
      <c r="D1502" s="1112">
        <v>246296.48598130842</v>
      </c>
    </row>
    <row r="1503" spans="2:4">
      <c r="B1503" s="412" t="s">
        <v>1760</v>
      </c>
      <c r="C1503" s="1112">
        <v>12994</v>
      </c>
      <c r="D1503" s="1112">
        <v>247045</v>
      </c>
    </row>
    <row r="1504" spans="2:4">
      <c r="B1504" s="412" t="s">
        <v>1761</v>
      </c>
      <c r="C1504" s="1112">
        <v>12994</v>
      </c>
      <c r="D1504" s="1112">
        <v>247045</v>
      </c>
    </row>
    <row r="1505" spans="2:4">
      <c r="B1505" s="412" t="s">
        <v>1762</v>
      </c>
      <c r="C1505" s="1112">
        <v>12994</v>
      </c>
      <c r="D1505" s="1112">
        <v>247045</v>
      </c>
    </row>
    <row r="1506" spans="2:4">
      <c r="B1506" s="412" t="s">
        <v>1763</v>
      </c>
      <c r="C1506" s="1112">
        <v>12994</v>
      </c>
      <c r="D1506" s="1112">
        <v>247045</v>
      </c>
    </row>
    <row r="1507" spans="2:4">
      <c r="B1507" s="412" t="s">
        <v>1764</v>
      </c>
      <c r="C1507" s="1112">
        <v>12994</v>
      </c>
      <c r="D1507" s="1112">
        <v>247045</v>
      </c>
    </row>
    <row r="1508" spans="2:4">
      <c r="B1508" s="412" t="s">
        <v>1765</v>
      </c>
      <c r="C1508" s="1112">
        <v>12994</v>
      </c>
      <c r="D1508" s="1112">
        <v>247045</v>
      </c>
    </row>
    <row r="1509" spans="2:4">
      <c r="B1509" s="412" t="s">
        <v>1766</v>
      </c>
      <c r="C1509" s="1112">
        <v>12994</v>
      </c>
      <c r="D1509" s="1112">
        <v>247045</v>
      </c>
    </row>
    <row r="1510" spans="2:4">
      <c r="B1510" s="412" t="s">
        <v>1767</v>
      </c>
      <c r="C1510" s="1112">
        <v>12994</v>
      </c>
      <c r="D1510" s="1112">
        <v>247045</v>
      </c>
    </row>
    <row r="1511" spans="2:4">
      <c r="B1511" s="412" t="s">
        <v>1768</v>
      </c>
      <c r="C1511" s="1112">
        <v>12994</v>
      </c>
      <c r="D1511" s="1112">
        <v>247045</v>
      </c>
    </row>
    <row r="1512" spans="2:4">
      <c r="B1512" s="412" t="s">
        <v>1769</v>
      </c>
      <c r="C1512" s="1112">
        <v>12994</v>
      </c>
      <c r="D1512" s="1112">
        <v>247045</v>
      </c>
    </row>
    <row r="1513" spans="2:4">
      <c r="B1513" s="412" t="s">
        <v>1770</v>
      </c>
      <c r="C1513" s="1112">
        <v>12994</v>
      </c>
      <c r="D1513" s="1112">
        <v>247045</v>
      </c>
    </row>
    <row r="1514" spans="2:4">
      <c r="B1514" s="412" t="s">
        <v>1771</v>
      </c>
      <c r="C1514" s="1112">
        <v>12994</v>
      </c>
      <c r="D1514" s="1112">
        <v>247045</v>
      </c>
    </row>
    <row r="1515" spans="2:4">
      <c r="B1515" s="412" t="s">
        <v>1772</v>
      </c>
      <c r="C1515" s="1112">
        <v>12994</v>
      </c>
      <c r="D1515" s="1112">
        <v>247045</v>
      </c>
    </row>
    <row r="1516" spans="2:4">
      <c r="B1516" s="412" t="s">
        <v>1773</v>
      </c>
      <c r="C1516" s="1112">
        <v>12994</v>
      </c>
      <c r="D1516" s="1112">
        <v>247045</v>
      </c>
    </row>
    <row r="1517" spans="2:4">
      <c r="B1517" s="412" t="s">
        <v>1774</v>
      </c>
      <c r="C1517" s="1112">
        <v>12994</v>
      </c>
      <c r="D1517" s="1112">
        <v>247045</v>
      </c>
    </row>
    <row r="1518" spans="2:4">
      <c r="B1518" s="412" t="s">
        <v>1775</v>
      </c>
      <c r="C1518" s="1112">
        <v>12994</v>
      </c>
      <c r="D1518" s="1112">
        <v>247045</v>
      </c>
    </row>
    <row r="1519" spans="2:4">
      <c r="B1519" s="412" t="s">
        <v>1776</v>
      </c>
      <c r="C1519" s="1112">
        <v>12994</v>
      </c>
      <c r="D1519" s="1112">
        <v>247045</v>
      </c>
    </row>
    <row r="1520" spans="2:4">
      <c r="B1520" s="412" t="s">
        <v>1777</v>
      </c>
      <c r="C1520" s="1112">
        <v>12994</v>
      </c>
      <c r="D1520" s="1112">
        <v>247045</v>
      </c>
    </row>
    <row r="1521" spans="2:4">
      <c r="B1521" s="412" t="s">
        <v>1778</v>
      </c>
      <c r="C1521" s="1112">
        <v>12994</v>
      </c>
      <c r="D1521" s="1112">
        <v>247045</v>
      </c>
    </row>
    <row r="1522" spans="2:4">
      <c r="B1522" s="412" t="s">
        <v>1779</v>
      </c>
      <c r="C1522" s="1112">
        <v>12994</v>
      </c>
      <c r="D1522" s="1112">
        <v>247045</v>
      </c>
    </row>
    <row r="1523" spans="2:4">
      <c r="B1523" s="412" t="s">
        <v>1780</v>
      </c>
      <c r="C1523" s="1112">
        <v>12994</v>
      </c>
      <c r="D1523" s="1112">
        <v>247045</v>
      </c>
    </row>
    <row r="1524" spans="2:4">
      <c r="B1524" s="412" t="s">
        <v>1781</v>
      </c>
      <c r="C1524" s="1112">
        <v>12994</v>
      </c>
      <c r="D1524" s="1112">
        <v>247045</v>
      </c>
    </row>
    <row r="1525" spans="2:4">
      <c r="B1525" s="412" t="s">
        <v>1782</v>
      </c>
      <c r="C1525" s="1112">
        <v>12994</v>
      </c>
      <c r="D1525" s="1112">
        <v>247045</v>
      </c>
    </row>
    <row r="1526" spans="2:4">
      <c r="B1526" s="412" t="s">
        <v>1783</v>
      </c>
      <c r="C1526" s="1112">
        <v>12994</v>
      </c>
      <c r="D1526" s="1112">
        <v>247045</v>
      </c>
    </row>
    <row r="1527" spans="2:4">
      <c r="B1527" s="412" t="s">
        <v>1784</v>
      </c>
      <c r="C1527" s="1112">
        <v>12994</v>
      </c>
      <c r="D1527" s="1112">
        <v>247045</v>
      </c>
    </row>
    <row r="1528" spans="2:4">
      <c r="B1528" s="412" t="s">
        <v>1785</v>
      </c>
      <c r="C1528" s="1112">
        <v>12994</v>
      </c>
      <c r="D1528" s="1112">
        <v>247045</v>
      </c>
    </row>
    <row r="1529" spans="2:4">
      <c r="B1529" s="412" t="s">
        <v>1786</v>
      </c>
      <c r="C1529" s="1112">
        <v>12994</v>
      </c>
      <c r="D1529" s="1112">
        <v>247045</v>
      </c>
    </row>
    <row r="1530" spans="2:4">
      <c r="B1530" s="412" t="s">
        <v>1787</v>
      </c>
      <c r="C1530" s="1112">
        <v>12994</v>
      </c>
      <c r="D1530" s="1112">
        <v>247045</v>
      </c>
    </row>
    <row r="1531" spans="2:4">
      <c r="B1531" s="412" t="s">
        <v>1788</v>
      </c>
      <c r="C1531" s="1112">
        <v>12994</v>
      </c>
      <c r="D1531" s="1112">
        <v>247045</v>
      </c>
    </row>
    <row r="1532" spans="2:4">
      <c r="B1532" s="412" t="s">
        <v>1789</v>
      </c>
      <c r="C1532" s="1112">
        <v>12994</v>
      </c>
      <c r="D1532" s="1112">
        <v>247045</v>
      </c>
    </row>
    <row r="1533" spans="2:4">
      <c r="B1533" s="412" t="s">
        <v>1790</v>
      </c>
      <c r="C1533" s="1112">
        <v>12994</v>
      </c>
      <c r="D1533" s="1112">
        <v>247045</v>
      </c>
    </row>
    <row r="1534" spans="2:4">
      <c r="B1534" s="412" t="s">
        <v>1791</v>
      </c>
      <c r="C1534" s="1112">
        <v>12994</v>
      </c>
      <c r="D1534" s="1112">
        <v>247045</v>
      </c>
    </row>
    <row r="1535" spans="2:4">
      <c r="B1535" s="412" t="s">
        <v>1792</v>
      </c>
      <c r="C1535" s="1112">
        <v>12994</v>
      </c>
      <c r="D1535" s="1112">
        <v>247045</v>
      </c>
    </row>
    <row r="1536" spans="2:4">
      <c r="B1536" s="412" t="s">
        <v>1793</v>
      </c>
      <c r="C1536" s="1112">
        <v>12994</v>
      </c>
      <c r="D1536" s="1112">
        <v>247045</v>
      </c>
    </row>
    <row r="1537" spans="2:4">
      <c r="B1537" s="412" t="s">
        <v>1794</v>
      </c>
      <c r="C1537" s="1112">
        <v>10844</v>
      </c>
      <c r="D1537" s="1112">
        <v>203359</v>
      </c>
    </row>
    <row r="1538" spans="2:4">
      <c r="B1538" s="412" t="s">
        <v>1795</v>
      </c>
      <c r="C1538" s="1112">
        <v>10854.75</v>
      </c>
      <c r="D1538" s="1112">
        <v>203577.43</v>
      </c>
    </row>
    <row r="1539" spans="2:4">
      <c r="B1539" s="412" t="s">
        <v>1796</v>
      </c>
      <c r="C1539" s="1112">
        <v>10844</v>
      </c>
      <c r="D1539" s="1112">
        <v>203359</v>
      </c>
    </row>
    <row r="1540" spans="2:4">
      <c r="B1540" s="412" t="s">
        <v>1797</v>
      </c>
      <c r="C1540" s="1112">
        <v>10844</v>
      </c>
      <c r="D1540" s="1112">
        <v>203359</v>
      </c>
    </row>
    <row r="1541" spans="2:4">
      <c r="B1541" s="412" t="s">
        <v>1798</v>
      </c>
      <c r="C1541" s="1112">
        <v>10844</v>
      </c>
      <c r="D1541" s="1112">
        <v>203359</v>
      </c>
    </row>
    <row r="1542" spans="2:4">
      <c r="B1542" s="412" t="s">
        <v>1799</v>
      </c>
      <c r="C1542" s="1112">
        <v>10844</v>
      </c>
      <c r="D1542" s="1112">
        <v>203359</v>
      </c>
    </row>
    <row r="1543" spans="2:4">
      <c r="B1543" s="412" t="s">
        <v>1800</v>
      </c>
      <c r="C1543" s="1112">
        <v>10844</v>
      </c>
      <c r="D1543" s="1112">
        <v>203359</v>
      </c>
    </row>
    <row r="1544" spans="2:4">
      <c r="B1544" s="412" t="s">
        <v>1801</v>
      </c>
      <c r="C1544" s="1112">
        <v>10844</v>
      </c>
      <c r="D1544" s="1112">
        <v>203359</v>
      </c>
    </row>
    <row r="1545" spans="2:4">
      <c r="B1545" s="412" t="s">
        <v>1802</v>
      </c>
      <c r="C1545" s="1112">
        <v>10844</v>
      </c>
      <c r="D1545" s="1112">
        <v>203359</v>
      </c>
    </row>
    <row r="1546" spans="2:4">
      <c r="B1546" s="412" t="s">
        <v>1803</v>
      </c>
      <c r="C1546" s="1112">
        <v>10844</v>
      </c>
      <c r="D1546" s="1112">
        <v>203359</v>
      </c>
    </row>
    <row r="1547" spans="2:4">
      <c r="B1547" s="412" t="s">
        <v>1804</v>
      </c>
      <c r="C1547" s="1112">
        <v>10844</v>
      </c>
      <c r="D1547" s="1112">
        <v>203359</v>
      </c>
    </row>
    <row r="1548" spans="2:4">
      <c r="B1548" s="412" t="s">
        <v>1805</v>
      </c>
      <c r="C1548" s="1112">
        <v>10844</v>
      </c>
      <c r="D1548" s="1112">
        <v>203359</v>
      </c>
    </row>
    <row r="1549" spans="2:4">
      <c r="B1549" s="412" t="s">
        <v>1806</v>
      </c>
      <c r="C1549" s="1112">
        <v>10844</v>
      </c>
      <c r="D1549" s="1112">
        <v>203359</v>
      </c>
    </row>
    <row r="1550" spans="2:4">
      <c r="B1550" s="412" t="s">
        <v>1807</v>
      </c>
      <c r="C1550" s="1112">
        <v>10844</v>
      </c>
      <c r="D1550" s="1112">
        <v>203359</v>
      </c>
    </row>
    <row r="1551" spans="2:4">
      <c r="B1551" s="412" t="s">
        <v>1808</v>
      </c>
      <c r="C1551" s="1112">
        <v>10844</v>
      </c>
      <c r="D1551" s="1112">
        <v>203359</v>
      </c>
    </row>
    <row r="1552" spans="2:4">
      <c r="B1552" s="412" t="s">
        <v>1809</v>
      </c>
      <c r="C1552" s="1112">
        <v>10844</v>
      </c>
      <c r="D1552" s="1112">
        <v>203359</v>
      </c>
    </row>
    <row r="1553" spans="2:4">
      <c r="B1553" s="412" t="s">
        <v>1810</v>
      </c>
      <c r="C1553" s="1112">
        <v>10844</v>
      </c>
      <c r="D1553" s="1112">
        <v>203359</v>
      </c>
    </row>
    <row r="1554" spans="2:4">
      <c r="B1554" s="412" t="s">
        <v>1811</v>
      </c>
      <c r="C1554" s="1112">
        <v>10844</v>
      </c>
      <c r="D1554" s="1112">
        <v>203359</v>
      </c>
    </row>
    <row r="1555" spans="2:4">
      <c r="B1555" s="412" t="s">
        <v>1812</v>
      </c>
      <c r="C1555" s="1112">
        <v>10844</v>
      </c>
      <c r="D1555" s="1112">
        <v>203359</v>
      </c>
    </row>
    <row r="1556" spans="2:4">
      <c r="B1556" s="412" t="s">
        <v>1813</v>
      </c>
      <c r="C1556" s="1112">
        <v>10844</v>
      </c>
      <c r="D1556" s="1112">
        <v>203359</v>
      </c>
    </row>
    <row r="1557" spans="2:4">
      <c r="B1557" s="412" t="s">
        <v>1814</v>
      </c>
      <c r="C1557" s="1112">
        <v>10844</v>
      </c>
      <c r="D1557" s="1112">
        <v>203359</v>
      </c>
    </row>
    <row r="1558" spans="2:4">
      <c r="B1558" s="412" t="s">
        <v>1815</v>
      </c>
      <c r="C1558" s="1112">
        <v>11786.108167770419</v>
      </c>
      <c r="D1558" s="1112">
        <v>222501.76158940396</v>
      </c>
    </row>
    <row r="1559" spans="2:4">
      <c r="B1559" s="412" t="s">
        <v>1816</v>
      </c>
      <c r="C1559" s="1112">
        <v>12994</v>
      </c>
      <c r="D1559" s="1112">
        <v>247045</v>
      </c>
    </row>
    <row r="1560" spans="2:4">
      <c r="B1560" s="412" t="s">
        <v>1817</v>
      </c>
      <c r="C1560" s="1112">
        <v>12994</v>
      </c>
      <c r="D1560" s="1112">
        <v>247045</v>
      </c>
    </row>
    <row r="1561" spans="2:4">
      <c r="B1561" s="412" t="s">
        <v>1818</v>
      </c>
      <c r="C1561" s="1112">
        <v>12994</v>
      </c>
      <c r="D1561" s="1112">
        <v>247045</v>
      </c>
    </row>
    <row r="1562" spans="2:4">
      <c r="B1562" s="412" t="s">
        <v>1819</v>
      </c>
      <c r="C1562" s="1112">
        <v>12994</v>
      </c>
      <c r="D1562" s="1112">
        <v>247045</v>
      </c>
    </row>
    <row r="1563" spans="2:4">
      <c r="B1563" s="412" t="s">
        <v>1820</v>
      </c>
      <c r="C1563" s="1112">
        <v>11653.139784946237</v>
      </c>
      <c r="D1563" s="1112">
        <v>219799.96774193548</v>
      </c>
    </row>
    <row r="1564" spans="2:4">
      <c r="B1564" s="412" t="s">
        <v>1821</v>
      </c>
      <c r="C1564" s="1112">
        <v>12874.555555555555</v>
      </c>
      <c r="D1564" s="1112">
        <v>244618</v>
      </c>
    </row>
    <row r="1565" spans="2:4">
      <c r="B1565" s="412" t="s">
        <v>1822</v>
      </c>
      <c r="C1565" s="1112">
        <v>12958.560439560439</v>
      </c>
      <c r="D1565" s="1112">
        <v>246324.90109890109</v>
      </c>
    </row>
    <row r="1566" spans="2:4">
      <c r="B1566" s="412" t="s">
        <v>1823</v>
      </c>
      <c r="C1566" s="1112">
        <v>11848.891304347826</v>
      </c>
      <c r="D1566" s="1112">
        <v>223777.45652173914</v>
      </c>
    </row>
    <row r="1567" spans="2:4">
      <c r="B1567" s="412" t="s">
        <v>1824</v>
      </c>
      <c r="C1567" s="1112">
        <v>11866.815533980582</v>
      </c>
      <c r="D1567" s="1112">
        <v>224141.66019417476</v>
      </c>
    </row>
    <row r="1568" spans="2:4">
      <c r="B1568" s="412" t="s">
        <v>1825</v>
      </c>
      <c r="C1568" s="1112">
        <v>12994</v>
      </c>
      <c r="D1568" s="1112">
        <v>247045</v>
      </c>
    </row>
    <row r="1569" spans="2:4">
      <c r="B1569" s="412" t="s">
        <v>1826</v>
      </c>
      <c r="C1569" s="1112">
        <v>12994</v>
      </c>
      <c r="D1569" s="1112">
        <v>247045</v>
      </c>
    </row>
    <row r="1570" spans="2:4">
      <c r="B1570" s="412" t="s">
        <v>1827</v>
      </c>
      <c r="C1570" s="1112">
        <v>12994</v>
      </c>
      <c r="D1570" s="1112">
        <v>247045</v>
      </c>
    </row>
    <row r="1571" spans="2:4">
      <c r="B1571" s="412" t="s">
        <v>1828</v>
      </c>
      <c r="C1571" s="1112">
        <v>22005</v>
      </c>
      <c r="D1571" s="1112">
        <v>420523</v>
      </c>
    </row>
    <row r="1572" spans="2:4">
      <c r="B1572" s="412" t="s">
        <v>1829</v>
      </c>
      <c r="C1572" s="1112">
        <v>22005</v>
      </c>
      <c r="D1572" s="1112">
        <v>420523</v>
      </c>
    </row>
    <row r="1573" spans="2:4">
      <c r="B1573" s="412" t="s">
        <v>1830</v>
      </c>
      <c r="C1573" s="1112">
        <v>22005</v>
      </c>
      <c r="D1573" s="1112">
        <v>420523</v>
      </c>
    </row>
    <row r="1574" spans="2:4">
      <c r="B1574" s="412" t="s">
        <v>1831</v>
      </c>
      <c r="C1574" s="1112">
        <v>22005</v>
      </c>
      <c r="D1574" s="1112">
        <v>420523</v>
      </c>
    </row>
    <row r="1575" spans="2:4">
      <c r="B1575" s="412" t="s">
        <v>1832</v>
      </c>
      <c r="C1575" s="1112">
        <v>22005</v>
      </c>
      <c r="D1575" s="1112">
        <v>420523</v>
      </c>
    </row>
    <row r="1576" spans="2:4">
      <c r="B1576" s="412" t="s">
        <v>1833</v>
      </c>
      <c r="C1576" s="1112">
        <v>22005</v>
      </c>
      <c r="D1576" s="1112">
        <v>420523</v>
      </c>
    </row>
    <row r="1577" spans="2:4">
      <c r="B1577" s="412" t="s">
        <v>1834</v>
      </c>
      <c r="C1577" s="1112">
        <v>22005</v>
      </c>
      <c r="D1577" s="1112">
        <v>420523</v>
      </c>
    </row>
    <row r="1578" spans="2:4">
      <c r="B1578" s="412" t="s">
        <v>1835</v>
      </c>
      <c r="C1578" s="1112">
        <v>22005</v>
      </c>
      <c r="D1578" s="1112">
        <v>420523</v>
      </c>
    </row>
    <row r="1579" spans="2:4">
      <c r="B1579" s="412" t="s">
        <v>1836</v>
      </c>
      <c r="C1579" s="1112">
        <v>21212.190213101814</v>
      </c>
      <c r="D1579" s="1112">
        <v>405096.98579321231</v>
      </c>
    </row>
    <row r="1580" spans="2:4">
      <c r="B1580" s="412" t="s">
        <v>1837</v>
      </c>
      <c r="C1580" s="1112">
        <v>22005</v>
      </c>
      <c r="D1580" s="1112">
        <v>420523</v>
      </c>
    </row>
    <row r="1581" spans="2:4">
      <c r="B1581" s="412" t="s">
        <v>1838</v>
      </c>
      <c r="C1581" s="1112">
        <v>21913.28125</v>
      </c>
      <c r="D1581" s="1112">
        <v>418749.02083333331</v>
      </c>
    </row>
    <row r="1582" spans="2:4">
      <c r="B1582" s="412" t="s">
        <v>1839</v>
      </c>
      <c r="C1582" s="1112">
        <v>22005</v>
      </c>
      <c r="D1582" s="1112">
        <v>420523</v>
      </c>
    </row>
    <row r="1583" spans="2:4">
      <c r="B1583" s="412" t="s">
        <v>1840</v>
      </c>
      <c r="C1583" s="1112">
        <v>21980.197183098593</v>
      </c>
      <c r="D1583" s="1112">
        <v>420043.27605633804</v>
      </c>
    </row>
    <row r="1584" spans="2:4">
      <c r="B1584" s="412" t="s">
        <v>1841</v>
      </c>
      <c r="C1584" s="1112">
        <v>19772.992236024846</v>
      </c>
      <c r="D1584" s="1112">
        <v>377095.52484472049</v>
      </c>
    </row>
    <row r="1585" spans="2:4">
      <c r="B1585" s="412" t="s">
        <v>1842</v>
      </c>
      <c r="C1585" s="1112">
        <v>19835.901060070672</v>
      </c>
      <c r="D1585" s="1112">
        <v>378317.98233215546</v>
      </c>
    </row>
    <row r="1586" spans="2:4">
      <c r="B1586" s="412" t="s">
        <v>1843</v>
      </c>
      <c r="C1586" s="1112">
        <v>22005</v>
      </c>
      <c r="D1586" s="1112">
        <v>420523</v>
      </c>
    </row>
    <row r="1587" spans="2:4">
      <c r="B1587" s="412" t="s">
        <v>1844</v>
      </c>
      <c r="C1587" s="1112">
        <v>13108.291358024691</v>
      </c>
      <c r="D1587" s="1112">
        <v>249177.32592592592</v>
      </c>
    </row>
    <row r="1588" spans="2:4">
      <c r="B1588" s="412" t="s">
        <v>1845</v>
      </c>
      <c r="C1588" s="1112">
        <v>18829.248263888891</v>
      </c>
      <c r="D1588" s="1112">
        <v>359384.05208333331</v>
      </c>
    </row>
    <row r="1589" spans="2:4">
      <c r="B1589" s="412" t="s">
        <v>1846</v>
      </c>
      <c r="C1589" s="1112">
        <v>21905.445979899498</v>
      </c>
      <c r="D1589" s="1112">
        <v>418597.47487437184</v>
      </c>
    </row>
    <row r="1590" spans="2:4">
      <c r="B1590" s="412" t="s">
        <v>1847</v>
      </c>
      <c r="C1590" s="1112">
        <v>22005</v>
      </c>
      <c r="D1590" s="1112">
        <v>420523</v>
      </c>
    </row>
    <row r="1591" spans="2:4">
      <c r="B1591" s="412" t="s">
        <v>1848</v>
      </c>
      <c r="C1591" s="1112">
        <v>22005</v>
      </c>
      <c r="D1591" s="1112">
        <v>420523</v>
      </c>
    </row>
    <row r="1592" spans="2:4">
      <c r="B1592" s="412" t="s">
        <v>1849</v>
      </c>
      <c r="C1592" s="1112">
        <v>13511.949377593361</v>
      </c>
      <c r="D1592" s="1112">
        <v>256205.19751037346</v>
      </c>
    </row>
    <row r="1593" spans="2:4">
      <c r="B1593" s="412" t="s">
        <v>1850</v>
      </c>
      <c r="C1593" s="1112">
        <v>22005</v>
      </c>
      <c r="D1593" s="1112">
        <v>420523</v>
      </c>
    </row>
    <row r="1594" spans="2:4">
      <c r="B1594" s="412" t="s">
        <v>1851</v>
      </c>
      <c r="C1594" s="1112">
        <v>22005</v>
      </c>
      <c r="D1594" s="1112">
        <v>420523</v>
      </c>
    </row>
    <row r="1595" spans="2:4">
      <c r="B1595" s="412" t="s">
        <v>1852</v>
      </c>
      <c r="C1595" s="1112">
        <v>22005</v>
      </c>
      <c r="D1595" s="1112">
        <v>420523</v>
      </c>
    </row>
    <row r="1596" spans="2:4">
      <c r="B1596" s="412" t="s">
        <v>1853</v>
      </c>
      <c r="C1596" s="1112">
        <v>22005</v>
      </c>
      <c r="D1596" s="1112">
        <v>420523</v>
      </c>
    </row>
    <row r="1597" spans="2:4">
      <c r="B1597" s="412" t="s">
        <v>1854</v>
      </c>
      <c r="C1597" s="1112">
        <v>22005</v>
      </c>
      <c r="D1597" s="1112">
        <v>420523</v>
      </c>
    </row>
    <row r="1598" spans="2:4">
      <c r="B1598" s="412" t="s">
        <v>1855</v>
      </c>
      <c r="C1598" s="1112">
        <v>22005</v>
      </c>
      <c r="D1598" s="1112">
        <v>420523</v>
      </c>
    </row>
    <row r="1599" spans="2:4">
      <c r="B1599" s="412" t="s">
        <v>1856</v>
      </c>
      <c r="C1599" s="1112">
        <v>22005</v>
      </c>
      <c r="D1599" s="1112">
        <v>420523</v>
      </c>
    </row>
    <row r="1600" spans="2:4">
      <c r="B1600" s="412" t="s">
        <v>1857</v>
      </c>
      <c r="C1600" s="1112">
        <v>22005</v>
      </c>
      <c r="D1600" s="1112">
        <v>420523</v>
      </c>
    </row>
    <row r="1601" spans="2:4">
      <c r="B1601" s="412" t="s">
        <v>1858</v>
      </c>
      <c r="C1601" s="1112">
        <v>22005</v>
      </c>
      <c r="D1601" s="1112">
        <v>420523</v>
      </c>
    </row>
    <row r="1602" spans="2:4">
      <c r="B1602" s="412" t="s">
        <v>1859</v>
      </c>
      <c r="C1602" s="1112">
        <v>22005</v>
      </c>
      <c r="D1602" s="1112">
        <v>420523</v>
      </c>
    </row>
    <row r="1603" spans="2:4">
      <c r="B1603" s="412" t="s">
        <v>1860</v>
      </c>
      <c r="C1603" s="1112">
        <v>13454.50752688172</v>
      </c>
      <c r="D1603" s="1112">
        <v>255951.6064516129</v>
      </c>
    </row>
    <row r="1604" spans="2:4">
      <c r="B1604" s="412" t="s">
        <v>1861</v>
      </c>
      <c r="C1604" s="1112">
        <v>13092.88524590164</v>
      </c>
      <c r="D1604" s="1112">
        <v>248957.52459016393</v>
      </c>
    </row>
    <row r="1605" spans="2:4">
      <c r="B1605" s="412" t="s">
        <v>1862</v>
      </c>
      <c r="C1605" s="1112">
        <v>13083.655172413793</v>
      </c>
      <c r="D1605" s="1112">
        <v>248779.00713436384</v>
      </c>
    </row>
    <row r="1606" spans="2:4">
      <c r="B1606" s="412" t="s">
        <v>1863</v>
      </c>
      <c r="C1606" s="1112">
        <v>13056.057613168725</v>
      </c>
      <c r="D1606" s="1112">
        <v>248245.24691358025</v>
      </c>
    </row>
    <row r="1607" spans="2:4">
      <c r="B1607" s="412" t="s">
        <v>1864</v>
      </c>
      <c r="C1607" s="1112">
        <v>16010</v>
      </c>
      <c r="D1607" s="1112">
        <v>305377</v>
      </c>
    </row>
    <row r="1608" spans="2:4">
      <c r="B1608" s="412" t="s">
        <v>1865</v>
      </c>
      <c r="C1608" s="1112">
        <v>16005.81111111111</v>
      </c>
      <c r="D1608" s="1112">
        <v>305295.98333333334</v>
      </c>
    </row>
    <row r="1609" spans="2:4" ht="17" thickBot="1">
      <c r="B1609" s="413" t="s">
        <v>1866</v>
      </c>
      <c r="C1609" s="1113">
        <v>16010</v>
      </c>
      <c r="D1609" s="1113">
        <v>305377</v>
      </c>
    </row>
    <row r="1610" spans="2:4">
      <c r="B1610" s="415" t="s">
        <v>1867</v>
      </c>
      <c r="C1610" s="1111">
        <v>22005</v>
      </c>
      <c r="D1610" s="1111">
        <v>420523</v>
      </c>
    </row>
    <row r="1611" spans="2:4">
      <c r="B1611" s="412" t="s">
        <v>1868</v>
      </c>
      <c r="C1611" s="1112">
        <v>21981.234817813765</v>
      </c>
      <c r="D1611" s="1112">
        <v>420063.34547908232</v>
      </c>
    </row>
    <row r="1612" spans="2:4">
      <c r="B1612" s="412" t="s">
        <v>1869</v>
      </c>
      <c r="C1612" s="1112">
        <v>22005</v>
      </c>
      <c r="D1612" s="1112">
        <v>420523</v>
      </c>
    </row>
    <row r="1613" spans="2:4">
      <c r="B1613" s="412" t="s">
        <v>1870</v>
      </c>
      <c r="C1613" s="1112">
        <v>22005</v>
      </c>
      <c r="D1613" s="1112">
        <v>420523</v>
      </c>
    </row>
    <row r="1614" spans="2:4">
      <c r="B1614" s="412" t="s">
        <v>1871</v>
      </c>
      <c r="C1614" s="1112">
        <v>22005</v>
      </c>
      <c r="D1614" s="1112">
        <v>420523</v>
      </c>
    </row>
    <row r="1615" spans="2:4">
      <c r="B1615" s="412" t="s">
        <v>1872</v>
      </c>
      <c r="C1615" s="1112">
        <v>21154.427549194992</v>
      </c>
      <c r="D1615" s="1112">
        <v>404071.64400715561</v>
      </c>
    </row>
    <row r="1616" spans="2:4">
      <c r="B1616" s="412" t="s">
        <v>1873</v>
      </c>
      <c r="C1616" s="1112">
        <v>17353.109826589596</v>
      </c>
      <c r="D1616" s="1112">
        <v>330548.41734104045</v>
      </c>
    </row>
    <row r="1617" spans="2:4">
      <c r="B1617" s="412" t="s">
        <v>1874</v>
      </c>
      <c r="C1617" s="1112">
        <v>13200</v>
      </c>
      <c r="D1617" s="1112">
        <v>250221</v>
      </c>
    </row>
    <row r="1618" spans="2:4">
      <c r="B1618" s="412" t="s">
        <v>1875</v>
      </c>
      <c r="C1618" s="1112">
        <v>22005</v>
      </c>
      <c r="D1618" s="1112">
        <v>420523</v>
      </c>
    </row>
    <row r="1619" spans="2:4">
      <c r="B1619" s="412" t="s">
        <v>1876</v>
      </c>
      <c r="C1619" s="1112">
        <v>21841.338289962827</v>
      </c>
      <c r="D1619" s="1112">
        <v>417357.53531598515</v>
      </c>
    </row>
    <row r="1620" spans="2:4">
      <c r="B1620" s="412" t="s">
        <v>1877</v>
      </c>
      <c r="C1620" s="1112">
        <v>22005</v>
      </c>
      <c r="D1620" s="1112">
        <v>420523</v>
      </c>
    </row>
    <row r="1621" spans="2:4">
      <c r="B1621" s="412" t="s">
        <v>1878</v>
      </c>
      <c r="C1621" s="1112">
        <v>22005</v>
      </c>
      <c r="D1621" s="1112">
        <v>420523</v>
      </c>
    </row>
    <row r="1622" spans="2:4">
      <c r="B1622" s="412" t="s">
        <v>1879</v>
      </c>
      <c r="C1622" s="1112">
        <v>21992.871900826445</v>
      </c>
      <c r="D1622" s="1112">
        <v>420288.42424242425</v>
      </c>
    </row>
    <row r="1623" spans="2:4">
      <c r="B1623" s="412" t="s">
        <v>1880</v>
      </c>
      <c r="C1623" s="1112">
        <v>21992.798845836769</v>
      </c>
      <c r="D1623" s="1112">
        <v>420287.67600989284</v>
      </c>
    </row>
    <row r="1624" spans="2:4">
      <c r="B1624" s="412" t="s">
        <v>1881</v>
      </c>
      <c r="C1624" s="1112">
        <v>21907.527675276753</v>
      </c>
      <c r="D1624" s="1112">
        <v>418637.73800738005</v>
      </c>
    </row>
    <row r="1625" spans="2:4">
      <c r="B1625" s="412" t="s">
        <v>1882</v>
      </c>
      <c r="C1625" s="1112">
        <v>13214.236054971705</v>
      </c>
      <c r="D1625" s="1112">
        <v>250496.34680679062</v>
      </c>
    </row>
    <row r="1626" spans="2:4">
      <c r="B1626" s="412" t="s">
        <v>1883</v>
      </c>
      <c r="C1626" s="1112">
        <v>13211.259590792839</v>
      </c>
      <c r="D1626" s="1112">
        <v>250438.77749360615</v>
      </c>
    </row>
    <row r="1627" spans="2:4">
      <c r="B1627" s="412" t="s">
        <v>1884</v>
      </c>
      <c r="C1627" s="1112">
        <v>13200</v>
      </c>
      <c r="D1627" s="1112">
        <v>250221</v>
      </c>
    </row>
    <row r="1628" spans="2:4">
      <c r="B1628" s="412" t="s">
        <v>1885</v>
      </c>
      <c r="C1628" s="1112">
        <v>13200</v>
      </c>
      <c r="D1628" s="1112">
        <v>250221</v>
      </c>
    </row>
    <row r="1629" spans="2:4">
      <c r="B1629" s="412" t="s">
        <v>1886</v>
      </c>
      <c r="C1629" s="1112">
        <v>13200</v>
      </c>
      <c r="D1629" s="1112">
        <v>250221</v>
      </c>
    </row>
    <row r="1630" spans="2:4">
      <c r="B1630" s="412" t="s">
        <v>1887</v>
      </c>
      <c r="C1630" s="1112">
        <v>13200</v>
      </c>
      <c r="D1630" s="1112">
        <v>250221</v>
      </c>
    </row>
    <row r="1631" spans="2:4">
      <c r="B1631" s="412" t="s">
        <v>1888</v>
      </c>
      <c r="C1631" s="1112">
        <v>17491.24548736462</v>
      </c>
      <c r="D1631" s="1112">
        <v>333220.16967509023</v>
      </c>
    </row>
    <row r="1632" spans="2:4">
      <c r="B1632" s="412" t="s">
        <v>1889</v>
      </c>
      <c r="C1632" s="1112">
        <v>13200</v>
      </c>
      <c r="D1632" s="1112">
        <v>250221</v>
      </c>
    </row>
    <row r="1633" spans="2:4">
      <c r="B1633" s="412" t="s">
        <v>1890</v>
      </c>
      <c r="C1633" s="1112">
        <v>13200</v>
      </c>
      <c r="D1633" s="1112">
        <v>250221</v>
      </c>
    </row>
    <row r="1634" spans="2:4">
      <c r="B1634" s="412" t="s">
        <v>1891</v>
      </c>
      <c r="C1634" s="1112">
        <v>13200</v>
      </c>
      <c r="D1634" s="1112">
        <v>250221</v>
      </c>
    </row>
    <row r="1635" spans="2:4">
      <c r="B1635" s="412" t="s">
        <v>1892</v>
      </c>
      <c r="C1635" s="1112">
        <v>13312.884615384615</v>
      </c>
      <c r="D1635" s="1112">
        <v>252404.35897435897</v>
      </c>
    </row>
    <row r="1636" spans="2:4">
      <c r="B1636" s="412" t="s">
        <v>1893</v>
      </c>
      <c r="C1636" s="1112">
        <v>13200</v>
      </c>
      <c r="D1636" s="1112">
        <v>250221</v>
      </c>
    </row>
    <row r="1637" spans="2:4">
      <c r="B1637" s="412" t="s">
        <v>1894</v>
      </c>
      <c r="C1637" s="1112">
        <v>13216.835564053537</v>
      </c>
      <c r="D1637" s="1112">
        <v>250546.62523900575</v>
      </c>
    </row>
    <row r="1638" spans="2:4">
      <c r="B1638" s="412" t="s">
        <v>1895</v>
      </c>
      <c r="C1638" s="1112">
        <v>13200</v>
      </c>
      <c r="D1638" s="1112">
        <v>250221</v>
      </c>
    </row>
    <row r="1639" spans="2:4">
      <c r="B1639" s="412" t="s">
        <v>1896</v>
      </c>
      <c r="C1639" s="1112">
        <v>22005</v>
      </c>
      <c r="D1639" s="1112">
        <v>420523</v>
      </c>
    </row>
    <row r="1640" spans="2:4">
      <c r="B1640" s="412" t="s">
        <v>1897</v>
      </c>
      <c r="C1640" s="1112">
        <v>21972.981818181819</v>
      </c>
      <c r="D1640" s="1112">
        <v>419903.72</v>
      </c>
    </row>
    <row r="1641" spans="2:4">
      <c r="B1641" s="412" t="s">
        <v>1898</v>
      </c>
      <c r="C1641" s="1112">
        <v>13200</v>
      </c>
      <c r="D1641" s="1112">
        <v>250221</v>
      </c>
    </row>
    <row r="1642" spans="2:4">
      <c r="B1642" s="412" t="s">
        <v>1899</v>
      </c>
      <c r="C1642" s="1112">
        <v>13331.636212624584</v>
      </c>
      <c r="D1642" s="1112">
        <v>252767.04318936876</v>
      </c>
    </row>
    <row r="1643" spans="2:4">
      <c r="B1643" s="412" t="s">
        <v>1900</v>
      </c>
      <c r="C1643" s="1112">
        <v>13200</v>
      </c>
      <c r="D1643" s="1112">
        <v>250221</v>
      </c>
    </row>
    <row r="1644" spans="2:4">
      <c r="B1644" s="412" t="s">
        <v>1901</v>
      </c>
      <c r="C1644" s="1112">
        <v>13200</v>
      </c>
      <c r="D1644" s="1112">
        <v>250221</v>
      </c>
    </row>
    <row r="1645" spans="2:4">
      <c r="B1645" s="412" t="s">
        <v>1902</v>
      </c>
      <c r="C1645" s="1112">
        <v>13200</v>
      </c>
      <c r="D1645" s="1112">
        <v>250221</v>
      </c>
    </row>
    <row r="1646" spans="2:4">
      <c r="B1646" s="412" t="s">
        <v>1903</v>
      </c>
      <c r="C1646" s="1112">
        <v>13200</v>
      </c>
      <c r="D1646" s="1112">
        <v>250221</v>
      </c>
    </row>
    <row r="1647" spans="2:4">
      <c r="B1647" s="412" t="s">
        <v>1904</v>
      </c>
      <c r="C1647" s="1112">
        <v>13200</v>
      </c>
      <c r="D1647" s="1112">
        <v>250221</v>
      </c>
    </row>
    <row r="1648" spans="2:4">
      <c r="B1648" s="412" t="s">
        <v>1905</v>
      </c>
      <c r="C1648" s="1112">
        <v>13200</v>
      </c>
      <c r="D1648" s="1112">
        <v>250221</v>
      </c>
    </row>
    <row r="1649" spans="2:4">
      <c r="B1649" s="412" t="s">
        <v>1906</v>
      </c>
      <c r="C1649" s="1112">
        <v>21776.2987012987</v>
      </c>
      <c r="D1649" s="1112">
        <v>416099.57142857142</v>
      </c>
    </row>
    <row r="1650" spans="2:4">
      <c r="B1650" s="412" t="s">
        <v>1907</v>
      </c>
      <c r="C1650" s="1112">
        <v>22005</v>
      </c>
      <c r="D1650" s="1112">
        <v>420523</v>
      </c>
    </row>
    <row r="1651" spans="2:4">
      <c r="B1651" s="412" t="s">
        <v>1908</v>
      </c>
      <c r="C1651" s="1112">
        <v>13623.647594278284</v>
      </c>
      <c r="D1651" s="1112">
        <v>258414.98439531861</v>
      </c>
    </row>
    <row r="1652" spans="2:4">
      <c r="B1652" s="412" t="s">
        <v>1909</v>
      </c>
      <c r="C1652" s="1112">
        <v>21861.199748743718</v>
      </c>
      <c r="D1652" s="1112">
        <v>417741.68592964823</v>
      </c>
    </row>
    <row r="1653" spans="2:4">
      <c r="B1653" s="412" t="s">
        <v>1910</v>
      </c>
      <c r="C1653" s="1112">
        <v>22005</v>
      </c>
      <c r="D1653" s="1112">
        <v>420523</v>
      </c>
    </row>
    <row r="1654" spans="2:4">
      <c r="B1654" s="412" t="s">
        <v>1911</v>
      </c>
      <c r="C1654" s="1112">
        <v>22005</v>
      </c>
      <c r="D1654" s="1112">
        <v>420523</v>
      </c>
    </row>
    <row r="1655" spans="2:4">
      <c r="B1655" s="412" t="s">
        <v>1912</v>
      </c>
      <c r="C1655" s="1112">
        <v>22005</v>
      </c>
      <c r="D1655" s="1112">
        <v>420523</v>
      </c>
    </row>
    <row r="1656" spans="2:4">
      <c r="B1656" s="412" t="s">
        <v>1913</v>
      </c>
      <c r="C1656" s="1112">
        <v>15264.903846153846</v>
      </c>
      <c r="D1656" s="1112">
        <v>290662.86538461538</v>
      </c>
    </row>
    <row r="1657" spans="2:4">
      <c r="B1657" s="412" t="s">
        <v>1914</v>
      </c>
      <c r="C1657" s="1112">
        <v>10844</v>
      </c>
      <c r="D1657" s="1112">
        <v>203359</v>
      </c>
    </row>
    <row r="1658" spans="2:4">
      <c r="B1658" s="412" t="s">
        <v>1915</v>
      </c>
      <c r="C1658" s="1112">
        <v>10844</v>
      </c>
      <c r="D1658" s="1112">
        <v>203359</v>
      </c>
    </row>
    <row r="1659" spans="2:4">
      <c r="B1659" s="412" t="s">
        <v>1916</v>
      </c>
      <c r="C1659" s="1112">
        <v>10844</v>
      </c>
      <c r="D1659" s="1112">
        <v>203359</v>
      </c>
    </row>
    <row r="1660" spans="2:4">
      <c r="B1660" s="412" t="s">
        <v>1917</v>
      </c>
      <c r="C1660" s="1112">
        <v>10867.65</v>
      </c>
      <c r="D1660" s="1112">
        <v>203839.546</v>
      </c>
    </row>
    <row r="1661" spans="2:4">
      <c r="B1661" s="412" t="s">
        <v>1918</v>
      </c>
      <c r="C1661" s="1112">
        <v>12994</v>
      </c>
      <c r="D1661" s="1112">
        <v>247045</v>
      </c>
    </row>
    <row r="1662" spans="2:4">
      <c r="B1662" s="412" t="s">
        <v>1919</v>
      </c>
      <c r="C1662" s="1112">
        <v>12994</v>
      </c>
      <c r="D1662" s="1112">
        <v>247045</v>
      </c>
    </row>
    <row r="1663" spans="2:4">
      <c r="B1663" s="412" t="s">
        <v>1920</v>
      </c>
      <c r="C1663" s="1112">
        <v>12965.295060080107</v>
      </c>
      <c r="D1663" s="1112">
        <v>246461.74232309745</v>
      </c>
    </row>
    <row r="1664" spans="2:4">
      <c r="B1664" s="412" t="s">
        <v>1921</v>
      </c>
      <c r="C1664" s="1112">
        <v>12994</v>
      </c>
      <c r="D1664" s="1112">
        <v>247045</v>
      </c>
    </row>
    <row r="1665" spans="2:4">
      <c r="B1665" s="412" t="s">
        <v>1922</v>
      </c>
      <c r="C1665" s="1112">
        <v>12077.49358974359</v>
      </c>
      <c r="D1665" s="1112">
        <v>228422.44230769231</v>
      </c>
    </row>
    <row r="1666" spans="2:4">
      <c r="B1666" s="412" t="s">
        <v>1923</v>
      </c>
      <c r="C1666" s="1112">
        <v>10844</v>
      </c>
      <c r="D1666" s="1112">
        <v>203359</v>
      </c>
    </row>
    <row r="1667" spans="2:4">
      <c r="B1667" s="412" t="s">
        <v>1924</v>
      </c>
      <c r="C1667" s="1112">
        <v>15975.591054313099</v>
      </c>
      <c r="D1667" s="1112">
        <v>304709.26198083069</v>
      </c>
    </row>
    <row r="1668" spans="2:4">
      <c r="B1668" s="412" t="s">
        <v>1925</v>
      </c>
      <c r="C1668" s="1112">
        <v>10896.537593984962</v>
      </c>
      <c r="D1668" s="1112">
        <v>204426.51503759398</v>
      </c>
    </row>
    <row r="1669" spans="2:4">
      <c r="B1669" s="412" t="s">
        <v>1926</v>
      </c>
      <c r="C1669" s="1112">
        <v>15544.590522478737</v>
      </c>
      <c r="D1669" s="1112">
        <v>296375.58566221141</v>
      </c>
    </row>
    <row r="1670" spans="2:4">
      <c r="B1670" s="412" t="s">
        <v>1927</v>
      </c>
      <c r="C1670" s="1112">
        <v>16010</v>
      </c>
      <c r="D1670" s="1112">
        <v>305377</v>
      </c>
    </row>
    <row r="1671" spans="2:4">
      <c r="B1671" s="412" t="s">
        <v>1928</v>
      </c>
      <c r="C1671" s="1112">
        <v>15368.012219959266</v>
      </c>
      <c r="D1671" s="1112">
        <v>292789.07331975561</v>
      </c>
    </row>
    <row r="1672" spans="2:4">
      <c r="B1672" s="412" t="s">
        <v>1929</v>
      </c>
      <c r="C1672" s="1112">
        <v>10844</v>
      </c>
      <c r="D1672" s="1112">
        <v>203359</v>
      </c>
    </row>
    <row r="1673" spans="2:4">
      <c r="B1673" s="412" t="s">
        <v>1930</v>
      </c>
      <c r="C1673" s="1112">
        <v>15936.078431372549</v>
      </c>
      <c r="D1673" s="1112">
        <v>303947.29411764705</v>
      </c>
    </row>
    <row r="1674" spans="2:4">
      <c r="B1674" s="412" t="s">
        <v>1931</v>
      </c>
      <c r="C1674" s="1112">
        <v>15885.351206434316</v>
      </c>
      <c r="D1674" s="1112">
        <v>302915.43967828416</v>
      </c>
    </row>
    <row r="1675" spans="2:4">
      <c r="B1675" s="412" t="s">
        <v>1932</v>
      </c>
      <c r="C1675" s="1112">
        <v>11060.274325908558</v>
      </c>
      <c r="D1675" s="1112">
        <v>207746.57561547481</v>
      </c>
    </row>
    <row r="1676" spans="2:4">
      <c r="B1676" s="412" t="s">
        <v>1933</v>
      </c>
      <c r="C1676" s="1112">
        <v>12994</v>
      </c>
      <c r="D1676" s="1112">
        <v>247045</v>
      </c>
    </row>
    <row r="1677" spans="2:4">
      <c r="B1677" s="412" t="s">
        <v>1934</v>
      </c>
      <c r="C1677" s="1112">
        <v>16010</v>
      </c>
      <c r="D1677" s="1112">
        <v>305377</v>
      </c>
    </row>
    <row r="1678" spans="2:4">
      <c r="B1678" s="412" t="s">
        <v>1935</v>
      </c>
      <c r="C1678" s="1112">
        <v>16010</v>
      </c>
      <c r="D1678" s="1112">
        <v>305377</v>
      </c>
    </row>
    <row r="1679" spans="2:4">
      <c r="B1679" s="412" t="s">
        <v>1936</v>
      </c>
      <c r="C1679" s="1112">
        <v>16010</v>
      </c>
      <c r="D1679" s="1112">
        <v>305377</v>
      </c>
    </row>
    <row r="1680" spans="2:4">
      <c r="B1680" s="412" t="s">
        <v>1937</v>
      </c>
      <c r="C1680" s="1112">
        <v>16010</v>
      </c>
      <c r="D1680" s="1112">
        <v>305377</v>
      </c>
    </row>
    <row r="1681" spans="2:4">
      <c r="B1681" s="412" t="s">
        <v>1938</v>
      </c>
      <c r="C1681" s="1112">
        <v>16010</v>
      </c>
      <c r="D1681" s="1112">
        <v>305377</v>
      </c>
    </row>
    <row r="1682" spans="2:4">
      <c r="B1682" s="412" t="s">
        <v>1939</v>
      </c>
      <c r="C1682" s="1112">
        <v>16010</v>
      </c>
      <c r="D1682" s="1112">
        <v>305377</v>
      </c>
    </row>
    <row r="1683" spans="2:4">
      <c r="B1683" s="412" t="s">
        <v>1940</v>
      </c>
      <c r="C1683" s="1112">
        <v>16010</v>
      </c>
      <c r="D1683" s="1112">
        <v>305377</v>
      </c>
    </row>
    <row r="1684" spans="2:4">
      <c r="B1684" s="412" t="s">
        <v>1941</v>
      </c>
      <c r="C1684" s="1112">
        <v>15994.264347826087</v>
      </c>
      <c r="D1684" s="1112">
        <v>305072.6591304348</v>
      </c>
    </row>
    <row r="1685" spans="2:4">
      <c r="B1685" s="412" t="s">
        <v>1942</v>
      </c>
      <c r="C1685" s="1112">
        <v>16010</v>
      </c>
      <c r="D1685" s="1112">
        <v>305377</v>
      </c>
    </row>
    <row r="1686" spans="2:4">
      <c r="B1686" s="412" t="s">
        <v>1943</v>
      </c>
      <c r="C1686" s="1112">
        <v>15958.339314845025</v>
      </c>
      <c r="D1686" s="1112">
        <v>304377.83849918435</v>
      </c>
    </row>
    <row r="1687" spans="2:4">
      <c r="B1687" s="412" t="s">
        <v>1944</v>
      </c>
      <c r="C1687" s="1112">
        <v>14444.171091445427</v>
      </c>
      <c r="D1687" s="1112">
        <v>275092.53982300888</v>
      </c>
    </row>
    <row r="1688" spans="2:4">
      <c r="B1688" s="412" t="s">
        <v>1945</v>
      </c>
      <c r="C1688" s="1112">
        <v>16010</v>
      </c>
      <c r="D1688" s="1112">
        <v>305377</v>
      </c>
    </row>
    <row r="1689" spans="2:4">
      <c r="B1689" s="412" t="s">
        <v>1946</v>
      </c>
      <c r="C1689" s="1112">
        <v>16010</v>
      </c>
      <c r="D1689" s="1112">
        <v>305377</v>
      </c>
    </row>
    <row r="1690" spans="2:4">
      <c r="B1690" s="412" t="s">
        <v>1947</v>
      </c>
      <c r="C1690" s="1112">
        <v>16010</v>
      </c>
      <c r="D1690" s="1112">
        <v>305377</v>
      </c>
    </row>
    <row r="1691" spans="2:4">
      <c r="B1691" s="412" t="s">
        <v>1948</v>
      </c>
      <c r="C1691" s="1112">
        <v>12994</v>
      </c>
      <c r="D1691" s="1112">
        <v>247045</v>
      </c>
    </row>
    <row r="1692" spans="2:4">
      <c r="B1692" s="412" t="s">
        <v>1949</v>
      </c>
      <c r="C1692" s="1112">
        <v>12994</v>
      </c>
      <c r="D1692" s="1112">
        <v>247045</v>
      </c>
    </row>
    <row r="1693" spans="2:4">
      <c r="B1693" s="412" t="s">
        <v>1950</v>
      </c>
      <c r="C1693" s="1112">
        <v>12994</v>
      </c>
      <c r="D1693" s="1112">
        <v>247045</v>
      </c>
    </row>
    <row r="1694" spans="2:4">
      <c r="B1694" s="412" t="s">
        <v>1951</v>
      </c>
      <c r="C1694" s="1112">
        <v>14091.978102189782</v>
      </c>
      <c r="D1694" s="1112">
        <v>268280.8284671533</v>
      </c>
    </row>
    <row r="1695" spans="2:4">
      <c r="B1695" s="412" t="s">
        <v>1952</v>
      </c>
      <c r="C1695" s="1112">
        <v>13232.709284627093</v>
      </c>
      <c r="D1695" s="1112">
        <v>251661.84018264839</v>
      </c>
    </row>
    <row r="1696" spans="2:4">
      <c r="B1696" s="412" t="s">
        <v>1953</v>
      </c>
      <c r="C1696" s="1112">
        <v>15707.674418604651</v>
      </c>
      <c r="D1696" s="1112">
        <v>299529.76663993584</v>
      </c>
    </row>
    <row r="1697" spans="2:4">
      <c r="B1697" s="412" t="s">
        <v>1954</v>
      </c>
      <c r="C1697" s="1112">
        <v>16010</v>
      </c>
      <c r="D1697" s="1112">
        <v>305377</v>
      </c>
    </row>
    <row r="1698" spans="2:4">
      <c r="B1698" s="412" t="s">
        <v>1955</v>
      </c>
      <c r="C1698" s="1112">
        <v>16010</v>
      </c>
      <c r="D1698" s="1112">
        <v>305377</v>
      </c>
    </row>
    <row r="1699" spans="2:4">
      <c r="B1699" s="412" t="s">
        <v>1956</v>
      </c>
      <c r="C1699" s="1112">
        <v>16010</v>
      </c>
      <c r="D1699" s="1112">
        <v>305377</v>
      </c>
    </row>
    <row r="1700" spans="2:4">
      <c r="B1700" s="412" t="s">
        <v>1957</v>
      </c>
      <c r="C1700" s="1112">
        <v>16010</v>
      </c>
      <c r="D1700" s="1112">
        <v>305377</v>
      </c>
    </row>
    <row r="1701" spans="2:4">
      <c r="B1701" s="412" t="s">
        <v>1958</v>
      </c>
      <c r="C1701" s="1112">
        <v>16010</v>
      </c>
      <c r="D1701" s="1112">
        <v>305377</v>
      </c>
    </row>
    <row r="1702" spans="2:4">
      <c r="B1702" s="412" t="s">
        <v>1959</v>
      </c>
      <c r="C1702" s="1112">
        <v>16010</v>
      </c>
      <c r="D1702" s="1112">
        <v>305377</v>
      </c>
    </row>
    <row r="1703" spans="2:4">
      <c r="B1703" s="412" t="s">
        <v>1960</v>
      </c>
      <c r="C1703" s="1112">
        <v>16010</v>
      </c>
      <c r="D1703" s="1112">
        <v>305377</v>
      </c>
    </row>
    <row r="1704" spans="2:4">
      <c r="B1704" s="412" t="s">
        <v>1961</v>
      </c>
      <c r="C1704" s="1112">
        <v>16010</v>
      </c>
      <c r="D1704" s="1112">
        <v>305377</v>
      </c>
    </row>
    <row r="1705" spans="2:4">
      <c r="B1705" s="412" t="s">
        <v>1962</v>
      </c>
      <c r="C1705" s="1112">
        <v>22005</v>
      </c>
      <c r="D1705" s="1112">
        <v>420523</v>
      </c>
    </row>
    <row r="1706" spans="2:4">
      <c r="B1706" s="412" t="s">
        <v>1963</v>
      </c>
      <c r="C1706" s="1112">
        <v>21996.594216417911</v>
      </c>
      <c r="D1706" s="1112">
        <v>420361.17350746266</v>
      </c>
    </row>
    <row r="1707" spans="2:4">
      <c r="B1707" s="412" t="s">
        <v>1964</v>
      </c>
      <c r="C1707" s="1112">
        <v>20594.582608695651</v>
      </c>
      <c r="D1707" s="1112">
        <v>393369.92173913046</v>
      </c>
    </row>
    <row r="1708" spans="2:4">
      <c r="B1708" s="412" t="s">
        <v>1965</v>
      </c>
      <c r="C1708" s="1112">
        <v>16016.835803876853</v>
      </c>
      <c r="D1708" s="1112">
        <v>305508.29532497149</v>
      </c>
    </row>
    <row r="1709" spans="2:4">
      <c r="B1709" s="412" t="s">
        <v>1966</v>
      </c>
      <c r="C1709" s="1112">
        <v>22005</v>
      </c>
      <c r="D1709" s="1112">
        <v>420523</v>
      </c>
    </row>
    <row r="1710" spans="2:4">
      <c r="B1710" s="412" t="s">
        <v>1967</v>
      </c>
      <c r="C1710" s="1112">
        <v>16010</v>
      </c>
      <c r="D1710" s="1112">
        <v>305377</v>
      </c>
    </row>
    <row r="1711" spans="2:4">
      <c r="B1711" s="412" t="s">
        <v>1968</v>
      </c>
      <c r="C1711" s="1112">
        <v>16010</v>
      </c>
      <c r="D1711" s="1112">
        <v>305377</v>
      </c>
    </row>
    <row r="1712" spans="2:4">
      <c r="B1712" s="412" t="s">
        <v>1969</v>
      </c>
      <c r="C1712" s="1112">
        <v>16010</v>
      </c>
      <c r="D1712" s="1112">
        <v>305377</v>
      </c>
    </row>
    <row r="1713" spans="2:4">
      <c r="B1713" s="412" t="s">
        <v>1970</v>
      </c>
      <c r="C1713" s="1112">
        <v>15861.061728395061</v>
      </c>
      <c r="D1713" s="1112">
        <v>302496.40740740742</v>
      </c>
    </row>
    <row r="1714" spans="2:4">
      <c r="B1714" s="412" t="s">
        <v>1971</v>
      </c>
      <c r="C1714" s="1112">
        <v>22005</v>
      </c>
      <c r="D1714" s="1112">
        <v>420523</v>
      </c>
    </row>
    <row r="1715" spans="2:4" ht="17" thickBot="1">
      <c r="B1715" s="413" t="s">
        <v>1972</v>
      </c>
      <c r="C1715" s="1113">
        <v>22005</v>
      </c>
      <c r="D1715" s="1113">
        <v>420523</v>
      </c>
    </row>
    <row r="1716" spans="2:4">
      <c r="B1716" s="415" t="s">
        <v>1973</v>
      </c>
      <c r="C1716" s="1111">
        <v>58967</v>
      </c>
      <c r="D1716" s="1111">
        <v>1132776</v>
      </c>
    </row>
    <row r="1717" spans="2:4">
      <c r="B1717" s="412" t="s">
        <v>1974</v>
      </c>
      <c r="C1717" s="1112">
        <v>53016.882583170256</v>
      </c>
      <c r="D1717" s="1112">
        <v>1018562.2035225049</v>
      </c>
    </row>
    <row r="1718" spans="2:4">
      <c r="B1718" s="412" t="s">
        <v>1975</v>
      </c>
      <c r="C1718" s="1112">
        <v>36700.638888888891</v>
      </c>
      <c r="D1718" s="1112">
        <v>705368.36111111112</v>
      </c>
    </row>
    <row r="1719" spans="2:4">
      <c r="B1719" s="412" t="s">
        <v>1976</v>
      </c>
      <c r="C1719" s="1112">
        <v>31326</v>
      </c>
      <c r="D1719" s="1112">
        <v>602201</v>
      </c>
    </row>
    <row r="1720" spans="2:4">
      <c r="B1720" s="412" t="s">
        <v>1977</v>
      </c>
      <c r="C1720" s="1112">
        <v>31586.27306967985</v>
      </c>
      <c r="D1720" s="1112">
        <v>607196.99811676086</v>
      </c>
    </row>
    <row r="1721" spans="2:4">
      <c r="B1721" s="412" t="s">
        <v>1978</v>
      </c>
      <c r="C1721" s="1112">
        <v>31326</v>
      </c>
      <c r="D1721" s="1112">
        <v>602201</v>
      </c>
    </row>
    <row r="1722" spans="2:4">
      <c r="B1722" s="412" t="s">
        <v>1979</v>
      </c>
      <c r="C1722" s="1112">
        <v>58967</v>
      </c>
      <c r="D1722" s="1112">
        <v>1132776</v>
      </c>
    </row>
    <row r="1723" spans="2:4">
      <c r="B1723" s="412" t="s">
        <v>1980</v>
      </c>
      <c r="C1723" s="1112">
        <v>58967</v>
      </c>
      <c r="D1723" s="1112">
        <v>1132776</v>
      </c>
    </row>
    <row r="1724" spans="2:4">
      <c r="B1724" s="412" t="s">
        <v>1981</v>
      </c>
      <c r="C1724" s="1112">
        <v>58914.6</v>
      </c>
      <c r="D1724" s="1112">
        <v>1131770.1706161138</v>
      </c>
    </row>
    <row r="1725" spans="2:4">
      <c r="B1725" s="412" t="s">
        <v>1982</v>
      </c>
      <c r="C1725" s="1112">
        <v>31427.996309963099</v>
      </c>
      <c r="D1725" s="1112">
        <v>604158.84132841334</v>
      </c>
    </row>
    <row r="1726" spans="2:4">
      <c r="B1726" s="412" t="s">
        <v>1983</v>
      </c>
      <c r="C1726" s="1112">
        <v>58967</v>
      </c>
      <c r="D1726" s="1112">
        <v>1132776</v>
      </c>
    </row>
    <row r="1727" spans="2:4">
      <c r="B1727" s="412" t="s">
        <v>1984</v>
      </c>
      <c r="C1727" s="1112">
        <v>58967</v>
      </c>
      <c r="D1727" s="1112">
        <v>1132776</v>
      </c>
    </row>
    <row r="1728" spans="2:4">
      <c r="B1728" s="412" t="s">
        <v>1985</v>
      </c>
      <c r="C1728" s="1112">
        <v>58967</v>
      </c>
      <c r="D1728" s="1112">
        <v>1132776</v>
      </c>
    </row>
    <row r="1729" spans="2:4">
      <c r="B1729" s="412" t="s">
        <v>1986</v>
      </c>
      <c r="C1729" s="1112">
        <v>35748.559999999998</v>
      </c>
      <c r="D1729" s="1112">
        <v>687093</v>
      </c>
    </row>
    <row r="1730" spans="2:4">
      <c r="B1730" s="412" t="s">
        <v>1987</v>
      </c>
      <c r="C1730" s="1112">
        <v>31326</v>
      </c>
      <c r="D1730" s="1112">
        <v>602201</v>
      </c>
    </row>
    <row r="1731" spans="2:4">
      <c r="B1731" s="412" t="s">
        <v>1988</v>
      </c>
      <c r="C1731" s="1112">
        <v>31326</v>
      </c>
      <c r="D1731" s="1112">
        <v>602201</v>
      </c>
    </row>
    <row r="1732" spans="2:4">
      <c r="B1732" s="412" t="s">
        <v>1989</v>
      </c>
      <c r="C1732" s="1112">
        <v>58214.594555873926</v>
      </c>
      <c r="D1732" s="1112">
        <v>1118333.4140401145</v>
      </c>
    </row>
    <row r="1733" spans="2:4">
      <c r="B1733" s="412" t="s">
        <v>1990</v>
      </c>
      <c r="C1733" s="1112">
        <v>31326</v>
      </c>
      <c r="D1733" s="1112">
        <v>602201</v>
      </c>
    </row>
    <row r="1734" spans="2:4">
      <c r="B1734" s="412" t="s">
        <v>1991</v>
      </c>
      <c r="C1734" s="1112">
        <v>58967</v>
      </c>
      <c r="D1734" s="1112">
        <v>1132776</v>
      </c>
    </row>
    <row r="1735" spans="2:4">
      <c r="B1735" s="412" t="s">
        <v>1992</v>
      </c>
      <c r="C1735" s="1112">
        <v>58967</v>
      </c>
      <c r="D1735" s="1112">
        <v>1132776</v>
      </c>
    </row>
    <row r="1736" spans="2:4">
      <c r="B1736" s="412" t="s">
        <v>1993</v>
      </c>
      <c r="C1736" s="1112">
        <v>58911.828343313377</v>
      </c>
      <c r="D1736" s="1112">
        <v>1131716.9680638723</v>
      </c>
    </row>
    <row r="1737" spans="2:4">
      <c r="B1737" s="412" t="s">
        <v>1994</v>
      </c>
      <c r="C1737" s="1112">
        <v>58967</v>
      </c>
      <c r="D1737" s="1112">
        <v>1132776</v>
      </c>
    </row>
    <row r="1738" spans="2:4">
      <c r="B1738" s="412" t="s">
        <v>1995</v>
      </c>
      <c r="C1738" s="1112">
        <v>58355.473451327431</v>
      </c>
      <c r="D1738" s="1112">
        <v>1121037.6150442478</v>
      </c>
    </row>
    <row r="1739" spans="2:4">
      <c r="B1739" s="412" t="s">
        <v>1996</v>
      </c>
      <c r="C1739" s="1112">
        <v>58967</v>
      </c>
      <c r="D1739" s="1112">
        <v>1132776</v>
      </c>
    </row>
    <row r="1740" spans="2:4">
      <c r="B1740" s="412" t="s">
        <v>1997</v>
      </c>
      <c r="C1740" s="1112">
        <v>31326</v>
      </c>
      <c r="D1740" s="1112">
        <v>602201</v>
      </c>
    </row>
    <row r="1741" spans="2:4">
      <c r="B1741" s="412" t="s">
        <v>1998</v>
      </c>
      <c r="C1741" s="1112">
        <v>22005</v>
      </c>
      <c r="D1741" s="1112">
        <v>420523</v>
      </c>
    </row>
    <row r="1742" spans="2:4">
      <c r="B1742" s="412" t="s">
        <v>1999</v>
      </c>
      <c r="C1742" s="1112">
        <v>13200</v>
      </c>
      <c r="D1742" s="1112">
        <v>250221</v>
      </c>
    </row>
    <row r="1743" spans="2:4">
      <c r="B1743" s="412" t="s">
        <v>2000</v>
      </c>
      <c r="C1743" s="1112">
        <v>13200</v>
      </c>
      <c r="D1743" s="1112">
        <v>250221</v>
      </c>
    </row>
    <row r="1744" spans="2:4">
      <c r="B1744" s="412" t="s">
        <v>2001</v>
      </c>
      <c r="C1744" s="1112">
        <v>13200</v>
      </c>
      <c r="D1744" s="1112">
        <v>250221</v>
      </c>
    </row>
    <row r="1745" spans="2:4">
      <c r="B1745" s="412" t="s">
        <v>2002</v>
      </c>
      <c r="C1745" s="1112">
        <v>18461.819221967962</v>
      </c>
      <c r="D1745" s="1112">
        <v>352016.5194508009</v>
      </c>
    </row>
    <row r="1746" spans="2:4">
      <c r="B1746" s="412" t="s">
        <v>2003</v>
      </c>
      <c r="C1746" s="1112">
        <v>21347.993039443154</v>
      </c>
      <c r="D1746" s="1112">
        <v>407902.48955916474</v>
      </c>
    </row>
    <row r="1747" spans="2:4">
      <c r="B1747" s="412" t="s">
        <v>2004</v>
      </c>
      <c r="C1747" s="1112">
        <v>13791.380697050938</v>
      </c>
      <c r="D1747" s="1112">
        <v>261828.89812332438</v>
      </c>
    </row>
    <row r="1748" spans="2:4">
      <c r="B1748" s="412" t="s">
        <v>2005</v>
      </c>
      <c r="C1748" s="1112">
        <v>14000.424242424242</v>
      </c>
      <c r="D1748" s="1112">
        <v>265932.10303030303</v>
      </c>
    </row>
    <row r="1749" spans="2:4">
      <c r="B1749" s="412" t="s">
        <v>2006</v>
      </c>
      <c r="C1749" s="1112">
        <v>16010</v>
      </c>
      <c r="D1749" s="1112">
        <v>305377</v>
      </c>
    </row>
    <row r="1750" spans="2:4">
      <c r="B1750" s="412" t="s">
        <v>2007</v>
      </c>
      <c r="C1750" s="1112">
        <v>16010</v>
      </c>
      <c r="D1750" s="1112">
        <v>305377</v>
      </c>
    </row>
    <row r="1751" spans="2:4">
      <c r="B1751" s="412" t="s">
        <v>2008</v>
      </c>
      <c r="C1751" s="1112">
        <v>22005</v>
      </c>
      <c r="D1751" s="1112">
        <v>420523</v>
      </c>
    </row>
    <row r="1752" spans="2:4">
      <c r="B1752" s="412" t="s">
        <v>2009</v>
      </c>
      <c r="C1752" s="1112">
        <v>16052.417452830188</v>
      </c>
      <c r="D1752" s="1112">
        <v>306191.71226415096</v>
      </c>
    </row>
    <row r="1753" spans="2:4">
      <c r="B1753" s="412" t="s">
        <v>2010</v>
      </c>
      <c r="C1753" s="1112">
        <v>13200</v>
      </c>
      <c r="D1753" s="1112">
        <v>250221</v>
      </c>
    </row>
    <row r="1754" spans="2:4">
      <c r="B1754" s="412" t="s">
        <v>2011</v>
      </c>
      <c r="C1754" s="1112">
        <v>16010</v>
      </c>
      <c r="D1754" s="1112">
        <v>305377</v>
      </c>
    </row>
    <row r="1755" spans="2:4">
      <c r="B1755" s="412" t="s">
        <v>2012</v>
      </c>
      <c r="C1755" s="1112">
        <v>15577.692307692309</v>
      </c>
      <c r="D1755" s="1112">
        <v>296891.46153846156</v>
      </c>
    </row>
    <row r="1756" spans="2:4">
      <c r="B1756" s="412" t="s">
        <v>2013</v>
      </c>
      <c r="C1756" s="1112">
        <v>16010</v>
      </c>
      <c r="D1756" s="1112">
        <v>305377</v>
      </c>
    </row>
    <row r="1757" spans="2:4">
      <c r="B1757" s="412" t="s">
        <v>2014</v>
      </c>
      <c r="C1757" s="1112">
        <v>14224.479166666666</v>
      </c>
      <c r="D1757" s="1112">
        <v>270329.95833333331</v>
      </c>
    </row>
    <row r="1758" spans="2:4">
      <c r="B1758" s="412" t="s">
        <v>2015</v>
      </c>
      <c r="C1758" s="1112">
        <v>13694.644194756554</v>
      </c>
      <c r="D1758" s="1112">
        <v>259930.10861423222</v>
      </c>
    </row>
    <row r="1759" spans="2:4">
      <c r="B1759" s="412" t="s">
        <v>2016</v>
      </c>
      <c r="C1759" s="1112">
        <v>13208.438438438439</v>
      </c>
      <c r="D1759" s="1112">
        <v>250386.63363363364</v>
      </c>
    </row>
    <row r="1760" spans="2:4">
      <c r="B1760" s="412" t="s">
        <v>2017</v>
      </c>
      <c r="C1760" s="1112">
        <v>13208.67487684729</v>
      </c>
      <c r="D1760" s="1112">
        <v>250388.78522167489</v>
      </c>
    </row>
    <row r="1761" spans="2:4">
      <c r="B1761" s="412" t="s">
        <v>2018</v>
      </c>
      <c r="C1761" s="1112">
        <v>13200</v>
      </c>
      <c r="D1761" s="1112">
        <v>250221</v>
      </c>
    </row>
    <row r="1762" spans="2:4">
      <c r="B1762" s="412" t="s">
        <v>2019</v>
      </c>
      <c r="C1762" s="1112">
        <v>21982.671174978866</v>
      </c>
      <c r="D1762" s="1112">
        <v>420091.12679628062</v>
      </c>
    </row>
    <row r="1763" spans="2:4">
      <c r="B1763" s="412" t="s">
        <v>2020</v>
      </c>
      <c r="C1763" s="1112">
        <v>13200</v>
      </c>
      <c r="D1763" s="1112">
        <v>250221</v>
      </c>
    </row>
    <row r="1764" spans="2:4">
      <c r="B1764" s="412" t="s">
        <v>2021</v>
      </c>
      <c r="C1764" s="1112">
        <v>13200</v>
      </c>
      <c r="D1764" s="1112">
        <v>250221</v>
      </c>
    </row>
    <row r="1765" spans="2:4">
      <c r="B1765" s="412" t="s">
        <v>2022</v>
      </c>
      <c r="C1765" s="1112">
        <v>13200</v>
      </c>
      <c r="D1765" s="1112">
        <v>250221</v>
      </c>
    </row>
    <row r="1766" spans="2:4">
      <c r="B1766" s="412" t="s">
        <v>2023</v>
      </c>
      <c r="C1766" s="1112">
        <v>13200</v>
      </c>
      <c r="D1766" s="1112">
        <v>250221</v>
      </c>
    </row>
    <row r="1767" spans="2:4">
      <c r="B1767" s="412" t="s">
        <v>2024</v>
      </c>
      <c r="C1767" s="1112">
        <v>13200</v>
      </c>
      <c r="D1767" s="1112">
        <v>250221</v>
      </c>
    </row>
    <row r="1768" spans="2:4">
      <c r="B1768" s="412" t="s">
        <v>2025</v>
      </c>
      <c r="C1768" s="1112">
        <v>13200</v>
      </c>
      <c r="D1768" s="1112">
        <v>250221</v>
      </c>
    </row>
    <row r="1769" spans="2:4">
      <c r="B1769" s="412" t="s">
        <v>2026</v>
      </c>
      <c r="C1769" s="1112">
        <v>13200</v>
      </c>
      <c r="D1769" s="1112">
        <v>250221</v>
      </c>
    </row>
    <row r="1770" spans="2:4">
      <c r="B1770" s="412" t="s">
        <v>2027</v>
      </c>
      <c r="C1770" s="1112">
        <v>13200</v>
      </c>
      <c r="D1770" s="1112">
        <v>250221</v>
      </c>
    </row>
    <row r="1771" spans="2:4">
      <c r="B1771" s="412" t="s">
        <v>2028</v>
      </c>
      <c r="C1771" s="1112">
        <v>13230.030534351145</v>
      </c>
      <c r="D1771" s="1112">
        <v>250810.4534351145</v>
      </c>
    </row>
    <row r="1772" spans="2:4">
      <c r="B1772" s="412" t="s">
        <v>2029</v>
      </c>
      <c r="C1772" s="1112">
        <v>13410.521172638437</v>
      </c>
      <c r="D1772" s="1112">
        <v>254353.20846905536</v>
      </c>
    </row>
    <row r="1773" spans="2:4">
      <c r="B1773" s="412" t="s">
        <v>2030</v>
      </c>
      <c r="C1773" s="1112">
        <v>22005</v>
      </c>
      <c r="D1773" s="1112">
        <v>420523</v>
      </c>
    </row>
    <row r="1774" spans="2:4">
      <c r="B1774" s="412" t="s">
        <v>2031</v>
      </c>
      <c r="C1774" s="1112">
        <v>13200</v>
      </c>
      <c r="D1774" s="1112">
        <v>250221</v>
      </c>
    </row>
    <row r="1775" spans="2:4">
      <c r="B1775" s="412" t="s">
        <v>2032</v>
      </c>
      <c r="C1775" s="1112">
        <v>15782.113402061856</v>
      </c>
      <c r="D1775" s="1112">
        <v>300877.88659793814</v>
      </c>
    </row>
    <row r="1776" spans="2:4">
      <c r="B1776" s="412" t="s">
        <v>2033</v>
      </c>
      <c r="C1776" s="1112">
        <v>15970.972222222223</v>
      </c>
      <c r="D1776" s="1112">
        <v>304610.94444444444</v>
      </c>
    </row>
    <row r="1777" spans="2:4">
      <c r="B1777" s="412" t="s">
        <v>2034</v>
      </c>
      <c r="C1777" s="1112">
        <v>16010</v>
      </c>
      <c r="D1777" s="1112">
        <v>305377</v>
      </c>
    </row>
    <row r="1778" spans="2:4">
      <c r="B1778" s="412" t="s">
        <v>2035</v>
      </c>
      <c r="C1778" s="1112">
        <v>16010</v>
      </c>
      <c r="D1778" s="1112">
        <v>305377</v>
      </c>
    </row>
    <row r="1779" spans="2:4">
      <c r="B1779" s="412" t="s">
        <v>2036</v>
      </c>
      <c r="C1779" s="1112">
        <v>16010</v>
      </c>
      <c r="D1779" s="1112">
        <v>305377</v>
      </c>
    </row>
    <row r="1780" spans="2:4">
      <c r="B1780" s="412" t="s">
        <v>2037</v>
      </c>
      <c r="C1780" s="1112">
        <v>16010</v>
      </c>
      <c r="D1780" s="1112">
        <v>305377</v>
      </c>
    </row>
    <row r="1781" spans="2:4">
      <c r="B1781" s="412" t="s">
        <v>2038</v>
      </c>
      <c r="C1781" s="1112">
        <v>16010</v>
      </c>
      <c r="D1781" s="1112">
        <v>305377</v>
      </c>
    </row>
    <row r="1782" spans="2:4">
      <c r="B1782" s="412" t="s">
        <v>2039</v>
      </c>
      <c r="C1782" s="1112">
        <v>16010</v>
      </c>
      <c r="D1782" s="1112">
        <v>305377</v>
      </c>
    </row>
    <row r="1783" spans="2:4">
      <c r="B1783" s="412" t="s">
        <v>2040</v>
      </c>
      <c r="C1783" s="1112">
        <v>16010</v>
      </c>
      <c r="D1783" s="1112">
        <v>305377</v>
      </c>
    </row>
    <row r="1784" spans="2:4">
      <c r="B1784" s="412" t="s">
        <v>2041</v>
      </c>
      <c r="C1784" s="1112">
        <v>22005</v>
      </c>
      <c r="D1784" s="1112">
        <v>420523</v>
      </c>
    </row>
    <row r="1785" spans="2:4">
      <c r="B1785" s="412" t="s">
        <v>2042</v>
      </c>
      <c r="C1785" s="1112">
        <v>22005</v>
      </c>
      <c r="D1785" s="1112">
        <v>420523</v>
      </c>
    </row>
    <row r="1786" spans="2:4">
      <c r="B1786" s="412" t="s">
        <v>2043</v>
      </c>
      <c r="C1786" s="1112">
        <v>16010</v>
      </c>
      <c r="D1786" s="1112">
        <v>305377</v>
      </c>
    </row>
    <row r="1787" spans="2:4">
      <c r="B1787" s="412" t="s">
        <v>2044</v>
      </c>
      <c r="C1787" s="1112">
        <v>16010</v>
      </c>
      <c r="D1787" s="1112">
        <v>305377</v>
      </c>
    </row>
    <row r="1788" spans="2:4">
      <c r="B1788" s="412" t="s">
        <v>2045</v>
      </c>
      <c r="C1788" s="1112">
        <v>16010</v>
      </c>
      <c r="D1788" s="1112">
        <v>305377</v>
      </c>
    </row>
    <row r="1789" spans="2:4">
      <c r="B1789" s="412" t="s">
        <v>2046</v>
      </c>
      <c r="C1789" s="1112">
        <v>16010</v>
      </c>
      <c r="D1789" s="1112">
        <v>305377</v>
      </c>
    </row>
    <row r="1790" spans="2:4">
      <c r="B1790" s="412" t="s">
        <v>2047</v>
      </c>
      <c r="C1790" s="1112">
        <v>16010</v>
      </c>
      <c r="D1790" s="1112">
        <v>305377</v>
      </c>
    </row>
    <row r="1791" spans="2:4">
      <c r="B1791" s="412" t="s">
        <v>2048</v>
      </c>
      <c r="C1791" s="1112">
        <v>16010</v>
      </c>
      <c r="D1791" s="1112">
        <v>305377</v>
      </c>
    </row>
    <row r="1792" spans="2:4">
      <c r="B1792" s="412" t="s">
        <v>2049</v>
      </c>
      <c r="C1792" s="1112">
        <v>16010</v>
      </c>
      <c r="D1792" s="1112">
        <v>305377</v>
      </c>
    </row>
    <row r="1793" spans="2:4">
      <c r="B1793" s="412" t="s">
        <v>2050</v>
      </c>
      <c r="C1793" s="1112">
        <v>16010</v>
      </c>
      <c r="D1793" s="1112">
        <v>305377</v>
      </c>
    </row>
    <row r="1794" spans="2:4">
      <c r="B1794" s="412" t="s">
        <v>2051</v>
      </c>
      <c r="C1794" s="1112">
        <v>16010</v>
      </c>
      <c r="D1794" s="1112">
        <v>305377</v>
      </c>
    </row>
    <row r="1795" spans="2:4">
      <c r="B1795" s="412" t="s">
        <v>2052</v>
      </c>
      <c r="C1795" s="1112">
        <v>21252.971530249109</v>
      </c>
      <c r="D1795" s="1112">
        <v>405977.63345195731</v>
      </c>
    </row>
    <row r="1796" spans="2:4">
      <c r="B1796" s="412" t="s">
        <v>2053</v>
      </c>
      <c r="C1796" s="1112">
        <v>16010</v>
      </c>
      <c r="D1796" s="1112">
        <v>305377</v>
      </c>
    </row>
    <row r="1797" spans="2:4">
      <c r="B1797" s="412" t="s">
        <v>2054</v>
      </c>
      <c r="C1797" s="1112">
        <v>16010</v>
      </c>
      <c r="D1797" s="1112">
        <v>305377</v>
      </c>
    </row>
    <row r="1798" spans="2:4">
      <c r="B1798" s="412" t="s">
        <v>2055</v>
      </c>
      <c r="C1798" s="1112">
        <v>13200</v>
      </c>
      <c r="D1798" s="1112">
        <v>250221</v>
      </c>
    </row>
    <row r="1799" spans="2:4">
      <c r="B1799" s="412" t="s">
        <v>2056</v>
      </c>
      <c r="C1799" s="1112">
        <v>13200</v>
      </c>
      <c r="D1799" s="1112">
        <v>250221</v>
      </c>
    </row>
    <row r="1800" spans="2:4">
      <c r="B1800" s="412" t="s">
        <v>2057</v>
      </c>
      <c r="C1800" s="1112">
        <v>13200</v>
      </c>
      <c r="D1800" s="1112">
        <v>250221</v>
      </c>
    </row>
    <row r="1801" spans="2:4">
      <c r="B1801" s="412" t="s">
        <v>2058</v>
      </c>
      <c r="C1801" s="1112">
        <v>13200</v>
      </c>
      <c r="D1801" s="1112">
        <v>250221</v>
      </c>
    </row>
    <row r="1802" spans="2:4">
      <c r="B1802" s="412" t="s">
        <v>2059</v>
      </c>
      <c r="C1802" s="1112">
        <v>14457.857142857143</v>
      </c>
      <c r="D1802" s="1112">
        <v>274549.85714285716</v>
      </c>
    </row>
    <row r="1803" spans="2:4">
      <c r="B1803" s="412" t="s">
        <v>2060</v>
      </c>
      <c r="C1803" s="1112">
        <v>13200</v>
      </c>
      <c r="D1803" s="1112">
        <v>250221</v>
      </c>
    </row>
    <row r="1804" spans="2:4">
      <c r="B1804" s="412" t="s">
        <v>2061</v>
      </c>
      <c r="C1804" s="1112">
        <v>13200</v>
      </c>
      <c r="D1804" s="1112">
        <v>250221</v>
      </c>
    </row>
    <row r="1805" spans="2:4">
      <c r="B1805" s="412" t="s">
        <v>2062</v>
      </c>
      <c r="C1805" s="1112">
        <v>17602.5</v>
      </c>
      <c r="D1805" s="1112">
        <v>335372</v>
      </c>
    </row>
    <row r="1806" spans="2:4">
      <c r="B1806" s="412" t="s">
        <v>2063</v>
      </c>
      <c r="C1806" s="1112">
        <v>22005</v>
      </c>
      <c r="D1806" s="1112">
        <v>420523</v>
      </c>
    </row>
    <row r="1807" spans="2:4">
      <c r="B1807" s="412" t="s">
        <v>2064</v>
      </c>
      <c r="C1807" s="1112">
        <v>16010</v>
      </c>
      <c r="D1807" s="1112">
        <v>305377</v>
      </c>
    </row>
    <row r="1808" spans="2:4">
      <c r="B1808" s="412" t="s">
        <v>2065</v>
      </c>
      <c r="C1808" s="1112">
        <v>12983.163306451614</v>
      </c>
      <c r="D1808" s="1112">
        <v>246824.80846774194</v>
      </c>
    </row>
    <row r="1809" spans="2:4">
      <c r="B1809" s="412" t="s">
        <v>2066</v>
      </c>
      <c r="C1809" s="1112">
        <v>14961.886524822696</v>
      </c>
      <c r="D1809" s="1112">
        <v>285105.59574468085</v>
      </c>
    </row>
    <row r="1810" spans="2:4">
      <c r="B1810" s="412" t="s">
        <v>2067</v>
      </c>
      <c r="C1810" s="1112">
        <v>12997.253505933117</v>
      </c>
      <c r="D1810" s="1112">
        <v>247107.92556634304</v>
      </c>
    </row>
    <row r="1811" spans="2:4">
      <c r="B1811" s="412" t="s">
        <v>2068</v>
      </c>
      <c r="C1811" s="1112">
        <v>13019.105666156202</v>
      </c>
      <c r="D1811" s="1112">
        <v>247514.460949464</v>
      </c>
    </row>
    <row r="1812" spans="2:4">
      <c r="B1812" s="412" t="s">
        <v>2069</v>
      </c>
      <c r="C1812" s="1112">
        <v>12994</v>
      </c>
      <c r="D1812" s="1112">
        <v>247045</v>
      </c>
    </row>
    <row r="1813" spans="2:4">
      <c r="B1813" s="412" t="s">
        <v>2070</v>
      </c>
      <c r="C1813" s="1112">
        <v>12994</v>
      </c>
      <c r="D1813" s="1112">
        <v>247045</v>
      </c>
    </row>
    <row r="1814" spans="2:4">
      <c r="B1814" s="412" t="s">
        <v>2071</v>
      </c>
      <c r="C1814" s="1112">
        <v>12850.156583629892</v>
      </c>
      <c r="D1814" s="1112">
        <v>244122.23558718862</v>
      </c>
    </row>
    <row r="1815" spans="2:4">
      <c r="B1815" s="412" t="s">
        <v>2072</v>
      </c>
      <c r="C1815" s="1112">
        <v>12994</v>
      </c>
      <c r="D1815" s="1112">
        <v>247045</v>
      </c>
    </row>
    <row r="1816" spans="2:4">
      <c r="B1816" s="412" t="s">
        <v>2073</v>
      </c>
      <c r="C1816" s="1112">
        <v>12994</v>
      </c>
      <c r="D1816" s="1112">
        <v>247045</v>
      </c>
    </row>
    <row r="1817" spans="2:4">
      <c r="B1817" s="412" t="s">
        <v>2074</v>
      </c>
      <c r="C1817" s="1112">
        <v>12849.357142857143</v>
      </c>
      <c r="D1817" s="1112">
        <v>244105.99169435215</v>
      </c>
    </row>
    <row r="1818" spans="2:4">
      <c r="B1818" s="412" t="s">
        <v>2075</v>
      </c>
      <c r="C1818" s="1112">
        <v>14259.702127659575</v>
      </c>
      <c r="D1818" s="1112">
        <v>271524.75348495966</v>
      </c>
    </row>
    <row r="1819" spans="2:4">
      <c r="B1819" s="412" t="s">
        <v>2076</v>
      </c>
      <c r="C1819" s="1112">
        <v>11926.645803698435</v>
      </c>
      <c r="D1819" s="1112">
        <v>225357.35561877667</v>
      </c>
    </row>
    <row r="1820" spans="2:4">
      <c r="B1820" s="412" t="s">
        <v>2077</v>
      </c>
      <c r="C1820" s="1112">
        <v>12994</v>
      </c>
      <c r="D1820" s="1112">
        <v>247045</v>
      </c>
    </row>
    <row r="1821" spans="2:4">
      <c r="B1821" s="412" t="s">
        <v>2078</v>
      </c>
      <c r="C1821" s="1112">
        <v>12994</v>
      </c>
      <c r="D1821" s="1112">
        <v>247045</v>
      </c>
    </row>
    <row r="1822" spans="2:4">
      <c r="B1822" s="412" t="s">
        <v>2079</v>
      </c>
      <c r="C1822" s="1112">
        <v>12602.058124174373</v>
      </c>
      <c r="D1822" s="1112">
        <v>239081.10568031704</v>
      </c>
    </row>
    <row r="1823" spans="2:4">
      <c r="B1823" s="412" t="s">
        <v>2080</v>
      </c>
      <c r="C1823" s="1112">
        <v>12994</v>
      </c>
      <c r="D1823" s="1112">
        <v>247045</v>
      </c>
    </row>
    <row r="1824" spans="2:4">
      <c r="B1824" s="412" t="s">
        <v>2081</v>
      </c>
      <c r="C1824" s="1112">
        <v>12994</v>
      </c>
      <c r="D1824" s="1112">
        <v>247045</v>
      </c>
    </row>
    <row r="1825" spans="2:4">
      <c r="B1825" s="412" t="s">
        <v>2082</v>
      </c>
      <c r="C1825" s="1112">
        <v>15264.94071146245</v>
      </c>
      <c r="D1825" s="1112">
        <v>290966.92094861658</v>
      </c>
    </row>
    <row r="1826" spans="2:4">
      <c r="B1826" s="412" t="s">
        <v>2083</v>
      </c>
      <c r="C1826" s="1112">
        <v>10844</v>
      </c>
      <c r="D1826" s="1112">
        <v>203359</v>
      </c>
    </row>
    <row r="1827" spans="2:4">
      <c r="B1827" s="412" t="s">
        <v>2084</v>
      </c>
      <c r="C1827" s="1112">
        <v>11202.333333333334</v>
      </c>
      <c r="D1827" s="1112">
        <v>210640</v>
      </c>
    </row>
    <row r="1828" spans="2:4">
      <c r="B1828" s="412" t="s">
        <v>2085</v>
      </c>
      <c r="C1828" s="1112">
        <v>10947.501094091904</v>
      </c>
      <c r="D1828" s="1112">
        <v>205462.04595185997</v>
      </c>
    </row>
    <row r="1829" spans="2:4">
      <c r="B1829" s="412" t="s">
        <v>2086</v>
      </c>
      <c r="C1829" s="1112">
        <v>12763.467680608364</v>
      </c>
      <c r="D1829" s="1112">
        <v>242360.79771863119</v>
      </c>
    </row>
    <row r="1830" spans="2:4">
      <c r="B1830" s="412" t="s">
        <v>2087</v>
      </c>
      <c r="C1830" s="1112">
        <v>12994</v>
      </c>
      <c r="D1830" s="1112">
        <v>247045</v>
      </c>
    </row>
    <row r="1831" spans="2:4">
      <c r="B1831" s="412" t="s">
        <v>2088</v>
      </c>
      <c r="C1831" s="1112">
        <v>14590.334728033473</v>
      </c>
      <c r="D1831" s="1112">
        <v>277919.46861924685</v>
      </c>
    </row>
    <row r="1832" spans="2:4">
      <c r="B1832" s="412" t="s">
        <v>2089</v>
      </c>
      <c r="C1832" s="1112">
        <v>15747.403329065301</v>
      </c>
      <c r="D1832" s="1112">
        <v>300298.15749039693</v>
      </c>
    </row>
    <row r="1833" spans="2:4">
      <c r="B1833" s="412" t="s">
        <v>2090</v>
      </c>
      <c r="C1833" s="1112">
        <v>16010</v>
      </c>
      <c r="D1833" s="1112">
        <v>305377</v>
      </c>
    </row>
    <row r="1834" spans="2:4">
      <c r="B1834" s="412" t="s">
        <v>2091</v>
      </c>
      <c r="C1834" s="1112">
        <v>15962.126984126984</v>
      </c>
      <c r="D1834" s="1112">
        <v>304451.09523809527</v>
      </c>
    </row>
    <row r="1835" spans="2:4">
      <c r="B1835" s="412" t="s">
        <v>2092</v>
      </c>
      <c r="C1835" s="1112">
        <v>13329.111111111111</v>
      </c>
      <c r="D1835" s="1112">
        <v>253526.33333333334</v>
      </c>
    </row>
    <row r="1836" spans="2:4">
      <c r="B1836" s="412" t="s">
        <v>2093</v>
      </c>
      <c r="C1836" s="1112">
        <v>13076.836454431959</v>
      </c>
      <c r="D1836" s="1112">
        <v>248647.12734082396</v>
      </c>
    </row>
    <row r="1837" spans="2:4">
      <c r="B1837" s="412" t="s">
        <v>2094</v>
      </c>
      <c r="C1837" s="1112">
        <v>14581.368421052632</v>
      </c>
      <c r="D1837" s="1112">
        <v>277746.05263157893</v>
      </c>
    </row>
    <row r="1838" spans="2:4">
      <c r="B1838" s="412" t="s">
        <v>2095</v>
      </c>
      <c r="C1838" s="1112">
        <v>10844</v>
      </c>
      <c r="D1838" s="1112">
        <v>203359</v>
      </c>
    </row>
    <row r="1839" spans="2:4">
      <c r="B1839" s="412" t="s">
        <v>2096</v>
      </c>
      <c r="C1839" s="1112">
        <v>10899.778301886792</v>
      </c>
      <c r="D1839" s="1112">
        <v>204492.36320754717</v>
      </c>
    </row>
    <row r="1840" spans="2:4">
      <c r="B1840" s="412" t="s">
        <v>2097</v>
      </c>
      <c r="C1840" s="1112">
        <v>10997.842756183745</v>
      </c>
      <c r="D1840" s="1112">
        <v>206484.94169611306</v>
      </c>
    </row>
    <row r="1841" spans="2:4">
      <c r="B1841" s="412" t="s">
        <v>2098</v>
      </c>
      <c r="C1841" s="1112">
        <v>12987.188328912467</v>
      </c>
      <c r="D1841" s="1112">
        <v>246890.94164456232</v>
      </c>
    </row>
    <row r="1842" spans="2:4">
      <c r="B1842" s="412" t="s">
        <v>2099</v>
      </c>
      <c r="C1842" s="1112">
        <v>13172.365591397849</v>
      </c>
      <c r="D1842" s="1112">
        <v>250494.74193548388</v>
      </c>
    </row>
    <row r="1843" spans="2:4">
      <c r="B1843" s="412" t="s">
        <v>2100</v>
      </c>
      <c r="C1843" s="1112">
        <v>10898.501748251749</v>
      </c>
      <c r="D1843" s="1112">
        <v>204466.42482517482</v>
      </c>
    </row>
    <row r="1844" spans="2:4">
      <c r="B1844" s="412" t="s">
        <v>2101</v>
      </c>
      <c r="C1844" s="1112">
        <v>10844</v>
      </c>
      <c r="D1844" s="1112">
        <v>203359</v>
      </c>
    </row>
    <row r="1845" spans="2:4">
      <c r="B1845" s="412" t="s">
        <v>2102</v>
      </c>
      <c r="C1845" s="1112">
        <v>10844</v>
      </c>
      <c r="D1845" s="1112">
        <v>203359</v>
      </c>
    </row>
    <row r="1846" spans="2:4">
      <c r="B1846" s="412" t="s">
        <v>2103</v>
      </c>
      <c r="C1846" s="1112">
        <v>12901.857142857143</v>
      </c>
      <c r="D1846" s="1112">
        <v>245172.74285714285</v>
      </c>
    </row>
    <row r="1847" spans="2:4">
      <c r="B1847" s="412" t="s">
        <v>2104</v>
      </c>
      <c r="C1847" s="1112">
        <v>12984.046296296296</v>
      </c>
      <c r="D1847" s="1112">
        <v>246842.75</v>
      </c>
    </row>
    <row r="1848" spans="2:4">
      <c r="B1848" s="412" t="s">
        <v>2105</v>
      </c>
      <c r="C1848" s="1112">
        <v>10844</v>
      </c>
      <c r="D1848" s="1112">
        <v>203359</v>
      </c>
    </row>
    <row r="1849" spans="2:4">
      <c r="B1849" s="412" t="s">
        <v>2106</v>
      </c>
      <c r="C1849" s="1112">
        <v>10946.380952380952</v>
      </c>
      <c r="D1849" s="1112">
        <v>205439.28571428571</v>
      </c>
    </row>
    <row r="1850" spans="2:4">
      <c r="B1850" s="412" t="s">
        <v>2107</v>
      </c>
      <c r="C1850" s="1112">
        <v>10844</v>
      </c>
      <c r="D1850" s="1112">
        <v>203359</v>
      </c>
    </row>
    <row r="1851" spans="2:4">
      <c r="B1851" s="412" t="s">
        <v>2108</v>
      </c>
      <c r="C1851" s="1112">
        <v>11059.918803418803</v>
      </c>
      <c r="D1851" s="1112">
        <v>207746.26923076922</v>
      </c>
    </row>
    <row r="1852" spans="2:4">
      <c r="B1852" s="412" t="s">
        <v>2109</v>
      </c>
      <c r="C1852" s="1112">
        <v>10844</v>
      </c>
      <c r="D1852" s="1112">
        <v>203359</v>
      </c>
    </row>
    <row r="1853" spans="2:4">
      <c r="B1853" s="412" t="s">
        <v>2110</v>
      </c>
      <c r="C1853" s="1112">
        <v>10844</v>
      </c>
      <c r="D1853" s="1112">
        <v>203359</v>
      </c>
    </row>
    <row r="1854" spans="2:4">
      <c r="B1854" s="412" t="s">
        <v>2111</v>
      </c>
      <c r="C1854" s="1112">
        <v>12430.522699386504</v>
      </c>
      <c r="D1854" s="1112">
        <v>235592.04539877301</v>
      </c>
    </row>
    <row r="1855" spans="2:4">
      <c r="B1855" s="412" t="s">
        <v>2112</v>
      </c>
      <c r="C1855" s="1112">
        <v>10844</v>
      </c>
      <c r="D1855" s="1112">
        <v>203359</v>
      </c>
    </row>
    <row r="1856" spans="2:4">
      <c r="B1856" s="412" t="s">
        <v>2113</v>
      </c>
      <c r="C1856" s="1112">
        <v>10844</v>
      </c>
      <c r="D1856" s="1112">
        <v>203359</v>
      </c>
    </row>
    <row r="1857" spans="2:4">
      <c r="B1857" s="412" t="s">
        <v>2114</v>
      </c>
      <c r="C1857" s="1112">
        <v>12994</v>
      </c>
      <c r="D1857" s="1112">
        <v>247045</v>
      </c>
    </row>
    <row r="1858" spans="2:4">
      <c r="B1858" s="412" t="s">
        <v>2115</v>
      </c>
      <c r="C1858" s="1112">
        <v>12918.561403508771</v>
      </c>
      <c r="D1858" s="1112">
        <v>245512.15789473685</v>
      </c>
    </row>
    <row r="1859" spans="2:4">
      <c r="B1859" s="412" t="s">
        <v>2116</v>
      </c>
      <c r="C1859" s="1112">
        <v>12994</v>
      </c>
      <c r="D1859" s="1112">
        <v>247045</v>
      </c>
    </row>
    <row r="1860" spans="2:4">
      <c r="B1860" s="412" t="s">
        <v>2117</v>
      </c>
      <c r="C1860" s="1112">
        <v>10934.072859744991</v>
      </c>
      <c r="D1860" s="1112">
        <v>205189.19672131148</v>
      </c>
    </row>
    <row r="1861" spans="2:4">
      <c r="B1861" s="412" t="s">
        <v>2118</v>
      </c>
      <c r="C1861" s="1112">
        <v>10844</v>
      </c>
      <c r="D1861" s="1112">
        <v>203359</v>
      </c>
    </row>
    <row r="1862" spans="2:4">
      <c r="B1862" s="412" t="s">
        <v>2119</v>
      </c>
      <c r="C1862" s="1112">
        <v>10844</v>
      </c>
      <c r="D1862" s="1112">
        <v>203359</v>
      </c>
    </row>
    <row r="1863" spans="2:4">
      <c r="B1863" s="412" t="s">
        <v>2120</v>
      </c>
      <c r="C1863" s="1112">
        <v>12740.526315789473</v>
      </c>
      <c r="D1863" s="1112">
        <v>241894.65052631579</v>
      </c>
    </row>
    <row r="1864" spans="2:4">
      <c r="B1864" s="412" t="s">
        <v>2121</v>
      </c>
      <c r="C1864" s="1112">
        <v>12994</v>
      </c>
      <c r="D1864" s="1112">
        <v>247045</v>
      </c>
    </row>
    <row r="1865" spans="2:4">
      <c r="B1865" s="412" t="s">
        <v>2122</v>
      </c>
      <c r="C1865" s="1112">
        <v>12994</v>
      </c>
      <c r="D1865" s="1112">
        <v>247045</v>
      </c>
    </row>
    <row r="1866" spans="2:4">
      <c r="B1866" s="412" t="s">
        <v>2123</v>
      </c>
      <c r="C1866" s="1112">
        <v>11519.714285714286</v>
      </c>
      <c r="D1866" s="1112">
        <v>217088.88571428572</v>
      </c>
    </row>
    <row r="1867" spans="2:4">
      <c r="B1867" s="412" t="s">
        <v>2124</v>
      </c>
      <c r="C1867" s="1112">
        <v>10844</v>
      </c>
      <c r="D1867" s="1112">
        <v>203359</v>
      </c>
    </row>
    <row r="1868" spans="2:4">
      <c r="B1868" s="412" t="s">
        <v>2125</v>
      </c>
      <c r="C1868" s="1112">
        <v>12994</v>
      </c>
      <c r="D1868" s="1112">
        <v>247045</v>
      </c>
    </row>
    <row r="1869" spans="2:4">
      <c r="B1869" s="412" t="s">
        <v>2126</v>
      </c>
      <c r="C1869" s="1112">
        <v>10918.137931034482</v>
      </c>
      <c r="D1869" s="1112">
        <v>204865.41379310345</v>
      </c>
    </row>
    <row r="1870" spans="2:4">
      <c r="B1870" s="412" t="s">
        <v>2127</v>
      </c>
      <c r="C1870" s="1112">
        <v>10994.325203252032</v>
      </c>
      <c r="D1870" s="1112">
        <v>206413.46829268293</v>
      </c>
    </row>
    <row r="1871" spans="2:4">
      <c r="B1871" s="412" t="s">
        <v>2128</v>
      </c>
      <c r="C1871" s="1112">
        <v>10844</v>
      </c>
      <c r="D1871" s="1112">
        <v>203359</v>
      </c>
    </row>
    <row r="1872" spans="2:4">
      <c r="B1872" s="412" t="s">
        <v>2129</v>
      </c>
      <c r="C1872" s="1112">
        <v>10844</v>
      </c>
      <c r="D1872" s="1112">
        <v>203359</v>
      </c>
    </row>
    <row r="1873" spans="2:4">
      <c r="B1873" s="412" t="s">
        <v>2130</v>
      </c>
      <c r="C1873" s="1112">
        <v>10856.169811320755</v>
      </c>
      <c r="D1873" s="1112">
        <v>203606.27924528302</v>
      </c>
    </row>
    <row r="1874" spans="2:4">
      <c r="B1874" s="412" t="s">
        <v>2131</v>
      </c>
      <c r="C1874" s="1112">
        <v>12982.563829787234</v>
      </c>
      <c r="D1874" s="1112">
        <v>246812.62765957447</v>
      </c>
    </row>
    <row r="1875" spans="2:4">
      <c r="B1875" s="412" t="s">
        <v>2132</v>
      </c>
      <c r="C1875" s="1112">
        <v>11149.411499436303</v>
      </c>
      <c r="D1875" s="1112">
        <v>209564.67756482525</v>
      </c>
    </row>
    <row r="1876" spans="2:4">
      <c r="B1876" s="412" t="s">
        <v>2133</v>
      </c>
      <c r="C1876" s="1112">
        <v>12788.529085872577</v>
      </c>
      <c r="D1876" s="1112">
        <v>242870.02216066481</v>
      </c>
    </row>
    <row r="1877" spans="2:4">
      <c r="B1877" s="412" t="s">
        <v>2134</v>
      </c>
      <c r="C1877" s="1112">
        <v>11634.932642487047</v>
      </c>
      <c r="D1877" s="1112">
        <v>219430.01554404144</v>
      </c>
    </row>
    <row r="1878" spans="2:4">
      <c r="B1878" s="412" t="s">
        <v>2135</v>
      </c>
      <c r="C1878" s="1112">
        <v>11280.129385964912</v>
      </c>
      <c r="D1878" s="1112">
        <v>212220.74342105264</v>
      </c>
    </row>
    <row r="1879" spans="2:4">
      <c r="B1879" s="412" t="s">
        <v>2136</v>
      </c>
      <c r="C1879" s="1112">
        <v>12994</v>
      </c>
      <c r="D1879" s="1112">
        <v>247045</v>
      </c>
    </row>
    <row r="1880" spans="2:4">
      <c r="B1880" s="412" t="s">
        <v>2137</v>
      </c>
      <c r="C1880" s="1112">
        <v>12994</v>
      </c>
      <c r="D1880" s="1112">
        <v>247045</v>
      </c>
    </row>
    <row r="1881" spans="2:4">
      <c r="B1881" s="412" t="s">
        <v>2138</v>
      </c>
      <c r="C1881" s="1112">
        <v>12994</v>
      </c>
      <c r="D1881" s="1112">
        <v>247045</v>
      </c>
    </row>
    <row r="1882" spans="2:4">
      <c r="B1882" s="412" t="s">
        <v>2139</v>
      </c>
      <c r="C1882" s="1112">
        <v>12994</v>
      </c>
      <c r="D1882" s="1112">
        <v>247045</v>
      </c>
    </row>
    <row r="1883" spans="2:4">
      <c r="B1883" s="412" t="s">
        <v>2140</v>
      </c>
      <c r="C1883" s="1112">
        <v>12994</v>
      </c>
      <c r="D1883" s="1112">
        <v>247045</v>
      </c>
    </row>
    <row r="1884" spans="2:4">
      <c r="B1884" s="412" t="s">
        <v>2141</v>
      </c>
      <c r="C1884" s="1112">
        <v>12994</v>
      </c>
      <c r="D1884" s="1112">
        <v>247045</v>
      </c>
    </row>
    <row r="1885" spans="2:4">
      <c r="B1885" s="412" t="s">
        <v>2142</v>
      </c>
      <c r="C1885" s="1112">
        <v>12994</v>
      </c>
      <c r="D1885" s="1112">
        <v>247045</v>
      </c>
    </row>
    <row r="1886" spans="2:4">
      <c r="B1886" s="412" t="s">
        <v>2143</v>
      </c>
      <c r="C1886" s="1112">
        <v>10846.961432506887</v>
      </c>
      <c r="D1886" s="1112">
        <v>203419.17355371901</v>
      </c>
    </row>
    <row r="1887" spans="2:4">
      <c r="B1887" s="412" t="s">
        <v>2144</v>
      </c>
      <c r="C1887" s="1112">
        <v>12871.663438256659</v>
      </c>
      <c r="D1887" s="1112">
        <v>244559.23486682808</v>
      </c>
    </row>
    <row r="1888" spans="2:4">
      <c r="B1888" s="412" t="s">
        <v>2145</v>
      </c>
      <c r="C1888" s="1112">
        <v>10932.90977443609</v>
      </c>
      <c r="D1888" s="1112">
        <v>205165.56390977444</v>
      </c>
    </row>
    <row r="1889" spans="2:4">
      <c r="B1889" s="412" t="s">
        <v>2146</v>
      </c>
      <c r="C1889" s="1112">
        <v>10844</v>
      </c>
      <c r="D1889" s="1112">
        <v>203359</v>
      </c>
    </row>
    <row r="1890" spans="2:4">
      <c r="B1890" s="412" t="s">
        <v>2147</v>
      </c>
      <c r="C1890" s="1112">
        <v>10844</v>
      </c>
      <c r="D1890" s="1112">
        <v>203359</v>
      </c>
    </row>
    <row r="1891" spans="2:4">
      <c r="B1891" s="412" t="s">
        <v>2148</v>
      </c>
      <c r="C1891" s="1112">
        <v>10844</v>
      </c>
      <c r="D1891" s="1112">
        <v>203359</v>
      </c>
    </row>
    <row r="1892" spans="2:4">
      <c r="B1892" s="412" t="s">
        <v>2149</v>
      </c>
      <c r="C1892" s="1112">
        <v>10844</v>
      </c>
      <c r="D1892" s="1112">
        <v>203359</v>
      </c>
    </row>
    <row r="1893" spans="2:4">
      <c r="B1893" s="412" t="s">
        <v>2150</v>
      </c>
      <c r="C1893" s="1112">
        <v>10844</v>
      </c>
      <c r="D1893" s="1112">
        <v>203359</v>
      </c>
    </row>
    <row r="1894" spans="2:4">
      <c r="B1894" s="412" t="s">
        <v>2151</v>
      </c>
      <c r="C1894" s="1112">
        <v>10844</v>
      </c>
      <c r="D1894" s="1112">
        <v>203359</v>
      </c>
    </row>
    <row r="1895" spans="2:4">
      <c r="B1895" s="412" t="s">
        <v>2152</v>
      </c>
      <c r="C1895" s="1112">
        <v>10844</v>
      </c>
      <c r="D1895" s="1112">
        <v>203359</v>
      </c>
    </row>
    <row r="1896" spans="2:4">
      <c r="B1896" s="412" t="s">
        <v>2153</v>
      </c>
      <c r="C1896" s="1112">
        <v>12557.375350140055</v>
      </c>
      <c r="D1896" s="1112">
        <v>238173.19327731093</v>
      </c>
    </row>
    <row r="1897" spans="2:4">
      <c r="B1897" s="412" t="s">
        <v>2154</v>
      </c>
      <c r="C1897" s="1112">
        <v>10870.092233009709</v>
      </c>
      <c r="D1897" s="1112">
        <v>203889.16990291263</v>
      </c>
    </row>
    <row r="1898" spans="2:4">
      <c r="B1898" s="412" t="s">
        <v>2155</v>
      </c>
      <c r="C1898" s="1112">
        <v>12994</v>
      </c>
      <c r="D1898" s="1112">
        <v>247045</v>
      </c>
    </row>
    <row r="1899" spans="2:4">
      <c r="B1899" s="412" t="s">
        <v>2156</v>
      </c>
      <c r="C1899" s="1112">
        <v>12992.135299219428</v>
      </c>
      <c r="D1899" s="1112">
        <v>247007.11101474415</v>
      </c>
    </row>
    <row r="1900" spans="2:4">
      <c r="B1900" s="412" t="s">
        <v>2157</v>
      </c>
      <c r="C1900" s="1112">
        <v>10844</v>
      </c>
      <c r="D1900" s="1112">
        <v>203359</v>
      </c>
    </row>
    <row r="1901" spans="2:4">
      <c r="B1901" s="412" t="s">
        <v>2158</v>
      </c>
      <c r="C1901" s="1112">
        <v>10844</v>
      </c>
      <c r="D1901" s="1112">
        <v>203359</v>
      </c>
    </row>
    <row r="1902" spans="2:4">
      <c r="B1902" s="412" t="s">
        <v>2159</v>
      </c>
      <c r="C1902" s="1112">
        <v>11130.494597839135</v>
      </c>
      <c r="D1902" s="1112">
        <v>209180.3037214886</v>
      </c>
    </row>
    <row r="1903" spans="2:4">
      <c r="B1903" s="412" t="s">
        <v>2160</v>
      </c>
      <c r="C1903" s="1112">
        <v>11976.847533632286</v>
      </c>
      <c r="D1903" s="1112">
        <v>226377.40807174888</v>
      </c>
    </row>
    <row r="1904" spans="2:4">
      <c r="B1904" s="412" t="s">
        <v>2161</v>
      </c>
      <c r="C1904" s="1112">
        <v>11497.801169590643</v>
      </c>
      <c r="D1904" s="1112">
        <v>216643.63157894736</v>
      </c>
    </row>
    <row r="1905" spans="2:4">
      <c r="B1905" s="412" t="s">
        <v>2162</v>
      </c>
      <c r="C1905" s="1112">
        <v>11644.569105691056</v>
      </c>
      <c r="D1905" s="1112">
        <v>219625.81951219513</v>
      </c>
    </row>
    <row r="1906" spans="2:4">
      <c r="B1906" s="412" t="s">
        <v>2163</v>
      </c>
      <c r="C1906" s="1112">
        <v>12433.590163934427</v>
      </c>
      <c r="D1906" s="1112">
        <v>235657.99344262294</v>
      </c>
    </row>
    <row r="1907" spans="2:4">
      <c r="B1907" s="412" t="s">
        <v>2164</v>
      </c>
      <c r="C1907" s="1112">
        <v>12681.82751091703</v>
      </c>
      <c r="D1907" s="1112">
        <v>240701.94541484717</v>
      </c>
    </row>
    <row r="1908" spans="2:4">
      <c r="B1908" s="412" t="s">
        <v>2165</v>
      </c>
      <c r="C1908" s="1112">
        <v>12994</v>
      </c>
      <c r="D1908" s="1112">
        <v>247045</v>
      </c>
    </row>
    <row r="1909" spans="2:4">
      <c r="B1909" s="412" t="s">
        <v>2166</v>
      </c>
      <c r="C1909" s="1112">
        <v>12994</v>
      </c>
      <c r="D1909" s="1112">
        <v>247045</v>
      </c>
    </row>
    <row r="1910" spans="2:4">
      <c r="B1910" s="412" t="s">
        <v>2167</v>
      </c>
      <c r="C1910" s="1112">
        <v>10844</v>
      </c>
      <c r="D1910" s="1112">
        <v>203359</v>
      </c>
    </row>
    <row r="1911" spans="2:4">
      <c r="B1911" s="412" t="s">
        <v>2168</v>
      </c>
      <c r="C1911" s="1112">
        <v>58670.848484848488</v>
      </c>
      <c r="D1911" s="1112">
        <v>1128498.1424242423</v>
      </c>
    </row>
    <row r="1912" spans="2:4">
      <c r="B1912" s="412" t="s">
        <v>2169</v>
      </c>
      <c r="C1912" s="1112">
        <v>32211.73370165746</v>
      </c>
      <c r="D1912" s="1112">
        <v>619202.85082872934</v>
      </c>
    </row>
    <row r="1913" spans="2:4">
      <c r="B1913" s="412" t="s">
        <v>2170</v>
      </c>
      <c r="C1913" s="1112">
        <v>31326</v>
      </c>
      <c r="D1913" s="1112">
        <v>602201</v>
      </c>
    </row>
    <row r="1914" spans="2:4">
      <c r="B1914" s="412" t="s">
        <v>2171</v>
      </c>
      <c r="C1914" s="1112">
        <v>58967</v>
      </c>
      <c r="D1914" s="1112">
        <v>1132776</v>
      </c>
    </row>
    <row r="1915" spans="2:4">
      <c r="B1915" s="412" t="s">
        <v>2172</v>
      </c>
      <c r="C1915" s="1112">
        <v>33282.132307692307</v>
      </c>
      <c r="D1915" s="1112">
        <v>639749.38461538462</v>
      </c>
    </row>
    <row r="1916" spans="2:4">
      <c r="B1916" s="412" t="s">
        <v>2173</v>
      </c>
      <c r="C1916" s="1112">
        <v>31326</v>
      </c>
      <c r="D1916" s="1112">
        <v>602201</v>
      </c>
    </row>
    <row r="1917" spans="2:4">
      <c r="B1917" s="412" t="s">
        <v>2174</v>
      </c>
      <c r="C1917" s="1112">
        <v>58412.124907063197</v>
      </c>
      <c r="D1917" s="1112">
        <v>1122125.0520446096</v>
      </c>
    </row>
    <row r="1918" spans="2:4">
      <c r="B1918" s="412" t="s">
        <v>2175</v>
      </c>
      <c r="C1918" s="1112">
        <v>31326</v>
      </c>
      <c r="D1918" s="1112">
        <v>602201</v>
      </c>
    </row>
    <row r="1919" spans="2:4">
      <c r="B1919" s="412" t="s">
        <v>2176</v>
      </c>
      <c r="C1919" s="1112">
        <v>58967</v>
      </c>
      <c r="D1919" s="1112">
        <v>1132776</v>
      </c>
    </row>
    <row r="1920" spans="2:4">
      <c r="B1920" s="412" t="s">
        <v>2177</v>
      </c>
      <c r="C1920" s="1112">
        <v>47205.353582554519</v>
      </c>
      <c r="D1920" s="1112">
        <v>907250.04595015571</v>
      </c>
    </row>
    <row r="1921" spans="2:4">
      <c r="B1921" s="412" t="s">
        <v>2178</v>
      </c>
      <c r="C1921" s="1112">
        <v>31326</v>
      </c>
      <c r="D1921" s="1112">
        <v>602201</v>
      </c>
    </row>
    <row r="1922" spans="2:4">
      <c r="B1922" s="412" t="s">
        <v>2179</v>
      </c>
      <c r="C1922" s="1112">
        <v>56771.58530805687</v>
      </c>
      <c r="D1922" s="1112">
        <v>1096396.3554502369</v>
      </c>
    </row>
    <row r="1923" spans="2:4" ht="17" thickBot="1">
      <c r="B1923" s="413" t="s">
        <v>2180</v>
      </c>
      <c r="C1923" s="1113">
        <v>31326</v>
      </c>
      <c r="D1923" s="1113">
        <v>602201</v>
      </c>
    </row>
    <row r="1924" spans="2:4">
      <c r="B1924" s="415" t="s">
        <v>2181</v>
      </c>
      <c r="C1924" s="1111">
        <v>13200</v>
      </c>
      <c r="D1924" s="1111">
        <v>250221</v>
      </c>
    </row>
    <row r="1925" spans="2:4">
      <c r="B1925" s="412" t="s">
        <v>2182</v>
      </c>
      <c r="C1925" s="1112">
        <v>13200</v>
      </c>
      <c r="D1925" s="1112">
        <v>250221</v>
      </c>
    </row>
    <row r="1926" spans="2:4">
      <c r="B1926" s="412" t="s">
        <v>2183</v>
      </c>
      <c r="C1926" s="1112">
        <v>13200</v>
      </c>
      <c r="D1926" s="1112">
        <v>250221</v>
      </c>
    </row>
    <row r="1927" spans="2:4">
      <c r="B1927" s="412" t="s">
        <v>2184</v>
      </c>
      <c r="C1927" s="1112">
        <v>13158.059880239522</v>
      </c>
      <c r="D1927" s="1112">
        <v>249574.38922155689</v>
      </c>
    </row>
    <row r="1928" spans="2:4">
      <c r="B1928" s="412" t="s">
        <v>2185</v>
      </c>
      <c r="C1928" s="1112">
        <v>12994</v>
      </c>
      <c r="D1928" s="1112">
        <v>247045</v>
      </c>
    </row>
    <row r="1929" spans="2:4">
      <c r="B1929" s="412" t="s">
        <v>2186</v>
      </c>
      <c r="C1929" s="1112">
        <v>13198.94087403599</v>
      </c>
      <c r="D1929" s="1112">
        <v>250204.67095115682</v>
      </c>
    </row>
    <row r="1930" spans="2:4">
      <c r="B1930" s="412" t="s">
        <v>2187</v>
      </c>
      <c r="C1930" s="1112">
        <v>13200</v>
      </c>
      <c r="D1930" s="1112">
        <v>250221</v>
      </c>
    </row>
    <row r="1931" spans="2:4">
      <c r="B1931" s="412" t="s">
        <v>2188</v>
      </c>
      <c r="C1931" s="1112">
        <v>13200</v>
      </c>
      <c r="D1931" s="1112">
        <v>250221</v>
      </c>
    </row>
    <row r="1932" spans="2:4">
      <c r="B1932" s="412" t="s">
        <v>2189</v>
      </c>
      <c r="C1932" s="1112">
        <v>13200</v>
      </c>
      <c r="D1932" s="1112">
        <v>250221</v>
      </c>
    </row>
    <row r="1933" spans="2:4">
      <c r="B1933" s="412" t="s">
        <v>2190</v>
      </c>
      <c r="C1933" s="1112">
        <v>13200</v>
      </c>
      <c r="D1933" s="1112">
        <v>250221</v>
      </c>
    </row>
    <row r="1934" spans="2:4">
      <c r="B1934" s="412" t="s">
        <v>2191</v>
      </c>
      <c r="C1934" s="1112">
        <v>13200</v>
      </c>
      <c r="D1934" s="1112">
        <v>250221</v>
      </c>
    </row>
    <row r="1935" spans="2:4">
      <c r="B1935" s="412" t="s">
        <v>2192</v>
      </c>
      <c r="C1935" s="1112">
        <v>13200</v>
      </c>
      <c r="D1935" s="1112">
        <v>250221</v>
      </c>
    </row>
    <row r="1936" spans="2:4">
      <c r="B1936" s="412" t="s">
        <v>2193</v>
      </c>
      <c r="C1936" s="1112">
        <v>13200</v>
      </c>
      <c r="D1936" s="1112">
        <v>250221</v>
      </c>
    </row>
    <row r="1937" spans="2:4">
      <c r="B1937" s="412" t="s">
        <v>2194</v>
      </c>
      <c r="C1937" s="1112">
        <v>13200</v>
      </c>
      <c r="D1937" s="1112">
        <v>250221</v>
      </c>
    </row>
    <row r="1938" spans="2:4">
      <c r="B1938" s="412" t="s">
        <v>2195</v>
      </c>
      <c r="C1938" s="1112">
        <v>13200</v>
      </c>
      <c r="D1938" s="1112">
        <v>250221</v>
      </c>
    </row>
    <row r="1939" spans="2:4">
      <c r="B1939" s="412" t="s">
        <v>2196</v>
      </c>
      <c r="C1939" s="1112">
        <v>13200</v>
      </c>
      <c r="D1939" s="1112">
        <v>250221</v>
      </c>
    </row>
    <row r="1940" spans="2:4">
      <c r="B1940" s="412" t="s">
        <v>2197</v>
      </c>
      <c r="C1940" s="1112">
        <v>13200</v>
      </c>
      <c r="D1940" s="1112">
        <v>250221</v>
      </c>
    </row>
    <row r="1941" spans="2:4">
      <c r="B1941" s="412" t="s">
        <v>2198</v>
      </c>
      <c r="C1941" s="1112">
        <v>12994</v>
      </c>
      <c r="D1941" s="1112">
        <v>247045</v>
      </c>
    </row>
    <row r="1942" spans="2:4">
      <c r="B1942" s="412" t="s">
        <v>2199</v>
      </c>
      <c r="C1942" s="1112">
        <v>12994</v>
      </c>
      <c r="D1942" s="1112">
        <v>247045</v>
      </c>
    </row>
    <row r="1943" spans="2:4">
      <c r="B1943" s="412" t="s">
        <v>2200</v>
      </c>
      <c r="C1943" s="1112">
        <v>12994</v>
      </c>
      <c r="D1943" s="1112">
        <v>247045</v>
      </c>
    </row>
    <row r="1944" spans="2:4">
      <c r="B1944" s="412" t="s">
        <v>2201</v>
      </c>
      <c r="C1944" s="1112">
        <v>12994</v>
      </c>
      <c r="D1944" s="1112">
        <v>247045</v>
      </c>
    </row>
    <row r="1945" spans="2:4">
      <c r="B1945" s="412" t="s">
        <v>2202</v>
      </c>
      <c r="C1945" s="1112">
        <v>12994</v>
      </c>
      <c r="D1945" s="1112">
        <v>247045</v>
      </c>
    </row>
    <row r="1946" spans="2:4">
      <c r="B1946" s="412" t="s">
        <v>2203</v>
      </c>
      <c r="C1946" s="1112">
        <v>12994</v>
      </c>
      <c r="D1946" s="1112">
        <v>247045</v>
      </c>
    </row>
    <row r="1947" spans="2:4">
      <c r="B1947" s="412" t="s">
        <v>2204</v>
      </c>
      <c r="C1947" s="1112">
        <v>12994</v>
      </c>
      <c r="D1947" s="1112">
        <v>247045</v>
      </c>
    </row>
    <row r="1948" spans="2:4">
      <c r="B1948" s="412" t="s">
        <v>2205</v>
      </c>
      <c r="C1948" s="1112">
        <v>12994</v>
      </c>
      <c r="D1948" s="1112">
        <v>247045</v>
      </c>
    </row>
    <row r="1949" spans="2:4">
      <c r="B1949" s="412" t="s">
        <v>2206</v>
      </c>
      <c r="C1949" s="1112">
        <v>12994</v>
      </c>
      <c r="D1949" s="1112">
        <v>247045</v>
      </c>
    </row>
    <row r="1950" spans="2:4">
      <c r="B1950" s="412" t="s">
        <v>2207</v>
      </c>
      <c r="C1950" s="1112">
        <v>12942.634812286689</v>
      </c>
      <c r="D1950" s="1112">
        <v>246001.3071672355</v>
      </c>
    </row>
    <row r="1951" spans="2:4">
      <c r="B1951" s="412" t="s">
        <v>2208</v>
      </c>
      <c r="C1951" s="1112">
        <v>12994</v>
      </c>
      <c r="D1951" s="1112">
        <v>247045</v>
      </c>
    </row>
    <row r="1952" spans="2:4">
      <c r="B1952" s="412" t="s">
        <v>2209</v>
      </c>
      <c r="C1952" s="1112">
        <v>12994</v>
      </c>
      <c r="D1952" s="1112">
        <v>247045</v>
      </c>
    </row>
    <row r="1953" spans="2:4">
      <c r="B1953" s="412" t="s">
        <v>2210</v>
      </c>
      <c r="C1953" s="1112">
        <v>12994</v>
      </c>
      <c r="D1953" s="1112">
        <v>247045</v>
      </c>
    </row>
    <row r="1954" spans="2:4">
      <c r="B1954" s="412" t="s">
        <v>2211</v>
      </c>
      <c r="C1954" s="1112">
        <v>12994</v>
      </c>
      <c r="D1954" s="1112">
        <v>247045</v>
      </c>
    </row>
    <row r="1955" spans="2:4">
      <c r="B1955" s="412" t="s">
        <v>2212</v>
      </c>
      <c r="C1955" s="1112">
        <v>13536.88</v>
      </c>
      <c r="D1955" s="1112">
        <v>257544.76</v>
      </c>
    </row>
    <row r="1956" spans="2:4">
      <c r="B1956" s="412" t="s">
        <v>2213</v>
      </c>
      <c r="C1956" s="1112">
        <v>12994</v>
      </c>
      <c r="D1956" s="1112">
        <v>247045</v>
      </c>
    </row>
    <row r="1957" spans="2:4">
      <c r="B1957" s="412" t="s">
        <v>2214</v>
      </c>
      <c r="C1957" s="1112">
        <v>12994</v>
      </c>
      <c r="D1957" s="1112">
        <v>247045</v>
      </c>
    </row>
    <row r="1958" spans="2:4">
      <c r="B1958" s="412" t="s">
        <v>2215</v>
      </c>
      <c r="C1958" s="1112">
        <v>12994</v>
      </c>
      <c r="D1958" s="1112">
        <v>247045</v>
      </c>
    </row>
    <row r="1959" spans="2:4">
      <c r="B1959" s="412" t="s">
        <v>2216</v>
      </c>
      <c r="C1959" s="1112">
        <v>13015.164912280701</v>
      </c>
      <c r="D1959" s="1112">
        <v>247454.34736842106</v>
      </c>
    </row>
    <row r="1960" spans="2:4">
      <c r="B1960" s="412" t="s">
        <v>2217</v>
      </c>
      <c r="C1960" s="1112">
        <v>13042.449799196787</v>
      </c>
      <c r="D1960" s="1112">
        <v>247982.06024096385</v>
      </c>
    </row>
    <row r="1961" spans="2:4">
      <c r="B1961" s="412" t="s">
        <v>2218</v>
      </c>
      <c r="C1961" s="1112">
        <v>12994</v>
      </c>
      <c r="D1961" s="1112">
        <v>247045</v>
      </c>
    </row>
    <row r="1962" spans="2:4">
      <c r="B1962" s="412" t="s">
        <v>2219</v>
      </c>
      <c r="C1962" s="1112">
        <v>12994</v>
      </c>
      <c r="D1962" s="1112">
        <v>247045</v>
      </c>
    </row>
    <row r="1963" spans="2:4">
      <c r="B1963" s="412" t="s">
        <v>2220</v>
      </c>
      <c r="C1963" s="1112">
        <v>12994</v>
      </c>
      <c r="D1963" s="1112">
        <v>247045</v>
      </c>
    </row>
    <row r="1964" spans="2:4">
      <c r="B1964" s="412" t="s">
        <v>2221</v>
      </c>
      <c r="C1964" s="1112">
        <v>13016.014598540147</v>
      </c>
      <c r="D1964" s="1112">
        <v>247470.7810218978</v>
      </c>
    </row>
    <row r="1965" spans="2:4">
      <c r="B1965" s="412" t="s">
        <v>2222</v>
      </c>
      <c r="C1965" s="1112">
        <v>12928.366327474561</v>
      </c>
      <c r="D1965" s="1112">
        <v>245711.38482886215</v>
      </c>
    </row>
    <row r="1966" spans="2:4" ht="17" thickBot="1">
      <c r="B1966" s="413" t="s">
        <v>2223</v>
      </c>
      <c r="C1966" s="1113">
        <v>13042.645161290322</v>
      </c>
      <c r="D1966" s="1113">
        <v>247985.83870967742</v>
      </c>
    </row>
    <row r="1967" spans="2:4">
      <c r="B1967" s="415" t="s">
        <v>2224</v>
      </c>
      <c r="C1967" s="1111">
        <v>12994</v>
      </c>
      <c r="D1967" s="1111">
        <v>247045</v>
      </c>
    </row>
    <row r="1968" spans="2:4">
      <c r="B1968" s="412" t="s">
        <v>2225</v>
      </c>
      <c r="C1968" s="1112">
        <v>12994</v>
      </c>
      <c r="D1968" s="1112">
        <v>247045</v>
      </c>
    </row>
    <row r="1969" spans="2:4">
      <c r="B1969" s="412" t="s">
        <v>2226</v>
      </c>
      <c r="C1969" s="1112">
        <v>12652.89423076923</v>
      </c>
      <c r="D1969" s="1112">
        <v>240114.04807692306</v>
      </c>
    </row>
    <row r="1970" spans="2:4">
      <c r="B1970" s="412" t="s">
        <v>2227</v>
      </c>
      <c r="C1970" s="1112">
        <v>12994</v>
      </c>
      <c r="D1970" s="1112">
        <v>247045</v>
      </c>
    </row>
    <row r="1971" spans="2:4">
      <c r="B1971" s="412" t="s">
        <v>2228</v>
      </c>
      <c r="C1971" s="1112">
        <v>10875.159420289856</v>
      </c>
      <c r="D1971" s="1112">
        <v>203992.13043478262</v>
      </c>
    </row>
    <row r="1972" spans="2:4">
      <c r="B1972" s="412" t="s">
        <v>2229</v>
      </c>
      <c r="C1972" s="1112">
        <v>11043.755501222495</v>
      </c>
      <c r="D1972" s="1112">
        <v>207417.84596577016</v>
      </c>
    </row>
    <row r="1973" spans="2:4">
      <c r="B1973" s="412" t="s">
        <v>2230</v>
      </c>
      <c r="C1973" s="1112">
        <v>10844</v>
      </c>
      <c r="D1973" s="1112">
        <v>203359</v>
      </c>
    </row>
    <row r="1974" spans="2:4">
      <c r="B1974" s="412" t="s">
        <v>2231</v>
      </c>
      <c r="C1974" s="1112">
        <v>10844</v>
      </c>
      <c r="D1974" s="1112">
        <v>203359</v>
      </c>
    </row>
    <row r="1975" spans="2:4">
      <c r="B1975" s="412" t="s">
        <v>2232</v>
      </c>
      <c r="C1975" s="1112">
        <v>12994</v>
      </c>
      <c r="D1975" s="1112">
        <v>247045</v>
      </c>
    </row>
    <row r="1976" spans="2:4">
      <c r="B1976" s="412" t="s">
        <v>2233</v>
      </c>
      <c r="C1976" s="1112">
        <v>10844</v>
      </c>
      <c r="D1976" s="1112">
        <v>203359</v>
      </c>
    </row>
    <row r="1977" spans="2:4">
      <c r="B1977" s="412" t="s">
        <v>2234</v>
      </c>
      <c r="C1977" s="1112">
        <v>10844</v>
      </c>
      <c r="D1977" s="1112">
        <v>203359</v>
      </c>
    </row>
    <row r="1978" spans="2:4">
      <c r="B1978" s="412" t="s">
        <v>2235</v>
      </c>
      <c r="C1978" s="1112">
        <v>12994</v>
      </c>
      <c r="D1978" s="1112">
        <v>247045</v>
      </c>
    </row>
    <row r="1979" spans="2:4">
      <c r="B1979" s="412" t="s">
        <v>2236</v>
      </c>
      <c r="C1979" s="1112">
        <v>10844</v>
      </c>
      <c r="D1979" s="1112">
        <v>203359</v>
      </c>
    </row>
    <row r="1980" spans="2:4">
      <c r="B1980" s="412" t="s">
        <v>2237</v>
      </c>
      <c r="C1980" s="1112">
        <v>10844</v>
      </c>
      <c r="D1980" s="1112">
        <v>203359</v>
      </c>
    </row>
    <row r="1981" spans="2:4">
      <c r="B1981" s="412" t="s">
        <v>2238</v>
      </c>
      <c r="C1981" s="1112">
        <v>10844</v>
      </c>
      <c r="D1981" s="1112">
        <v>203359</v>
      </c>
    </row>
    <row r="1982" spans="2:4">
      <c r="B1982" s="412" t="s">
        <v>2239</v>
      </c>
      <c r="C1982" s="1112">
        <v>10844</v>
      </c>
      <c r="D1982" s="1112">
        <v>203359</v>
      </c>
    </row>
    <row r="1983" spans="2:4">
      <c r="B1983" s="412" t="s">
        <v>2240</v>
      </c>
      <c r="C1983" s="1112">
        <v>10844</v>
      </c>
      <c r="D1983" s="1112">
        <v>203359</v>
      </c>
    </row>
    <row r="1984" spans="2:4">
      <c r="B1984" s="412" t="s">
        <v>2241</v>
      </c>
      <c r="C1984" s="1112">
        <v>10844</v>
      </c>
      <c r="D1984" s="1112">
        <v>203359</v>
      </c>
    </row>
    <row r="1985" spans="2:4">
      <c r="B1985" s="412" t="s">
        <v>2242</v>
      </c>
      <c r="C1985" s="1112">
        <v>10844</v>
      </c>
      <c r="D1985" s="1112">
        <v>203359</v>
      </c>
    </row>
    <row r="1986" spans="2:4">
      <c r="B1986" s="412" t="s">
        <v>2243</v>
      </c>
      <c r="C1986" s="1112">
        <v>10844</v>
      </c>
      <c r="D1986" s="1112">
        <v>203359</v>
      </c>
    </row>
    <row r="1987" spans="2:4">
      <c r="B1987" s="412" t="s">
        <v>2244</v>
      </c>
      <c r="C1987" s="1112">
        <v>10844</v>
      </c>
      <c r="D1987" s="1112">
        <v>203359</v>
      </c>
    </row>
    <row r="1988" spans="2:4">
      <c r="B1988" s="412" t="s">
        <v>2245</v>
      </c>
      <c r="C1988" s="1112">
        <v>10844</v>
      </c>
      <c r="D1988" s="1112">
        <v>203359</v>
      </c>
    </row>
    <row r="1989" spans="2:4">
      <c r="B1989" s="412" t="s">
        <v>2246</v>
      </c>
      <c r="C1989" s="1112">
        <v>12994</v>
      </c>
      <c r="D1989" s="1112">
        <v>247045</v>
      </c>
    </row>
    <row r="1990" spans="2:4">
      <c r="B1990" s="412" t="s">
        <v>2247</v>
      </c>
      <c r="C1990" s="1112">
        <v>10844</v>
      </c>
      <c r="D1990" s="1112">
        <v>203359</v>
      </c>
    </row>
    <row r="1991" spans="2:4">
      <c r="B1991" s="412" t="s">
        <v>2248</v>
      </c>
      <c r="C1991" s="1112">
        <v>10844</v>
      </c>
      <c r="D1991" s="1112">
        <v>203359</v>
      </c>
    </row>
    <row r="1992" spans="2:4">
      <c r="B1992" s="412" t="s">
        <v>2249</v>
      </c>
      <c r="C1992" s="1112">
        <v>10844</v>
      </c>
      <c r="D1992" s="1112">
        <v>203359</v>
      </c>
    </row>
    <row r="1993" spans="2:4">
      <c r="B1993" s="412" t="s">
        <v>2250</v>
      </c>
      <c r="C1993" s="1112">
        <v>10844</v>
      </c>
      <c r="D1993" s="1112">
        <v>203359</v>
      </c>
    </row>
    <row r="1994" spans="2:4">
      <c r="B1994" s="412" t="s">
        <v>2251</v>
      </c>
      <c r="C1994" s="1112">
        <v>10844</v>
      </c>
      <c r="D1994" s="1112">
        <v>203359</v>
      </c>
    </row>
    <row r="1995" spans="2:4">
      <c r="B1995" s="412" t="s">
        <v>2252</v>
      </c>
      <c r="C1995" s="1112">
        <v>10844</v>
      </c>
      <c r="D1995" s="1112">
        <v>203359</v>
      </c>
    </row>
    <row r="1996" spans="2:4">
      <c r="B1996" s="412" t="s">
        <v>2253</v>
      </c>
      <c r="C1996" s="1112">
        <v>10844</v>
      </c>
      <c r="D1996" s="1112">
        <v>203359</v>
      </c>
    </row>
    <row r="1997" spans="2:4">
      <c r="B1997" s="412" t="s">
        <v>2254</v>
      </c>
      <c r="C1997" s="1112">
        <v>10844</v>
      </c>
      <c r="D1997" s="1112">
        <v>203359</v>
      </c>
    </row>
    <row r="1998" spans="2:4">
      <c r="B1998" s="412" t="s">
        <v>2255</v>
      </c>
      <c r="C1998" s="1112">
        <v>11606.903225806451</v>
      </c>
      <c r="D1998" s="1112">
        <v>218860.48387096773</v>
      </c>
    </row>
    <row r="1999" spans="2:4">
      <c r="B1999" s="412" t="s">
        <v>2256</v>
      </c>
      <c r="C1999" s="1112">
        <v>12994</v>
      </c>
      <c r="D1999" s="1112">
        <v>247045</v>
      </c>
    </row>
    <row r="2000" spans="2:4">
      <c r="B2000" s="412" t="s">
        <v>2257</v>
      </c>
      <c r="C2000" s="1112">
        <v>10844</v>
      </c>
      <c r="D2000" s="1112">
        <v>203359</v>
      </c>
    </row>
    <row r="2001" spans="2:4">
      <c r="B2001" s="412" t="s">
        <v>2258</v>
      </c>
      <c r="C2001" s="1112">
        <v>10844</v>
      </c>
      <c r="D2001" s="1112">
        <v>203359</v>
      </c>
    </row>
    <row r="2002" spans="2:4">
      <c r="B2002" s="412" t="s">
        <v>2259</v>
      </c>
      <c r="C2002" s="1112">
        <v>10844</v>
      </c>
      <c r="D2002" s="1112">
        <v>203359</v>
      </c>
    </row>
    <row r="2003" spans="2:4">
      <c r="B2003" s="412" t="s">
        <v>2260</v>
      </c>
      <c r="C2003" s="1112">
        <v>10844</v>
      </c>
      <c r="D2003" s="1112">
        <v>203359</v>
      </c>
    </row>
    <row r="2004" spans="2:4">
      <c r="B2004" s="412" t="s">
        <v>2261</v>
      </c>
      <c r="C2004" s="1112">
        <v>10844</v>
      </c>
      <c r="D2004" s="1112">
        <v>203359</v>
      </c>
    </row>
    <row r="2005" spans="2:4">
      <c r="B2005" s="412" t="s">
        <v>2262</v>
      </c>
      <c r="C2005" s="1112">
        <v>10844</v>
      </c>
      <c r="D2005" s="1112">
        <v>203359</v>
      </c>
    </row>
    <row r="2006" spans="2:4">
      <c r="B2006" s="412" t="s">
        <v>2263</v>
      </c>
      <c r="C2006" s="1112">
        <v>10844</v>
      </c>
      <c r="D2006" s="1112">
        <v>203359</v>
      </c>
    </row>
    <row r="2007" spans="2:4">
      <c r="B2007" s="412" t="s">
        <v>2264</v>
      </c>
      <c r="C2007" s="1112">
        <v>10844</v>
      </c>
      <c r="D2007" s="1112">
        <v>203359</v>
      </c>
    </row>
    <row r="2008" spans="2:4">
      <c r="B2008" s="412" t="s">
        <v>2265</v>
      </c>
      <c r="C2008" s="1112">
        <v>10844</v>
      </c>
      <c r="D2008" s="1112">
        <v>203359</v>
      </c>
    </row>
    <row r="2009" spans="2:4">
      <c r="B2009" s="412" t="s">
        <v>2266</v>
      </c>
      <c r="C2009" s="1112">
        <v>12994</v>
      </c>
      <c r="D2009" s="1112">
        <v>247045</v>
      </c>
    </row>
    <row r="2010" spans="2:4">
      <c r="B2010" s="412" t="s">
        <v>2267</v>
      </c>
      <c r="C2010" s="1112">
        <v>12994</v>
      </c>
      <c r="D2010" s="1112">
        <v>247045</v>
      </c>
    </row>
    <row r="2011" spans="2:4">
      <c r="B2011" s="412" t="s">
        <v>2268</v>
      </c>
      <c r="C2011" s="1112">
        <v>10844</v>
      </c>
      <c r="D2011" s="1112">
        <v>203359</v>
      </c>
    </row>
    <row r="2012" spans="2:4">
      <c r="B2012" s="412" t="s">
        <v>2269</v>
      </c>
      <c r="C2012" s="1112">
        <v>10844</v>
      </c>
      <c r="D2012" s="1112">
        <v>203359</v>
      </c>
    </row>
    <row r="2013" spans="2:4">
      <c r="B2013" s="412" t="s">
        <v>2270</v>
      </c>
      <c r="C2013" s="1112">
        <v>10844</v>
      </c>
      <c r="D2013" s="1112">
        <v>203359</v>
      </c>
    </row>
    <row r="2014" spans="2:4">
      <c r="B2014" s="412" t="s">
        <v>2271</v>
      </c>
      <c r="C2014" s="1112">
        <v>10844</v>
      </c>
      <c r="D2014" s="1112">
        <v>203359</v>
      </c>
    </row>
    <row r="2015" spans="2:4">
      <c r="B2015" s="412" t="s">
        <v>2272</v>
      </c>
      <c r="C2015" s="1112">
        <v>10844</v>
      </c>
      <c r="D2015" s="1112">
        <v>203359</v>
      </c>
    </row>
    <row r="2016" spans="2:4">
      <c r="B2016" s="412" t="s">
        <v>2273</v>
      </c>
      <c r="C2016" s="1112">
        <v>10844</v>
      </c>
      <c r="D2016" s="1112">
        <v>203359</v>
      </c>
    </row>
    <row r="2017" spans="2:4">
      <c r="B2017" s="412" t="s">
        <v>2274</v>
      </c>
      <c r="C2017" s="1112">
        <v>10844</v>
      </c>
      <c r="D2017" s="1112">
        <v>203359</v>
      </c>
    </row>
    <row r="2018" spans="2:4">
      <c r="B2018" s="412" t="s">
        <v>2275</v>
      </c>
      <c r="C2018" s="1112">
        <v>10844</v>
      </c>
      <c r="D2018" s="1112">
        <v>203359</v>
      </c>
    </row>
    <row r="2019" spans="2:4">
      <c r="B2019" s="412" t="s">
        <v>2276</v>
      </c>
      <c r="C2019" s="1112">
        <v>10844</v>
      </c>
      <c r="D2019" s="1112">
        <v>203359</v>
      </c>
    </row>
    <row r="2020" spans="2:4">
      <c r="B2020" s="412" t="s">
        <v>2277</v>
      </c>
      <c r="C2020" s="1112">
        <v>10844</v>
      </c>
      <c r="D2020" s="1112">
        <v>203359</v>
      </c>
    </row>
    <row r="2021" spans="2:4">
      <c r="B2021" s="412" t="s">
        <v>2278</v>
      </c>
      <c r="C2021" s="1112">
        <v>12994</v>
      </c>
      <c r="D2021" s="1112">
        <v>247045</v>
      </c>
    </row>
    <row r="2022" spans="2:4">
      <c r="B2022" s="412" t="s">
        <v>2279</v>
      </c>
      <c r="C2022" s="1112">
        <v>10844</v>
      </c>
      <c r="D2022" s="1112">
        <v>203359</v>
      </c>
    </row>
    <row r="2023" spans="2:4">
      <c r="B2023" s="412" t="s">
        <v>2280</v>
      </c>
      <c r="C2023" s="1112">
        <v>10844</v>
      </c>
      <c r="D2023" s="1112">
        <v>203359</v>
      </c>
    </row>
    <row r="2024" spans="2:4">
      <c r="B2024" s="412" t="s">
        <v>2281</v>
      </c>
      <c r="C2024" s="1112">
        <v>10844</v>
      </c>
      <c r="D2024" s="1112">
        <v>203359</v>
      </c>
    </row>
    <row r="2025" spans="2:4">
      <c r="B2025" s="412" t="s">
        <v>2282</v>
      </c>
      <c r="C2025" s="1112">
        <v>10844</v>
      </c>
      <c r="D2025" s="1112">
        <v>203359</v>
      </c>
    </row>
    <row r="2026" spans="2:4">
      <c r="B2026" s="412" t="s">
        <v>2283</v>
      </c>
      <c r="C2026" s="1112">
        <v>10844</v>
      </c>
      <c r="D2026" s="1112">
        <v>203359</v>
      </c>
    </row>
    <row r="2027" spans="2:4">
      <c r="B2027" s="412" t="s">
        <v>2284</v>
      </c>
      <c r="C2027" s="1112">
        <v>10844</v>
      </c>
      <c r="D2027" s="1112">
        <v>203359</v>
      </c>
    </row>
    <row r="2028" spans="2:4">
      <c r="B2028" s="412" t="s">
        <v>2285</v>
      </c>
      <c r="C2028" s="1112">
        <v>10844</v>
      </c>
      <c r="D2028" s="1112">
        <v>203359</v>
      </c>
    </row>
    <row r="2029" spans="2:4">
      <c r="B2029" s="412" t="s">
        <v>2286</v>
      </c>
      <c r="C2029" s="1112">
        <v>10844</v>
      </c>
      <c r="D2029" s="1112">
        <v>203359</v>
      </c>
    </row>
    <row r="2030" spans="2:4">
      <c r="B2030" s="412" t="s">
        <v>2287</v>
      </c>
      <c r="C2030" s="1112">
        <v>10844</v>
      </c>
      <c r="D2030" s="1112">
        <v>203359</v>
      </c>
    </row>
    <row r="2031" spans="2:4">
      <c r="B2031" s="412" t="s">
        <v>2288</v>
      </c>
      <c r="C2031" s="1112">
        <v>12994</v>
      </c>
      <c r="D2031" s="1112">
        <v>247045</v>
      </c>
    </row>
    <row r="2032" spans="2:4">
      <c r="B2032" s="412" t="s">
        <v>2289</v>
      </c>
      <c r="C2032" s="1112">
        <v>12994</v>
      </c>
      <c r="D2032" s="1112">
        <v>247045</v>
      </c>
    </row>
    <row r="2033" spans="2:4">
      <c r="B2033" s="412" t="s">
        <v>2290</v>
      </c>
      <c r="C2033" s="1112">
        <v>12994</v>
      </c>
      <c r="D2033" s="1112">
        <v>247045</v>
      </c>
    </row>
    <row r="2034" spans="2:4">
      <c r="B2034" s="412" t="s">
        <v>2291</v>
      </c>
      <c r="C2034" s="1112">
        <v>12994</v>
      </c>
      <c r="D2034" s="1112">
        <v>247045</v>
      </c>
    </row>
    <row r="2035" spans="2:4">
      <c r="B2035" s="412" t="s">
        <v>2292</v>
      </c>
      <c r="C2035" s="1112">
        <v>10850.605222734255</v>
      </c>
      <c r="D2035" s="1112">
        <v>203493.21198156683</v>
      </c>
    </row>
    <row r="2036" spans="2:4">
      <c r="B2036" s="412" t="s">
        <v>2293</v>
      </c>
      <c r="C2036" s="1112">
        <v>12988.810941271118</v>
      </c>
      <c r="D2036" s="1112">
        <v>246939.56315366051</v>
      </c>
    </row>
    <row r="2037" spans="2:4">
      <c r="B2037" s="412" t="s">
        <v>2294</v>
      </c>
      <c r="C2037" s="1112">
        <v>12990.36517328825</v>
      </c>
      <c r="D2037" s="1112">
        <v>246971.1437024514</v>
      </c>
    </row>
    <row r="2038" spans="2:4">
      <c r="B2038" s="412" t="s">
        <v>2295</v>
      </c>
      <c r="C2038" s="1112">
        <v>12962.207024029574</v>
      </c>
      <c r="D2038" s="1112">
        <v>246398.99630314234</v>
      </c>
    </row>
    <row r="2039" spans="2:4">
      <c r="B2039" s="412" t="s">
        <v>2296</v>
      </c>
      <c r="C2039" s="1112">
        <v>11538.522471910112</v>
      </c>
      <c r="D2039" s="1112">
        <v>217471.05056179775</v>
      </c>
    </row>
    <row r="2040" spans="2:4">
      <c r="B2040" s="412" t="s">
        <v>2297</v>
      </c>
      <c r="C2040" s="1112">
        <v>12994</v>
      </c>
      <c r="D2040" s="1112">
        <v>247045</v>
      </c>
    </row>
    <row r="2041" spans="2:4">
      <c r="B2041" s="412" t="s">
        <v>2298</v>
      </c>
      <c r="C2041" s="1112">
        <v>12994</v>
      </c>
      <c r="D2041" s="1112">
        <v>247045</v>
      </c>
    </row>
    <row r="2042" spans="2:4">
      <c r="B2042" s="412" t="s">
        <v>2299</v>
      </c>
      <c r="C2042" s="1112">
        <v>12996.460032626428</v>
      </c>
      <c r="D2042" s="1112">
        <v>247092.57911908647</v>
      </c>
    </row>
    <row r="2043" spans="2:4">
      <c r="B2043" s="412" t="s">
        <v>2300</v>
      </c>
      <c r="C2043" s="1112">
        <v>12994</v>
      </c>
      <c r="D2043" s="1112">
        <v>247045</v>
      </c>
    </row>
    <row r="2044" spans="2:4">
      <c r="B2044" s="412" t="s">
        <v>2301</v>
      </c>
      <c r="C2044" s="1112">
        <v>10862.158783783783</v>
      </c>
      <c r="D2044" s="1112">
        <v>203727.96959459459</v>
      </c>
    </row>
    <row r="2045" spans="2:4">
      <c r="B2045" s="412" t="s">
        <v>2302</v>
      </c>
      <c r="C2045" s="1112">
        <v>10844</v>
      </c>
      <c r="D2045" s="1112">
        <v>203359</v>
      </c>
    </row>
    <row r="2046" spans="2:4">
      <c r="B2046" s="412" t="s">
        <v>2303</v>
      </c>
      <c r="C2046" s="1112">
        <v>11994.065876152832</v>
      </c>
      <c r="D2046" s="1112">
        <v>226727.26877470355</v>
      </c>
    </row>
    <row r="2047" spans="2:4">
      <c r="B2047" s="412" t="s">
        <v>2304</v>
      </c>
      <c r="C2047" s="1112">
        <v>12994</v>
      </c>
      <c r="D2047" s="1112">
        <v>247045</v>
      </c>
    </row>
    <row r="2048" spans="2:4">
      <c r="B2048" s="412" t="s">
        <v>2305</v>
      </c>
      <c r="C2048" s="1112">
        <v>12994</v>
      </c>
      <c r="D2048" s="1112">
        <v>247045</v>
      </c>
    </row>
    <row r="2049" spans="2:4">
      <c r="B2049" s="412" t="s">
        <v>2306</v>
      </c>
      <c r="C2049" s="1112">
        <v>12994</v>
      </c>
      <c r="D2049" s="1112">
        <v>247045</v>
      </c>
    </row>
    <row r="2050" spans="2:4">
      <c r="B2050" s="412" t="s">
        <v>2307</v>
      </c>
      <c r="C2050" s="1112">
        <v>12994</v>
      </c>
      <c r="D2050" s="1112">
        <v>247045</v>
      </c>
    </row>
    <row r="2051" spans="2:4">
      <c r="B2051" s="412" t="s">
        <v>2308</v>
      </c>
      <c r="C2051" s="1112">
        <v>12994</v>
      </c>
      <c r="D2051" s="1112">
        <v>247045</v>
      </c>
    </row>
    <row r="2052" spans="2:4">
      <c r="B2052" s="412" t="s">
        <v>2309</v>
      </c>
      <c r="C2052" s="1112">
        <v>12992.573324485733</v>
      </c>
      <c r="D2052" s="1112">
        <v>247016.01128069012</v>
      </c>
    </row>
    <row r="2053" spans="2:4">
      <c r="B2053" s="412" t="s">
        <v>2310</v>
      </c>
      <c r="C2053" s="1112">
        <v>12994</v>
      </c>
      <c r="D2053" s="1112">
        <v>247045</v>
      </c>
    </row>
    <row r="2054" spans="2:4">
      <c r="B2054" s="412" t="s">
        <v>2311</v>
      </c>
      <c r="C2054" s="1112">
        <v>12994</v>
      </c>
      <c r="D2054" s="1112">
        <v>247045</v>
      </c>
    </row>
    <row r="2055" spans="2:4">
      <c r="B2055" s="412" t="s">
        <v>2312</v>
      </c>
      <c r="C2055" s="1112">
        <v>10844</v>
      </c>
      <c r="D2055" s="1112">
        <v>203359</v>
      </c>
    </row>
    <row r="2056" spans="2:4">
      <c r="B2056" s="412" t="s">
        <v>2313</v>
      </c>
      <c r="C2056" s="1112">
        <v>10844</v>
      </c>
      <c r="D2056" s="1112">
        <v>203359</v>
      </c>
    </row>
    <row r="2057" spans="2:4">
      <c r="B2057" s="412" t="s">
        <v>2314</v>
      </c>
      <c r="C2057" s="1112">
        <v>11679.908319185059</v>
      </c>
      <c r="D2057" s="1112">
        <v>220343.87945670629</v>
      </c>
    </row>
    <row r="2058" spans="2:4">
      <c r="B2058" s="412" t="s">
        <v>2315</v>
      </c>
      <c r="C2058" s="1112">
        <v>10951.899628252788</v>
      </c>
      <c r="D2058" s="1112">
        <v>205551.42007434944</v>
      </c>
    </row>
    <row r="2059" spans="2:4">
      <c r="B2059" s="412" t="s">
        <v>2316</v>
      </c>
      <c r="C2059" s="1112">
        <v>10868.941995359628</v>
      </c>
      <c r="D2059" s="1112">
        <v>203865.79814385151</v>
      </c>
    </row>
    <row r="2060" spans="2:4">
      <c r="B2060" s="412" t="s">
        <v>2317</v>
      </c>
      <c r="C2060" s="1112">
        <v>10844</v>
      </c>
      <c r="D2060" s="1112">
        <v>203359</v>
      </c>
    </row>
    <row r="2061" spans="2:4">
      <c r="B2061" s="412" t="s">
        <v>2318</v>
      </c>
      <c r="C2061" s="1112">
        <v>10844</v>
      </c>
      <c r="D2061" s="1112">
        <v>203359</v>
      </c>
    </row>
    <row r="2062" spans="2:4">
      <c r="B2062" s="412" t="s">
        <v>2319</v>
      </c>
      <c r="C2062" s="1112">
        <v>12994</v>
      </c>
      <c r="D2062" s="1112">
        <v>247045</v>
      </c>
    </row>
    <row r="2063" spans="2:4">
      <c r="B2063" s="412" t="s">
        <v>2320</v>
      </c>
      <c r="C2063" s="1112">
        <v>10844</v>
      </c>
      <c r="D2063" s="1112">
        <v>203359</v>
      </c>
    </row>
    <row r="2064" spans="2:4">
      <c r="B2064" s="412" t="s">
        <v>2321</v>
      </c>
      <c r="C2064" s="1112">
        <v>12994</v>
      </c>
      <c r="D2064" s="1112">
        <v>247045</v>
      </c>
    </row>
    <row r="2065" spans="2:4">
      <c r="B2065" s="412" t="s">
        <v>2322</v>
      </c>
      <c r="C2065" s="1112">
        <v>12994</v>
      </c>
      <c r="D2065" s="1112">
        <v>247045</v>
      </c>
    </row>
    <row r="2066" spans="2:4">
      <c r="B2066" s="412" t="s">
        <v>2323</v>
      </c>
      <c r="C2066" s="1112">
        <v>12140.161719549642</v>
      </c>
      <c r="D2066" s="1112">
        <v>229695.80040941658</v>
      </c>
    </row>
    <row r="2067" spans="2:4">
      <c r="B2067" s="412" t="s">
        <v>2324</v>
      </c>
      <c r="C2067" s="1112">
        <v>12994</v>
      </c>
      <c r="D2067" s="1112">
        <v>247045</v>
      </c>
    </row>
    <row r="2068" spans="2:4">
      <c r="B2068" s="412" t="s">
        <v>2325</v>
      </c>
      <c r="C2068" s="1112">
        <v>11395.282051282051</v>
      </c>
      <c r="D2068" s="1112">
        <v>214560.53846153847</v>
      </c>
    </row>
    <row r="2069" spans="2:4">
      <c r="B2069" s="412" t="s">
        <v>2326</v>
      </c>
      <c r="C2069" s="1112">
        <v>11039.454545454546</v>
      </c>
      <c r="D2069" s="1112">
        <v>207330.45454545456</v>
      </c>
    </row>
    <row r="2070" spans="2:4">
      <c r="B2070" s="412" t="s">
        <v>2327</v>
      </c>
      <c r="C2070" s="1112">
        <v>12994</v>
      </c>
      <c r="D2070" s="1112">
        <v>247045</v>
      </c>
    </row>
    <row r="2071" spans="2:4">
      <c r="B2071" s="412" t="s">
        <v>2328</v>
      </c>
      <c r="C2071" s="1112">
        <v>12994</v>
      </c>
      <c r="D2071" s="1112">
        <v>247045</v>
      </c>
    </row>
    <row r="2072" spans="2:4">
      <c r="B2072" s="412" t="s">
        <v>2329</v>
      </c>
      <c r="C2072" s="1112">
        <v>12994</v>
      </c>
      <c r="D2072" s="1112">
        <v>247045</v>
      </c>
    </row>
    <row r="2073" spans="2:4">
      <c r="B2073" s="412" t="s">
        <v>2330</v>
      </c>
      <c r="C2073" s="1112">
        <v>12994</v>
      </c>
      <c r="D2073" s="1112">
        <v>247045</v>
      </c>
    </row>
    <row r="2074" spans="2:4">
      <c r="B2074" s="412" t="s">
        <v>2331</v>
      </c>
      <c r="C2074" s="1112">
        <v>12994</v>
      </c>
      <c r="D2074" s="1112">
        <v>247045</v>
      </c>
    </row>
    <row r="2075" spans="2:4">
      <c r="B2075" s="412" t="s">
        <v>2332</v>
      </c>
      <c r="C2075" s="1112">
        <v>12994</v>
      </c>
      <c r="D2075" s="1112">
        <v>247045</v>
      </c>
    </row>
    <row r="2076" spans="2:4">
      <c r="B2076" s="412" t="s">
        <v>2333</v>
      </c>
      <c r="C2076" s="1112">
        <v>12994</v>
      </c>
      <c r="D2076" s="1112">
        <v>247045</v>
      </c>
    </row>
    <row r="2077" spans="2:4">
      <c r="B2077" s="412" t="s">
        <v>2334</v>
      </c>
      <c r="C2077" s="1112">
        <v>12994</v>
      </c>
      <c r="D2077" s="1112">
        <v>247045</v>
      </c>
    </row>
    <row r="2078" spans="2:4">
      <c r="B2078" s="412" t="s">
        <v>2335</v>
      </c>
      <c r="C2078" s="1112">
        <v>12994</v>
      </c>
      <c r="D2078" s="1112">
        <v>247045</v>
      </c>
    </row>
    <row r="2079" spans="2:4">
      <c r="B2079" s="412" t="s">
        <v>2336</v>
      </c>
      <c r="C2079" s="1112">
        <v>12994</v>
      </c>
      <c r="D2079" s="1112">
        <v>247045</v>
      </c>
    </row>
    <row r="2080" spans="2:4">
      <c r="B2080" s="412" t="s">
        <v>2337</v>
      </c>
      <c r="C2080" s="1112">
        <v>12994</v>
      </c>
      <c r="D2080" s="1112">
        <v>247045</v>
      </c>
    </row>
    <row r="2081" spans="2:4">
      <c r="B2081" s="412" t="s">
        <v>2338</v>
      </c>
      <c r="C2081" s="1112">
        <v>12996.395552025417</v>
      </c>
      <c r="D2081" s="1112">
        <v>247091.33200953138</v>
      </c>
    </row>
    <row r="2082" spans="2:4">
      <c r="B2082" s="412" t="s">
        <v>2339</v>
      </c>
      <c r="C2082" s="1112">
        <v>12994</v>
      </c>
      <c r="D2082" s="1112">
        <v>247045</v>
      </c>
    </row>
    <row r="2083" spans="2:4">
      <c r="B2083" s="412" t="s">
        <v>2340</v>
      </c>
      <c r="C2083" s="1112">
        <v>12994</v>
      </c>
      <c r="D2083" s="1112">
        <v>247045</v>
      </c>
    </row>
    <row r="2084" spans="2:4">
      <c r="B2084" s="412" t="s">
        <v>2341</v>
      </c>
      <c r="C2084" s="1112">
        <v>12994</v>
      </c>
      <c r="D2084" s="1112">
        <v>247045</v>
      </c>
    </row>
    <row r="2085" spans="2:4">
      <c r="B2085" s="412" t="s">
        <v>2342</v>
      </c>
      <c r="C2085" s="1112">
        <v>12994</v>
      </c>
      <c r="D2085" s="1112">
        <v>247045</v>
      </c>
    </row>
    <row r="2086" spans="2:4">
      <c r="B2086" s="412" t="s">
        <v>2343</v>
      </c>
      <c r="C2086" s="1112">
        <v>12994</v>
      </c>
      <c r="D2086" s="1112">
        <v>247045</v>
      </c>
    </row>
    <row r="2087" spans="2:4">
      <c r="B2087" s="412" t="s">
        <v>2344</v>
      </c>
      <c r="C2087" s="1112">
        <v>12994</v>
      </c>
      <c r="D2087" s="1112">
        <v>247045</v>
      </c>
    </row>
    <row r="2088" spans="2:4">
      <c r="B2088" s="412" t="s">
        <v>2345</v>
      </c>
      <c r="C2088" s="1112">
        <v>12994</v>
      </c>
      <c r="D2088" s="1112">
        <v>247045</v>
      </c>
    </row>
    <row r="2089" spans="2:4">
      <c r="B2089" s="412" t="s">
        <v>2346</v>
      </c>
      <c r="C2089" s="1112">
        <v>12994</v>
      </c>
      <c r="D2089" s="1112">
        <v>247045</v>
      </c>
    </row>
    <row r="2090" spans="2:4">
      <c r="B2090" s="412" t="s">
        <v>2347</v>
      </c>
      <c r="C2090" s="1112">
        <v>12994</v>
      </c>
      <c r="D2090" s="1112">
        <v>247045</v>
      </c>
    </row>
    <row r="2091" spans="2:4">
      <c r="B2091" s="412" t="s">
        <v>2348</v>
      </c>
      <c r="C2091" s="1112">
        <v>12994</v>
      </c>
      <c r="D2091" s="1112">
        <v>247045</v>
      </c>
    </row>
    <row r="2092" spans="2:4">
      <c r="B2092" s="412" t="s">
        <v>2349</v>
      </c>
      <c r="C2092" s="1112">
        <v>12994</v>
      </c>
      <c r="D2092" s="1112">
        <v>247045</v>
      </c>
    </row>
    <row r="2093" spans="2:4">
      <c r="B2093" s="412" t="s">
        <v>2350</v>
      </c>
      <c r="C2093" s="1112">
        <v>12994</v>
      </c>
      <c r="D2093" s="1112">
        <v>247045</v>
      </c>
    </row>
    <row r="2094" spans="2:4">
      <c r="B2094" s="412" t="s">
        <v>2351</v>
      </c>
      <c r="C2094" s="1112">
        <v>12994</v>
      </c>
      <c r="D2094" s="1112">
        <v>247045</v>
      </c>
    </row>
    <row r="2095" spans="2:4">
      <c r="B2095" s="412" t="s">
        <v>2352</v>
      </c>
      <c r="C2095" s="1112">
        <v>12994</v>
      </c>
      <c r="D2095" s="1112">
        <v>247045</v>
      </c>
    </row>
    <row r="2096" spans="2:4">
      <c r="B2096" s="412" t="s">
        <v>2353</v>
      </c>
      <c r="C2096" s="1112">
        <v>12994</v>
      </c>
      <c r="D2096" s="1112">
        <v>247045</v>
      </c>
    </row>
    <row r="2097" spans="2:4">
      <c r="B2097" s="412" t="s">
        <v>2354</v>
      </c>
      <c r="C2097" s="1112">
        <v>12994</v>
      </c>
      <c r="D2097" s="1112">
        <v>247045</v>
      </c>
    </row>
    <row r="2098" spans="2:4">
      <c r="B2098" s="412" t="s">
        <v>2355</v>
      </c>
      <c r="C2098" s="1112">
        <v>12994</v>
      </c>
      <c r="D2098" s="1112">
        <v>247045</v>
      </c>
    </row>
    <row r="2099" spans="2:4">
      <c r="B2099" s="412" t="s">
        <v>2356</v>
      </c>
      <c r="C2099" s="1112">
        <v>12994</v>
      </c>
      <c r="D2099" s="1112">
        <v>247045</v>
      </c>
    </row>
    <row r="2100" spans="2:4">
      <c r="B2100" s="412" t="s">
        <v>2357</v>
      </c>
      <c r="C2100" s="1112">
        <v>12994</v>
      </c>
      <c r="D2100" s="1112">
        <v>247045</v>
      </c>
    </row>
    <row r="2101" spans="2:4">
      <c r="B2101" s="412" t="s">
        <v>2358</v>
      </c>
      <c r="C2101" s="1112">
        <v>12994</v>
      </c>
      <c r="D2101" s="1112">
        <v>247045</v>
      </c>
    </row>
    <row r="2102" spans="2:4">
      <c r="B2102" s="412" t="s">
        <v>2359</v>
      </c>
      <c r="C2102" s="1112">
        <v>12994</v>
      </c>
      <c r="D2102" s="1112">
        <v>247045</v>
      </c>
    </row>
    <row r="2103" spans="2:4">
      <c r="B2103" s="412" t="s">
        <v>2360</v>
      </c>
      <c r="C2103" s="1112">
        <v>12994</v>
      </c>
      <c r="D2103" s="1112">
        <v>247045</v>
      </c>
    </row>
    <row r="2104" spans="2:4">
      <c r="B2104" s="412" t="s">
        <v>2361</v>
      </c>
      <c r="C2104" s="1112">
        <v>12994</v>
      </c>
      <c r="D2104" s="1112">
        <v>247045</v>
      </c>
    </row>
    <row r="2105" spans="2:4">
      <c r="B2105" s="412" t="s">
        <v>2362</v>
      </c>
      <c r="C2105" s="1112">
        <v>12994</v>
      </c>
      <c r="D2105" s="1112">
        <v>247045</v>
      </c>
    </row>
    <row r="2106" spans="2:4">
      <c r="B2106" s="412" t="s">
        <v>2363</v>
      </c>
      <c r="C2106" s="1112">
        <v>12994</v>
      </c>
      <c r="D2106" s="1112">
        <v>247045</v>
      </c>
    </row>
    <row r="2107" spans="2:4">
      <c r="B2107" s="412" t="s">
        <v>2364</v>
      </c>
      <c r="C2107" s="1112">
        <v>12994</v>
      </c>
      <c r="D2107" s="1112">
        <v>247045</v>
      </c>
    </row>
    <row r="2108" spans="2:4">
      <c r="B2108" s="412" t="s">
        <v>2365</v>
      </c>
      <c r="C2108" s="1112">
        <v>12994</v>
      </c>
      <c r="D2108" s="1112">
        <v>247045</v>
      </c>
    </row>
    <row r="2109" spans="2:4">
      <c r="B2109" s="412" t="s">
        <v>2366</v>
      </c>
      <c r="C2109" s="1112">
        <v>12994</v>
      </c>
      <c r="D2109" s="1112">
        <v>247045</v>
      </c>
    </row>
    <row r="2110" spans="2:4">
      <c r="B2110" s="412" t="s">
        <v>2367</v>
      </c>
      <c r="C2110" s="1112">
        <v>12994</v>
      </c>
      <c r="D2110" s="1112">
        <v>247045</v>
      </c>
    </row>
    <row r="2111" spans="2:4">
      <c r="B2111" s="412" t="s">
        <v>2368</v>
      </c>
      <c r="C2111" s="1112">
        <v>12994</v>
      </c>
      <c r="D2111" s="1112">
        <v>247045</v>
      </c>
    </row>
    <row r="2112" spans="2:4">
      <c r="B2112" s="412" t="s">
        <v>2369</v>
      </c>
      <c r="C2112" s="1112">
        <v>12994</v>
      </c>
      <c r="D2112" s="1112">
        <v>247045</v>
      </c>
    </row>
    <row r="2113" spans="2:4">
      <c r="B2113" s="412" t="s">
        <v>2370</v>
      </c>
      <c r="C2113" s="1112">
        <v>16010</v>
      </c>
      <c r="D2113" s="1112">
        <v>305377</v>
      </c>
    </row>
    <row r="2114" spans="2:4">
      <c r="B2114" s="412" t="s">
        <v>2371</v>
      </c>
      <c r="C2114" s="1112">
        <v>16010</v>
      </c>
      <c r="D2114" s="1112">
        <v>305377</v>
      </c>
    </row>
    <row r="2115" spans="2:4">
      <c r="B2115" s="412" t="s">
        <v>2372</v>
      </c>
      <c r="C2115" s="1112">
        <v>16010</v>
      </c>
      <c r="D2115" s="1112">
        <v>305377</v>
      </c>
    </row>
    <row r="2116" spans="2:4">
      <c r="B2116" s="412" t="s">
        <v>2373</v>
      </c>
      <c r="C2116" s="1112">
        <v>16010</v>
      </c>
      <c r="D2116" s="1112">
        <v>305377</v>
      </c>
    </row>
    <row r="2117" spans="2:4">
      <c r="B2117" s="412" t="s">
        <v>2374</v>
      </c>
      <c r="C2117" s="1112">
        <v>16010</v>
      </c>
      <c r="D2117" s="1112">
        <v>305377</v>
      </c>
    </row>
    <row r="2118" spans="2:4">
      <c r="B2118" s="412" t="s">
        <v>2375</v>
      </c>
      <c r="C2118" s="1112">
        <v>16010</v>
      </c>
      <c r="D2118" s="1112">
        <v>305377</v>
      </c>
    </row>
    <row r="2119" spans="2:4">
      <c r="B2119" s="412" t="s">
        <v>2376</v>
      </c>
      <c r="C2119" s="1112">
        <v>15798.226086956522</v>
      </c>
      <c r="D2119" s="1112">
        <v>301194.8956521739</v>
      </c>
    </row>
    <row r="2120" spans="2:4">
      <c r="B2120" s="412" t="s">
        <v>2377</v>
      </c>
      <c r="C2120" s="1112">
        <v>10844</v>
      </c>
      <c r="D2120" s="1112">
        <v>203359</v>
      </c>
    </row>
    <row r="2121" spans="2:4">
      <c r="B2121" s="412" t="s">
        <v>2378</v>
      </c>
      <c r="C2121" s="1112">
        <v>16010</v>
      </c>
      <c r="D2121" s="1112">
        <v>305377</v>
      </c>
    </row>
    <row r="2122" spans="2:4">
      <c r="B2122" s="412" t="s">
        <v>2379</v>
      </c>
      <c r="C2122" s="1112">
        <v>16010</v>
      </c>
      <c r="D2122" s="1112">
        <v>305377</v>
      </c>
    </row>
    <row r="2123" spans="2:4">
      <c r="B2123" s="412" t="s">
        <v>2380</v>
      </c>
      <c r="C2123" s="1112">
        <v>10844</v>
      </c>
      <c r="D2123" s="1112">
        <v>203359</v>
      </c>
    </row>
    <row r="2124" spans="2:4">
      <c r="B2124" s="412" t="s">
        <v>2381</v>
      </c>
      <c r="C2124" s="1112">
        <v>16010</v>
      </c>
      <c r="D2124" s="1112">
        <v>305377</v>
      </c>
    </row>
    <row r="2125" spans="2:4">
      <c r="B2125" s="412" t="s">
        <v>2382</v>
      </c>
      <c r="C2125" s="1112">
        <v>10856.848605577688</v>
      </c>
      <c r="D2125" s="1112">
        <v>203620.07171314742</v>
      </c>
    </row>
    <row r="2126" spans="2:4">
      <c r="B2126" s="412" t="s">
        <v>2383</v>
      </c>
      <c r="C2126" s="1112">
        <v>10844</v>
      </c>
      <c r="D2126" s="1112">
        <v>203359</v>
      </c>
    </row>
    <row r="2127" spans="2:4">
      <c r="B2127" s="412" t="s">
        <v>2384</v>
      </c>
      <c r="C2127" s="1112">
        <v>16010</v>
      </c>
      <c r="D2127" s="1112">
        <v>305377</v>
      </c>
    </row>
    <row r="2128" spans="2:4">
      <c r="B2128" s="412" t="s">
        <v>2385</v>
      </c>
      <c r="C2128" s="1112">
        <v>16010</v>
      </c>
      <c r="D2128" s="1112">
        <v>305377</v>
      </c>
    </row>
    <row r="2129" spans="2:4">
      <c r="B2129" s="412" t="s">
        <v>2386</v>
      </c>
      <c r="C2129" s="1112">
        <v>16010</v>
      </c>
      <c r="D2129" s="1112">
        <v>305377</v>
      </c>
    </row>
    <row r="2130" spans="2:4">
      <c r="B2130" s="412" t="s">
        <v>2387</v>
      </c>
      <c r="C2130" s="1112">
        <v>16010</v>
      </c>
      <c r="D2130" s="1112">
        <v>305377</v>
      </c>
    </row>
    <row r="2131" spans="2:4">
      <c r="B2131" s="412" t="s">
        <v>2388</v>
      </c>
      <c r="C2131" s="1112">
        <v>16010</v>
      </c>
      <c r="D2131" s="1112">
        <v>305377</v>
      </c>
    </row>
    <row r="2132" spans="2:4">
      <c r="B2132" s="412" t="s">
        <v>2389</v>
      </c>
      <c r="C2132" s="1112">
        <v>16010</v>
      </c>
      <c r="D2132" s="1112">
        <v>305377</v>
      </c>
    </row>
    <row r="2133" spans="2:4">
      <c r="B2133" s="412" t="s">
        <v>2390</v>
      </c>
      <c r="C2133" s="1112">
        <v>16010</v>
      </c>
      <c r="D2133" s="1112">
        <v>305377</v>
      </c>
    </row>
    <row r="2134" spans="2:4">
      <c r="B2134" s="412" t="s">
        <v>2391</v>
      </c>
      <c r="C2134" s="1112">
        <v>16010</v>
      </c>
      <c r="D2134" s="1112">
        <v>305377</v>
      </c>
    </row>
    <row r="2135" spans="2:4">
      <c r="B2135" s="412" t="s">
        <v>2392</v>
      </c>
      <c r="C2135" s="1112">
        <v>16010</v>
      </c>
      <c r="D2135" s="1112">
        <v>305377</v>
      </c>
    </row>
    <row r="2136" spans="2:4">
      <c r="B2136" s="412" t="s">
        <v>2393</v>
      </c>
      <c r="C2136" s="1112">
        <v>16010</v>
      </c>
      <c r="D2136" s="1112">
        <v>305377</v>
      </c>
    </row>
    <row r="2137" spans="2:4">
      <c r="B2137" s="412" t="s">
        <v>2394</v>
      </c>
      <c r="C2137" s="1112">
        <v>16010</v>
      </c>
      <c r="D2137" s="1112">
        <v>305377</v>
      </c>
    </row>
    <row r="2138" spans="2:4">
      <c r="B2138" s="412" t="s">
        <v>2395</v>
      </c>
      <c r="C2138" s="1112">
        <v>16010</v>
      </c>
      <c r="D2138" s="1112">
        <v>305377</v>
      </c>
    </row>
    <row r="2139" spans="2:4">
      <c r="B2139" s="412" t="s">
        <v>2396</v>
      </c>
      <c r="C2139" s="1112">
        <v>16010</v>
      </c>
      <c r="D2139" s="1112">
        <v>305377</v>
      </c>
    </row>
    <row r="2140" spans="2:4">
      <c r="B2140" s="412" t="s">
        <v>2397</v>
      </c>
      <c r="C2140" s="1112">
        <v>16010</v>
      </c>
      <c r="D2140" s="1112">
        <v>305377</v>
      </c>
    </row>
    <row r="2141" spans="2:4">
      <c r="B2141" s="412" t="s">
        <v>2398</v>
      </c>
      <c r="C2141" s="1112">
        <v>16010</v>
      </c>
      <c r="D2141" s="1112">
        <v>305377</v>
      </c>
    </row>
    <row r="2142" spans="2:4">
      <c r="B2142" s="412" t="s">
        <v>2399</v>
      </c>
      <c r="C2142" s="1112">
        <v>16010</v>
      </c>
      <c r="D2142" s="1112">
        <v>305377</v>
      </c>
    </row>
    <row r="2143" spans="2:4">
      <c r="B2143" s="412" t="s">
        <v>2400</v>
      </c>
      <c r="C2143" s="1112">
        <v>15947.278145695363</v>
      </c>
      <c r="D2143" s="1112">
        <v>304138.37086092716</v>
      </c>
    </row>
    <row r="2144" spans="2:4">
      <c r="B2144" s="412" t="s">
        <v>2401</v>
      </c>
      <c r="C2144" s="1112">
        <v>15483.170297029703</v>
      </c>
      <c r="D2144" s="1112">
        <v>294973.18415841582</v>
      </c>
    </row>
    <row r="2145" spans="2:4">
      <c r="B2145" s="412" t="s">
        <v>2402</v>
      </c>
      <c r="C2145" s="1112">
        <v>15244.150943396226</v>
      </c>
      <c r="D2145" s="1112">
        <v>290253.03773584904</v>
      </c>
    </row>
    <row r="2146" spans="2:4">
      <c r="B2146" s="412" t="s">
        <v>2403</v>
      </c>
      <c r="C2146" s="1112">
        <v>10844</v>
      </c>
      <c r="D2146" s="1112">
        <v>203359</v>
      </c>
    </row>
    <row r="2147" spans="2:4">
      <c r="B2147" s="412" t="s">
        <v>2404</v>
      </c>
      <c r="C2147" s="1112">
        <v>15213.504885993485</v>
      </c>
      <c r="D2147" s="1112">
        <v>289647.84039087949</v>
      </c>
    </row>
    <row r="2148" spans="2:4">
      <c r="B2148" s="412" t="s">
        <v>2405</v>
      </c>
      <c r="C2148" s="1112">
        <v>16010</v>
      </c>
      <c r="D2148" s="1112">
        <v>305377</v>
      </c>
    </row>
    <row r="2149" spans="2:4">
      <c r="B2149" s="412" t="s">
        <v>2406</v>
      </c>
      <c r="C2149" s="1112">
        <v>12994</v>
      </c>
      <c r="D2149" s="1112">
        <v>247045</v>
      </c>
    </row>
    <row r="2150" spans="2:4">
      <c r="B2150" s="412" t="s">
        <v>2407</v>
      </c>
      <c r="C2150" s="1112">
        <v>11930.044520547945</v>
      </c>
      <c r="D2150" s="1112">
        <v>225426.41438356164</v>
      </c>
    </row>
    <row r="2151" spans="2:4">
      <c r="B2151" s="412" t="s">
        <v>2408</v>
      </c>
      <c r="C2151" s="1112">
        <v>12994</v>
      </c>
      <c r="D2151" s="1112">
        <v>247045</v>
      </c>
    </row>
    <row r="2152" spans="2:4">
      <c r="B2152" s="412" t="s">
        <v>2409</v>
      </c>
      <c r="C2152" s="1112">
        <v>10844</v>
      </c>
      <c r="D2152" s="1112">
        <v>203359</v>
      </c>
    </row>
    <row r="2153" spans="2:4">
      <c r="B2153" s="412" t="s">
        <v>2410</v>
      </c>
      <c r="C2153" s="1112">
        <v>10874.595084087969</v>
      </c>
      <c r="D2153" s="1112">
        <v>203980.6636481242</v>
      </c>
    </row>
    <row r="2154" spans="2:4">
      <c r="B2154" s="412" t="s">
        <v>2411</v>
      </c>
      <c r="C2154" s="1112">
        <v>12994</v>
      </c>
      <c r="D2154" s="1112">
        <v>247045</v>
      </c>
    </row>
    <row r="2155" spans="2:4">
      <c r="B2155" s="412" t="s">
        <v>2412</v>
      </c>
      <c r="C2155" s="1112">
        <v>12994</v>
      </c>
      <c r="D2155" s="1112">
        <v>247045</v>
      </c>
    </row>
    <row r="2156" spans="2:4">
      <c r="B2156" s="412" t="s">
        <v>2413</v>
      </c>
      <c r="C2156" s="1112">
        <v>12994</v>
      </c>
      <c r="D2156" s="1112">
        <v>247045</v>
      </c>
    </row>
    <row r="2157" spans="2:4">
      <c r="B2157" s="412" t="s">
        <v>2414</v>
      </c>
      <c r="C2157" s="1112">
        <v>12994</v>
      </c>
      <c r="D2157" s="1112">
        <v>247045</v>
      </c>
    </row>
    <row r="2158" spans="2:4">
      <c r="B2158" s="412" t="s">
        <v>2415</v>
      </c>
      <c r="C2158" s="1112">
        <v>10844</v>
      </c>
      <c r="D2158" s="1112">
        <v>203359</v>
      </c>
    </row>
    <row r="2159" spans="2:4">
      <c r="B2159" s="412" t="s">
        <v>2416</v>
      </c>
      <c r="C2159" s="1112">
        <v>10844</v>
      </c>
      <c r="D2159" s="1112">
        <v>203359</v>
      </c>
    </row>
    <row r="2160" spans="2:4">
      <c r="B2160" s="412" t="s">
        <v>2417</v>
      </c>
      <c r="C2160" s="1112">
        <v>12994</v>
      </c>
      <c r="D2160" s="1112">
        <v>247045</v>
      </c>
    </row>
    <row r="2161" spans="2:4">
      <c r="B2161" s="412" t="s">
        <v>2418</v>
      </c>
      <c r="C2161" s="1112">
        <v>10844</v>
      </c>
      <c r="D2161" s="1112">
        <v>203359</v>
      </c>
    </row>
    <row r="2162" spans="2:4">
      <c r="B2162" s="412" t="s">
        <v>2419</v>
      </c>
      <c r="C2162" s="1112">
        <v>10844</v>
      </c>
      <c r="D2162" s="1112">
        <v>203359</v>
      </c>
    </row>
    <row r="2163" spans="2:4">
      <c r="B2163" s="412" t="s">
        <v>2420</v>
      </c>
      <c r="C2163" s="1112">
        <v>10844</v>
      </c>
      <c r="D2163" s="1112">
        <v>203359</v>
      </c>
    </row>
    <row r="2164" spans="2:4">
      <c r="B2164" s="412" t="s">
        <v>2421</v>
      </c>
      <c r="C2164" s="1112">
        <v>12994</v>
      </c>
      <c r="D2164" s="1112">
        <v>247045</v>
      </c>
    </row>
    <row r="2165" spans="2:4">
      <c r="B2165" s="412" t="s">
        <v>2422</v>
      </c>
      <c r="C2165" s="1112">
        <v>12994</v>
      </c>
      <c r="D2165" s="1112">
        <v>247045</v>
      </c>
    </row>
    <row r="2166" spans="2:4">
      <c r="B2166" s="412" t="s">
        <v>2423</v>
      </c>
      <c r="C2166" s="1112">
        <v>12994</v>
      </c>
      <c r="D2166" s="1112">
        <v>247045</v>
      </c>
    </row>
    <row r="2167" spans="2:4">
      <c r="B2167" s="412" t="s">
        <v>2424</v>
      </c>
      <c r="C2167" s="1112">
        <v>12994</v>
      </c>
      <c r="D2167" s="1112">
        <v>247045</v>
      </c>
    </row>
    <row r="2168" spans="2:4">
      <c r="B2168" s="412" t="s">
        <v>2425</v>
      </c>
      <c r="C2168" s="1112">
        <v>12994</v>
      </c>
      <c r="D2168" s="1112">
        <v>247045</v>
      </c>
    </row>
    <row r="2169" spans="2:4">
      <c r="B2169" s="412" t="s">
        <v>2426</v>
      </c>
      <c r="C2169" s="1112">
        <v>12994</v>
      </c>
      <c r="D2169" s="1112">
        <v>247045</v>
      </c>
    </row>
    <row r="2170" spans="2:4">
      <c r="B2170" s="412" t="s">
        <v>2427</v>
      </c>
      <c r="C2170" s="1112">
        <v>12994</v>
      </c>
      <c r="D2170" s="1112">
        <v>247045</v>
      </c>
    </row>
    <row r="2171" spans="2:4">
      <c r="B2171" s="412" t="s">
        <v>2428</v>
      </c>
      <c r="C2171" s="1112">
        <v>12994</v>
      </c>
      <c r="D2171" s="1112">
        <v>247045</v>
      </c>
    </row>
    <row r="2172" spans="2:4">
      <c r="B2172" s="412" t="s">
        <v>2429</v>
      </c>
      <c r="C2172" s="1112">
        <v>12994</v>
      </c>
      <c r="D2172" s="1112">
        <v>247045</v>
      </c>
    </row>
    <row r="2173" spans="2:4">
      <c r="B2173" s="412" t="s">
        <v>2430</v>
      </c>
      <c r="C2173" s="1112">
        <v>12994</v>
      </c>
      <c r="D2173" s="1112">
        <v>247045</v>
      </c>
    </row>
    <row r="2174" spans="2:4">
      <c r="B2174" s="412" t="s">
        <v>2431</v>
      </c>
      <c r="C2174" s="1112">
        <v>12994</v>
      </c>
      <c r="D2174" s="1112">
        <v>247045</v>
      </c>
    </row>
    <row r="2175" spans="2:4">
      <c r="B2175" s="412" t="s">
        <v>2432</v>
      </c>
      <c r="C2175" s="1112">
        <v>12994</v>
      </c>
      <c r="D2175" s="1112">
        <v>247045</v>
      </c>
    </row>
    <row r="2176" spans="2:4">
      <c r="B2176" s="412" t="s">
        <v>2433</v>
      </c>
      <c r="C2176" s="1112">
        <v>12994</v>
      </c>
      <c r="D2176" s="1112">
        <v>247045</v>
      </c>
    </row>
    <row r="2177" spans="2:4">
      <c r="B2177" s="412" t="s">
        <v>2434</v>
      </c>
      <c r="C2177" s="1112">
        <v>12994</v>
      </c>
      <c r="D2177" s="1112">
        <v>247045</v>
      </c>
    </row>
    <row r="2178" spans="2:4">
      <c r="B2178" s="412" t="s">
        <v>2435</v>
      </c>
      <c r="C2178" s="1112">
        <v>12994</v>
      </c>
      <c r="D2178" s="1112">
        <v>247045</v>
      </c>
    </row>
    <row r="2179" spans="2:4">
      <c r="B2179" s="412" t="s">
        <v>2436</v>
      </c>
      <c r="C2179" s="1112">
        <v>12994</v>
      </c>
      <c r="D2179" s="1112">
        <v>247045</v>
      </c>
    </row>
    <row r="2180" spans="2:4">
      <c r="B2180" s="412" t="s">
        <v>2437</v>
      </c>
      <c r="C2180" s="1112">
        <v>12994</v>
      </c>
      <c r="D2180" s="1112">
        <v>247045</v>
      </c>
    </row>
    <row r="2181" spans="2:4">
      <c r="B2181" s="412" t="s">
        <v>2438</v>
      </c>
      <c r="C2181" s="1112">
        <v>12994</v>
      </c>
      <c r="D2181" s="1112">
        <v>247045</v>
      </c>
    </row>
    <row r="2182" spans="2:4">
      <c r="B2182" s="412" t="s">
        <v>2439</v>
      </c>
      <c r="C2182" s="1112">
        <v>12994</v>
      </c>
      <c r="D2182" s="1112">
        <v>247045</v>
      </c>
    </row>
    <row r="2183" spans="2:4">
      <c r="B2183" s="412" t="s">
        <v>2440</v>
      </c>
      <c r="C2183" s="1112">
        <v>12956.34361968307</v>
      </c>
      <c r="D2183" s="1112">
        <v>246279.85738115097</v>
      </c>
    </row>
    <row r="2184" spans="2:4">
      <c r="B2184" s="412" t="s">
        <v>2441</v>
      </c>
      <c r="C2184" s="1112">
        <v>12994</v>
      </c>
      <c r="D2184" s="1112">
        <v>247045</v>
      </c>
    </row>
    <row r="2185" spans="2:4">
      <c r="B2185" s="412" t="s">
        <v>2442</v>
      </c>
      <c r="C2185" s="1112">
        <v>12994</v>
      </c>
      <c r="D2185" s="1112">
        <v>247045</v>
      </c>
    </row>
    <row r="2186" spans="2:4">
      <c r="B2186" s="412" t="s">
        <v>2443</v>
      </c>
      <c r="C2186" s="1112">
        <v>12994</v>
      </c>
      <c r="D2186" s="1112">
        <v>247045</v>
      </c>
    </row>
    <row r="2187" spans="2:4">
      <c r="B2187" s="412" t="s">
        <v>2444</v>
      </c>
      <c r="C2187" s="1112">
        <v>12994</v>
      </c>
      <c r="D2187" s="1112">
        <v>247045</v>
      </c>
    </row>
    <row r="2188" spans="2:4">
      <c r="B2188" s="412" t="s">
        <v>2445</v>
      </c>
      <c r="C2188" s="1112">
        <v>12706.942779291554</v>
      </c>
      <c r="D2188" s="1112">
        <v>241212.26430517712</v>
      </c>
    </row>
    <row r="2189" spans="2:4">
      <c r="B2189" s="412" t="s">
        <v>2446</v>
      </c>
      <c r="C2189" s="1112">
        <v>12206.881355932202</v>
      </c>
      <c r="D2189" s="1112">
        <v>231051.48135593219</v>
      </c>
    </row>
    <row r="2190" spans="2:4">
      <c r="B2190" s="412" t="s">
        <v>2447</v>
      </c>
      <c r="C2190" s="1112">
        <v>12990.648480124708</v>
      </c>
      <c r="D2190" s="1112">
        <v>246976.90023382698</v>
      </c>
    </row>
    <row r="2191" spans="2:4">
      <c r="B2191" s="412" t="s">
        <v>2448</v>
      </c>
      <c r="C2191" s="1112">
        <v>12683.017857142857</v>
      </c>
      <c r="D2191" s="1112">
        <v>240726.13214285715</v>
      </c>
    </row>
    <row r="2192" spans="2:4">
      <c r="B2192" s="412" t="s">
        <v>2449</v>
      </c>
      <c r="C2192" s="1112">
        <v>12726.905544147843</v>
      </c>
      <c r="D2192" s="1112">
        <v>241617.88911704312</v>
      </c>
    </row>
    <row r="2193" spans="2:4">
      <c r="B2193" s="412" t="s">
        <v>2450</v>
      </c>
      <c r="C2193" s="1112">
        <v>10848.114832535884</v>
      </c>
      <c r="D2193" s="1112">
        <v>203442.60956937799</v>
      </c>
    </row>
    <row r="2194" spans="2:4">
      <c r="B2194" s="412" t="s">
        <v>2451</v>
      </c>
      <c r="C2194" s="1112">
        <v>10913.307270233196</v>
      </c>
      <c r="D2194" s="1112">
        <v>204767.25925925927</v>
      </c>
    </row>
    <row r="2195" spans="2:4">
      <c r="B2195" s="412" t="s">
        <v>2452</v>
      </c>
      <c r="C2195" s="1112">
        <v>13097.565217391304</v>
      </c>
      <c r="D2195" s="1112">
        <v>248183.52173913043</v>
      </c>
    </row>
    <row r="2196" spans="2:4" ht="17" thickBot="1">
      <c r="B2196" s="413" t="s">
        <v>2453</v>
      </c>
      <c r="C2196" s="1113">
        <v>12869.157446808511</v>
      </c>
      <c r="D2196" s="1113">
        <v>243640.37872340425</v>
      </c>
    </row>
    <row r="2197" spans="2:4">
      <c r="B2197" s="415" t="s">
        <v>2454</v>
      </c>
      <c r="C2197" s="1111">
        <v>12994</v>
      </c>
      <c r="D2197" s="1111">
        <v>247045</v>
      </c>
    </row>
    <row r="2198" spans="2:4">
      <c r="B2198" s="412" t="s">
        <v>2455</v>
      </c>
      <c r="C2198" s="1112">
        <v>12994</v>
      </c>
      <c r="D2198" s="1112">
        <v>247045</v>
      </c>
    </row>
    <row r="2199" spans="2:4">
      <c r="B2199" s="412" t="s">
        <v>2456</v>
      </c>
      <c r="C2199" s="1112">
        <v>12994</v>
      </c>
      <c r="D2199" s="1112">
        <v>247045</v>
      </c>
    </row>
    <row r="2200" spans="2:4">
      <c r="B2200" s="412" t="s">
        <v>2457</v>
      </c>
      <c r="C2200" s="1112">
        <v>12994</v>
      </c>
      <c r="D2200" s="1112">
        <v>247045</v>
      </c>
    </row>
    <row r="2201" spans="2:4">
      <c r="B2201" s="412" t="s">
        <v>2458</v>
      </c>
      <c r="C2201" s="1112">
        <v>13164.369465648855</v>
      </c>
      <c r="D2201" s="1112">
        <v>250340.09007633588</v>
      </c>
    </row>
    <row r="2202" spans="2:4">
      <c r="B2202" s="412" t="s">
        <v>2459</v>
      </c>
      <c r="C2202" s="1112">
        <v>12994</v>
      </c>
      <c r="D2202" s="1112">
        <v>247045</v>
      </c>
    </row>
    <row r="2203" spans="2:4">
      <c r="B2203" s="412" t="s">
        <v>2460</v>
      </c>
      <c r="C2203" s="1112">
        <v>12994</v>
      </c>
      <c r="D2203" s="1112">
        <v>247045</v>
      </c>
    </row>
    <row r="2204" spans="2:4">
      <c r="B2204" s="412" t="s">
        <v>2461</v>
      </c>
      <c r="C2204" s="1112">
        <v>12994</v>
      </c>
      <c r="D2204" s="1112">
        <v>247045</v>
      </c>
    </row>
    <row r="2205" spans="2:4">
      <c r="B2205" s="412" t="s">
        <v>2462</v>
      </c>
      <c r="C2205" s="1112">
        <v>12994</v>
      </c>
      <c r="D2205" s="1112">
        <v>247045</v>
      </c>
    </row>
    <row r="2206" spans="2:4">
      <c r="B2206" s="412" t="s">
        <v>2463</v>
      </c>
      <c r="C2206" s="1112">
        <v>12994</v>
      </c>
      <c r="D2206" s="1112">
        <v>247045</v>
      </c>
    </row>
    <row r="2207" spans="2:4">
      <c r="B2207" s="412" t="s">
        <v>2464</v>
      </c>
      <c r="C2207" s="1112">
        <v>12994</v>
      </c>
      <c r="D2207" s="1112">
        <v>247045</v>
      </c>
    </row>
    <row r="2208" spans="2:4">
      <c r="B2208" s="412" t="s">
        <v>2465</v>
      </c>
      <c r="C2208" s="1112">
        <v>12994</v>
      </c>
      <c r="D2208" s="1112">
        <v>247045</v>
      </c>
    </row>
    <row r="2209" spans="2:4">
      <c r="B2209" s="412" t="s">
        <v>2466</v>
      </c>
      <c r="C2209" s="1112">
        <v>12994</v>
      </c>
      <c r="D2209" s="1112">
        <v>247045</v>
      </c>
    </row>
    <row r="2210" spans="2:4">
      <c r="B2210" s="412" t="s">
        <v>2467</v>
      </c>
      <c r="C2210" s="1112">
        <v>12988.430051813471</v>
      </c>
      <c r="D2210" s="1112">
        <v>246931.8238341969</v>
      </c>
    </row>
    <row r="2211" spans="2:4">
      <c r="B2211" s="412" t="s">
        <v>2468</v>
      </c>
      <c r="C2211" s="1112">
        <v>12994</v>
      </c>
      <c r="D2211" s="1112">
        <v>247045</v>
      </c>
    </row>
    <row r="2212" spans="2:4">
      <c r="B2212" s="412" t="s">
        <v>2469</v>
      </c>
      <c r="C2212" s="1112">
        <v>11330.15477629988</v>
      </c>
      <c r="D2212" s="1112">
        <v>213237.21281741234</v>
      </c>
    </row>
    <row r="2213" spans="2:4">
      <c r="B2213" s="412" t="s">
        <v>2470</v>
      </c>
      <c r="C2213" s="1112">
        <v>12994</v>
      </c>
      <c r="D2213" s="1112">
        <v>247045</v>
      </c>
    </row>
    <row r="2214" spans="2:4">
      <c r="B2214" s="412" t="s">
        <v>2471</v>
      </c>
      <c r="C2214" s="1112">
        <v>10860.044776119403</v>
      </c>
      <c r="D2214" s="1112">
        <v>203685.01492537314</v>
      </c>
    </row>
    <row r="2215" spans="2:4">
      <c r="B2215" s="412" t="s">
        <v>2472</v>
      </c>
      <c r="C2215" s="1112">
        <v>12994</v>
      </c>
      <c r="D2215" s="1112">
        <v>247045</v>
      </c>
    </row>
    <row r="2216" spans="2:4">
      <c r="B2216" s="412" t="s">
        <v>2473</v>
      </c>
      <c r="C2216" s="1112">
        <v>12994</v>
      </c>
      <c r="D2216" s="1112">
        <v>247045</v>
      </c>
    </row>
    <row r="2217" spans="2:4">
      <c r="B2217" s="412" t="s">
        <v>2474</v>
      </c>
      <c r="C2217" s="1112">
        <v>12994</v>
      </c>
      <c r="D2217" s="1112">
        <v>247045</v>
      </c>
    </row>
    <row r="2218" spans="2:4">
      <c r="B2218" s="412" t="s">
        <v>2475</v>
      </c>
      <c r="C2218" s="1112">
        <v>12994</v>
      </c>
      <c r="D2218" s="1112">
        <v>247045</v>
      </c>
    </row>
    <row r="2219" spans="2:4">
      <c r="B2219" s="412" t="s">
        <v>2476</v>
      </c>
      <c r="C2219" s="1112">
        <v>12994</v>
      </c>
      <c r="D2219" s="1112">
        <v>247045</v>
      </c>
    </row>
    <row r="2220" spans="2:4">
      <c r="B2220" s="412" t="s">
        <v>2477</v>
      </c>
      <c r="C2220" s="1112">
        <v>12994</v>
      </c>
      <c r="D2220" s="1112">
        <v>247045</v>
      </c>
    </row>
    <row r="2221" spans="2:4">
      <c r="B2221" s="412" t="s">
        <v>2478</v>
      </c>
      <c r="C2221" s="1112">
        <v>12994</v>
      </c>
      <c r="D2221" s="1112">
        <v>247045</v>
      </c>
    </row>
    <row r="2222" spans="2:4">
      <c r="B2222" s="412" t="s">
        <v>2479</v>
      </c>
      <c r="C2222" s="1112">
        <v>12994</v>
      </c>
      <c r="D2222" s="1112">
        <v>247045</v>
      </c>
    </row>
    <row r="2223" spans="2:4">
      <c r="B2223" s="412" t="s">
        <v>2480</v>
      </c>
      <c r="C2223" s="1112">
        <v>12994</v>
      </c>
      <c r="D2223" s="1112">
        <v>247045</v>
      </c>
    </row>
    <row r="2224" spans="2:4">
      <c r="B2224" s="412" t="s">
        <v>2481</v>
      </c>
      <c r="C2224" s="1112">
        <v>12980.791808873721</v>
      </c>
      <c r="D2224" s="1112">
        <v>246776.62184300341</v>
      </c>
    </row>
    <row r="2225" spans="2:4">
      <c r="B2225" s="412" t="s">
        <v>2482</v>
      </c>
      <c r="C2225" s="1112">
        <v>12994</v>
      </c>
      <c r="D2225" s="1112">
        <v>247045</v>
      </c>
    </row>
    <row r="2226" spans="2:4">
      <c r="B2226" s="412" t="s">
        <v>2483</v>
      </c>
      <c r="C2226" s="1112">
        <v>13401.923211169284</v>
      </c>
      <c r="D2226" s="1112">
        <v>254934.58115183245</v>
      </c>
    </row>
    <row r="2227" spans="2:4">
      <c r="B2227" s="412" t="s">
        <v>2484</v>
      </c>
      <c r="C2227" s="1112">
        <v>11171.061649319456</v>
      </c>
      <c r="D2227" s="1112">
        <v>210004.58847077662</v>
      </c>
    </row>
    <row r="2228" spans="2:4">
      <c r="B2228" s="412" t="s">
        <v>2485</v>
      </c>
      <c r="C2228" s="1112">
        <v>12994</v>
      </c>
      <c r="D2228" s="1112">
        <v>247045</v>
      </c>
    </row>
    <row r="2229" spans="2:4">
      <c r="B2229" s="412" t="s">
        <v>2486</v>
      </c>
      <c r="C2229" s="1112">
        <v>12994</v>
      </c>
      <c r="D2229" s="1112">
        <v>247045</v>
      </c>
    </row>
    <row r="2230" spans="2:4">
      <c r="B2230" s="412" t="s">
        <v>2487</v>
      </c>
      <c r="C2230" s="1112">
        <v>12966.477409638554</v>
      </c>
      <c r="D2230" s="1112">
        <v>246485.76656626505</v>
      </c>
    </row>
    <row r="2231" spans="2:4">
      <c r="B2231" s="412" t="s">
        <v>2488</v>
      </c>
      <c r="C2231" s="1112">
        <v>12994</v>
      </c>
      <c r="D2231" s="1112">
        <v>247045</v>
      </c>
    </row>
    <row r="2232" spans="2:4">
      <c r="B2232" s="412" t="s">
        <v>2489</v>
      </c>
      <c r="C2232" s="1112">
        <v>12072.044596912521</v>
      </c>
      <c r="D2232" s="1112">
        <v>228311.72384219553</v>
      </c>
    </row>
    <row r="2233" spans="2:4">
      <c r="B2233" s="412" t="s">
        <v>2490</v>
      </c>
      <c r="C2233" s="1112">
        <v>12994</v>
      </c>
      <c r="D2233" s="1112">
        <v>247045</v>
      </c>
    </row>
    <row r="2234" spans="2:4">
      <c r="B2234" s="412" t="s">
        <v>2491</v>
      </c>
      <c r="C2234" s="1112">
        <v>12994</v>
      </c>
      <c r="D2234" s="1112">
        <v>247045</v>
      </c>
    </row>
    <row r="2235" spans="2:4">
      <c r="B2235" s="412" t="s">
        <v>2492</v>
      </c>
      <c r="C2235" s="1112">
        <v>12994</v>
      </c>
      <c r="D2235" s="1112">
        <v>247045</v>
      </c>
    </row>
    <row r="2236" spans="2:4">
      <c r="B2236" s="412" t="s">
        <v>2493</v>
      </c>
      <c r="C2236" s="1112">
        <v>12994</v>
      </c>
      <c r="D2236" s="1112">
        <v>247045</v>
      </c>
    </row>
    <row r="2237" spans="2:4">
      <c r="B2237" s="412" t="s">
        <v>2494</v>
      </c>
      <c r="C2237" s="1112">
        <v>12994</v>
      </c>
      <c r="D2237" s="1112">
        <v>247045</v>
      </c>
    </row>
    <row r="2238" spans="2:4">
      <c r="B2238" s="412" t="s">
        <v>2495</v>
      </c>
      <c r="C2238" s="1112">
        <v>10941.377830750895</v>
      </c>
      <c r="D2238" s="1112">
        <v>205337.62693682956</v>
      </c>
    </row>
    <row r="2239" spans="2:4">
      <c r="B2239" s="412" t="s">
        <v>2496</v>
      </c>
      <c r="C2239" s="1112">
        <v>12777.049886621315</v>
      </c>
      <c r="D2239" s="1112">
        <v>242636.77551020408</v>
      </c>
    </row>
    <row r="2240" spans="2:4">
      <c r="B2240" s="412" t="s">
        <v>2497</v>
      </c>
      <c r="C2240" s="1112">
        <v>12994</v>
      </c>
      <c r="D2240" s="1112">
        <v>247045</v>
      </c>
    </row>
    <row r="2241" spans="2:4">
      <c r="B2241" s="412" t="s">
        <v>2498</v>
      </c>
      <c r="C2241" s="1112">
        <v>12994</v>
      </c>
      <c r="D2241" s="1112">
        <v>247045</v>
      </c>
    </row>
    <row r="2242" spans="2:4">
      <c r="B2242" s="412" t="s">
        <v>2499</v>
      </c>
      <c r="C2242" s="1112">
        <v>12980.5625</v>
      </c>
      <c r="D2242" s="1112">
        <v>246771.96249999999</v>
      </c>
    </row>
    <row r="2243" spans="2:4">
      <c r="B2243" s="412" t="s">
        <v>2500</v>
      </c>
      <c r="C2243" s="1112">
        <v>11385.829689298043</v>
      </c>
      <c r="D2243" s="1112">
        <v>214368.4752589183</v>
      </c>
    </row>
    <row r="2244" spans="2:4">
      <c r="B2244" s="412" t="s">
        <v>2501</v>
      </c>
      <c r="C2244" s="1112">
        <v>12994</v>
      </c>
      <c r="D2244" s="1112">
        <v>247045</v>
      </c>
    </row>
    <row r="2245" spans="2:4">
      <c r="B2245" s="412" t="s">
        <v>2502</v>
      </c>
      <c r="C2245" s="1112">
        <v>12994</v>
      </c>
      <c r="D2245" s="1112">
        <v>247045</v>
      </c>
    </row>
    <row r="2246" spans="2:4">
      <c r="B2246" s="412" t="s">
        <v>2503</v>
      </c>
      <c r="C2246" s="1112">
        <v>12994</v>
      </c>
      <c r="D2246" s="1112">
        <v>247045</v>
      </c>
    </row>
    <row r="2247" spans="2:4">
      <c r="B2247" s="412" t="s">
        <v>2504</v>
      </c>
      <c r="C2247" s="1112">
        <v>12951.843137254902</v>
      </c>
      <c r="D2247" s="1112">
        <v>246188.41176470587</v>
      </c>
    </row>
    <row r="2248" spans="2:4">
      <c r="B2248" s="704">
        <v>1</v>
      </c>
      <c r="C2248" s="1112">
        <v>31326</v>
      </c>
      <c r="D2248" s="1112">
        <v>602201</v>
      </c>
    </row>
    <row r="2249" spans="2:4">
      <c r="B2249" s="704">
        <v>10</v>
      </c>
      <c r="C2249" s="1112">
        <v>31326</v>
      </c>
      <c r="D2249" s="1112">
        <v>602201</v>
      </c>
    </row>
    <row r="2250" spans="2:4">
      <c r="B2250" s="704">
        <v>11</v>
      </c>
      <c r="C2250" s="1112">
        <v>31326</v>
      </c>
      <c r="D2250" s="1112">
        <v>602201</v>
      </c>
    </row>
    <row r="2251" spans="2:4">
      <c r="B2251" s="704">
        <v>12</v>
      </c>
      <c r="C2251" s="1112">
        <v>31326</v>
      </c>
      <c r="D2251" s="1112">
        <v>602201</v>
      </c>
    </row>
    <row r="2252" spans="2:4">
      <c r="B2252" s="704">
        <v>13</v>
      </c>
      <c r="C2252" s="1112">
        <v>31326</v>
      </c>
      <c r="D2252" s="1112">
        <v>602201</v>
      </c>
    </row>
    <row r="2253" spans="2:4">
      <c r="B2253" s="704">
        <v>14</v>
      </c>
      <c r="C2253" s="1112">
        <v>29998.407704654895</v>
      </c>
      <c r="D2253" s="1112">
        <v>576477.55537720711</v>
      </c>
    </row>
    <row r="2254" spans="2:4">
      <c r="B2254" s="704">
        <v>15</v>
      </c>
      <c r="C2254" s="1112">
        <v>13058.89203539823</v>
      </c>
      <c r="D2254" s="1112">
        <v>248302.18938053097</v>
      </c>
    </row>
    <row r="2255" spans="2:4">
      <c r="B2255" s="704">
        <v>16</v>
      </c>
      <c r="C2255" s="1112">
        <v>12994</v>
      </c>
      <c r="D2255" s="1112">
        <v>247045</v>
      </c>
    </row>
    <row r="2256" spans="2:4">
      <c r="B2256" s="704">
        <v>17</v>
      </c>
      <c r="C2256" s="1112">
        <v>12994</v>
      </c>
      <c r="D2256" s="1112">
        <v>247045</v>
      </c>
    </row>
    <row r="2257" spans="2:4">
      <c r="B2257" s="704">
        <v>18</v>
      </c>
      <c r="C2257" s="1112">
        <v>12994</v>
      </c>
      <c r="D2257" s="1112">
        <v>247045</v>
      </c>
    </row>
    <row r="2258" spans="2:4">
      <c r="B2258" s="704">
        <v>19</v>
      </c>
      <c r="C2258" s="1112">
        <v>12994</v>
      </c>
      <c r="D2258" s="1112">
        <v>247045</v>
      </c>
    </row>
    <row r="2259" spans="2:4">
      <c r="B2259" s="704">
        <v>2</v>
      </c>
      <c r="C2259" s="1112">
        <v>31326</v>
      </c>
      <c r="D2259" s="1112">
        <v>602201</v>
      </c>
    </row>
    <row r="2260" spans="2:4">
      <c r="B2260" s="704">
        <v>20</v>
      </c>
      <c r="C2260" s="1112">
        <v>12994</v>
      </c>
      <c r="D2260" s="1112">
        <v>247045</v>
      </c>
    </row>
    <row r="2261" spans="2:4">
      <c r="B2261" s="704">
        <v>3</v>
      </c>
      <c r="C2261" s="1112">
        <v>31326</v>
      </c>
      <c r="D2261" s="1112">
        <v>602201</v>
      </c>
    </row>
    <row r="2262" spans="2:4">
      <c r="B2262" s="704">
        <v>4</v>
      </c>
      <c r="C2262" s="1112">
        <v>16117.675324675325</v>
      </c>
      <c r="D2262" s="1112">
        <v>307363.68831168831</v>
      </c>
    </row>
    <row r="2263" spans="2:4">
      <c r="B2263" s="704">
        <v>5</v>
      </c>
      <c r="C2263" s="1112">
        <v>31326</v>
      </c>
      <c r="D2263" s="1112">
        <v>602201</v>
      </c>
    </row>
    <row r="2264" spans="2:4">
      <c r="B2264" s="704">
        <v>6</v>
      </c>
      <c r="C2264" s="1112">
        <v>31326</v>
      </c>
      <c r="D2264" s="1112">
        <v>602201</v>
      </c>
    </row>
    <row r="2265" spans="2:4">
      <c r="B2265" s="704">
        <v>7</v>
      </c>
      <c r="C2265" s="1112">
        <v>31326</v>
      </c>
      <c r="D2265" s="1112">
        <v>602201</v>
      </c>
    </row>
    <row r="2266" spans="2:4">
      <c r="B2266" s="704">
        <v>8</v>
      </c>
      <c r="C2266" s="1112">
        <v>31326</v>
      </c>
      <c r="D2266" s="1112">
        <v>602201</v>
      </c>
    </row>
    <row r="2267" spans="2:4" ht="17" thickBot="1">
      <c r="B2267" s="705">
        <v>9</v>
      </c>
      <c r="C2267" s="1113">
        <v>31326</v>
      </c>
      <c r="D2267" s="1113">
        <v>602201</v>
      </c>
    </row>
    <row r="2268" spans="2:4">
      <c r="B2268" s="415" t="s">
        <v>2505</v>
      </c>
      <c r="C2268" s="1111">
        <v>22005</v>
      </c>
      <c r="D2268" s="1111">
        <v>420523</v>
      </c>
    </row>
    <row r="2269" spans="2:4">
      <c r="B2269" s="412" t="s">
        <v>2506</v>
      </c>
      <c r="C2269" s="1112">
        <v>22005</v>
      </c>
      <c r="D2269" s="1112">
        <v>420523</v>
      </c>
    </row>
    <row r="2270" spans="2:4">
      <c r="B2270" s="412" t="s">
        <v>2507</v>
      </c>
      <c r="C2270" s="1112">
        <v>21988.089393939394</v>
      </c>
      <c r="D2270" s="1112">
        <v>420193.96363636362</v>
      </c>
    </row>
    <row r="2271" spans="2:4">
      <c r="B2271" s="412" t="s">
        <v>2508</v>
      </c>
      <c r="C2271" s="1112">
        <v>21782.848998459169</v>
      </c>
      <c r="D2271" s="1112">
        <v>416246.19260400615</v>
      </c>
    </row>
    <row r="2272" spans="2:4">
      <c r="B2272" s="412" t="s">
        <v>2509</v>
      </c>
      <c r="C2272" s="1112">
        <v>21705</v>
      </c>
      <c r="D2272" s="1112">
        <v>414720.54684838158</v>
      </c>
    </row>
    <row r="2273" spans="2:4">
      <c r="B2273" s="412" t="s">
        <v>2510</v>
      </c>
      <c r="C2273" s="1112">
        <v>22005</v>
      </c>
      <c r="D2273" s="1112">
        <v>420523</v>
      </c>
    </row>
    <row r="2274" spans="2:4">
      <c r="B2274" s="412" t="s">
        <v>2511</v>
      </c>
      <c r="C2274" s="1112">
        <v>21932.525469168901</v>
      </c>
      <c r="D2274" s="1112">
        <v>419127.73458445043</v>
      </c>
    </row>
    <row r="2275" spans="2:4">
      <c r="B2275" s="412" t="s">
        <v>2512</v>
      </c>
      <c r="C2275" s="1112">
        <v>12994</v>
      </c>
      <c r="D2275" s="1112">
        <v>247045</v>
      </c>
    </row>
    <row r="2276" spans="2:4">
      <c r="B2276" s="412" t="s">
        <v>2513</v>
      </c>
      <c r="C2276" s="1112">
        <v>22005</v>
      </c>
      <c r="D2276" s="1112">
        <v>420523</v>
      </c>
    </row>
    <row r="2277" spans="2:4">
      <c r="B2277" s="412" t="s">
        <v>2514</v>
      </c>
      <c r="C2277" s="1112">
        <v>21963.004769475359</v>
      </c>
      <c r="D2277" s="1112">
        <v>419710.74880763114</v>
      </c>
    </row>
    <row r="2278" spans="2:4">
      <c r="B2278" s="412" t="s">
        <v>2515</v>
      </c>
      <c r="C2278" s="1112">
        <v>12960.555555555555</v>
      </c>
      <c r="D2278" s="1112">
        <v>246365.44</v>
      </c>
    </row>
    <row r="2279" spans="2:4">
      <c r="B2279" s="412" t="s">
        <v>2516</v>
      </c>
      <c r="C2279" s="1112">
        <v>13200</v>
      </c>
      <c r="D2279" s="1112">
        <v>250221</v>
      </c>
    </row>
    <row r="2280" spans="2:4">
      <c r="B2280" s="412" t="s">
        <v>2517</v>
      </c>
      <c r="C2280" s="1112">
        <v>13200</v>
      </c>
      <c r="D2280" s="1112">
        <v>250221</v>
      </c>
    </row>
    <row r="2281" spans="2:4">
      <c r="B2281" s="412" t="s">
        <v>2518</v>
      </c>
      <c r="C2281" s="1112">
        <v>22005</v>
      </c>
      <c r="D2281" s="1112">
        <v>420523</v>
      </c>
    </row>
    <row r="2282" spans="2:4">
      <c r="B2282" s="412" t="s">
        <v>2519</v>
      </c>
      <c r="C2282" s="1112">
        <v>10844</v>
      </c>
      <c r="D2282" s="1112">
        <v>203359</v>
      </c>
    </row>
    <row r="2283" spans="2:4">
      <c r="B2283" s="412" t="s">
        <v>2520</v>
      </c>
      <c r="C2283" s="1112">
        <v>10844</v>
      </c>
      <c r="D2283" s="1112">
        <v>203359</v>
      </c>
    </row>
    <row r="2284" spans="2:4">
      <c r="B2284" s="412" t="s">
        <v>2521</v>
      </c>
      <c r="C2284" s="1112">
        <v>21053.655172413793</v>
      </c>
      <c r="D2284" s="1112">
        <v>402122.55402298848</v>
      </c>
    </row>
    <row r="2285" spans="2:4">
      <c r="B2285" s="412" t="s">
        <v>2522</v>
      </c>
      <c r="C2285" s="1112">
        <v>16983.86766712142</v>
      </c>
      <c r="D2285" s="1112">
        <v>323406.71623465209</v>
      </c>
    </row>
    <row r="2286" spans="2:4">
      <c r="B2286" s="412" t="s">
        <v>2523</v>
      </c>
      <c r="C2286" s="1112">
        <v>22005</v>
      </c>
      <c r="D2286" s="1112">
        <v>420523</v>
      </c>
    </row>
    <row r="2287" spans="2:4">
      <c r="B2287" s="412" t="s">
        <v>2524</v>
      </c>
      <c r="C2287" s="1112">
        <v>12994</v>
      </c>
      <c r="D2287" s="1112">
        <v>247045</v>
      </c>
    </row>
    <row r="2288" spans="2:4">
      <c r="B2288" s="412" t="s">
        <v>2525</v>
      </c>
      <c r="C2288" s="1112">
        <v>12994</v>
      </c>
      <c r="D2288" s="1112">
        <v>247045</v>
      </c>
    </row>
    <row r="2289" spans="2:4">
      <c r="B2289" s="412" t="s">
        <v>2526</v>
      </c>
      <c r="C2289" s="1112">
        <v>12982.83116883117</v>
      </c>
      <c r="D2289" s="1112">
        <v>246818.05974025975</v>
      </c>
    </row>
    <row r="2290" spans="2:4">
      <c r="B2290" s="412" t="s">
        <v>2527</v>
      </c>
      <c r="C2290" s="1112">
        <v>12269.166191832859</v>
      </c>
      <c r="D2290" s="1112">
        <v>232317.05128205128</v>
      </c>
    </row>
    <row r="2291" spans="2:4">
      <c r="B2291" s="412" t="s">
        <v>2528</v>
      </c>
      <c r="C2291" s="1112">
        <v>11574.619469026549</v>
      </c>
      <c r="D2291" s="1112">
        <v>218204.50796460177</v>
      </c>
    </row>
    <row r="2292" spans="2:4">
      <c r="B2292" s="412" t="s">
        <v>2529</v>
      </c>
      <c r="C2292" s="1112">
        <v>12936.920353982301</v>
      </c>
      <c r="D2292" s="1112">
        <v>245885.19469026549</v>
      </c>
    </row>
    <row r="2293" spans="2:4">
      <c r="B2293" s="412" t="s">
        <v>2530</v>
      </c>
      <c r="C2293" s="1112">
        <v>12994</v>
      </c>
      <c r="D2293" s="1112">
        <v>247045</v>
      </c>
    </row>
    <row r="2294" spans="2:4">
      <c r="B2294" s="412" t="s">
        <v>2531</v>
      </c>
      <c r="C2294" s="1112">
        <v>22005</v>
      </c>
      <c r="D2294" s="1112">
        <v>420523</v>
      </c>
    </row>
    <row r="2295" spans="2:4">
      <c r="B2295" s="412" t="s">
        <v>2532</v>
      </c>
      <c r="C2295" s="1112">
        <v>22005</v>
      </c>
      <c r="D2295" s="1112">
        <v>420523</v>
      </c>
    </row>
    <row r="2296" spans="2:4">
      <c r="B2296" s="412" t="s">
        <v>2533</v>
      </c>
      <c r="C2296" s="1112">
        <v>13208.54854368932</v>
      </c>
      <c r="D2296" s="1112">
        <v>250386.34174757282</v>
      </c>
    </row>
    <row r="2297" spans="2:4">
      <c r="B2297" s="412" t="s">
        <v>2534</v>
      </c>
      <c r="C2297" s="1112">
        <v>13251.251455180442</v>
      </c>
      <c r="D2297" s="1112">
        <v>251212.28055878929</v>
      </c>
    </row>
    <row r="2298" spans="2:4">
      <c r="B2298" s="412" t="s">
        <v>2535</v>
      </c>
      <c r="C2298" s="1112">
        <v>13200</v>
      </c>
      <c r="D2298" s="1112">
        <v>250221</v>
      </c>
    </row>
    <row r="2299" spans="2:4">
      <c r="B2299" s="412" t="s">
        <v>2536</v>
      </c>
      <c r="C2299" s="1112">
        <v>13200</v>
      </c>
      <c r="D2299" s="1112">
        <v>250221</v>
      </c>
    </row>
    <row r="2300" spans="2:4">
      <c r="B2300" s="412" t="s">
        <v>2537</v>
      </c>
      <c r="C2300" s="1112">
        <v>13200</v>
      </c>
      <c r="D2300" s="1112">
        <v>250221</v>
      </c>
    </row>
    <row r="2301" spans="2:4">
      <c r="B2301" s="412" t="s">
        <v>2538</v>
      </c>
      <c r="C2301" s="1112">
        <v>13200</v>
      </c>
      <c r="D2301" s="1112">
        <v>250221</v>
      </c>
    </row>
    <row r="2302" spans="2:4">
      <c r="B2302" s="412" t="s">
        <v>2539</v>
      </c>
      <c r="C2302" s="1112">
        <v>13200</v>
      </c>
      <c r="D2302" s="1112">
        <v>250221</v>
      </c>
    </row>
    <row r="2303" spans="2:4">
      <c r="B2303" s="412" t="s">
        <v>2540</v>
      </c>
      <c r="C2303" s="1112">
        <v>22005</v>
      </c>
      <c r="D2303" s="1112">
        <v>420523</v>
      </c>
    </row>
    <row r="2304" spans="2:4">
      <c r="B2304" s="412" t="s">
        <v>2541</v>
      </c>
      <c r="C2304" s="1112">
        <v>13200</v>
      </c>
      <c r="D2304" s="1112">
        <v>250221</v>
      </c>
    </row>
    <row r="2305" spans="2:4">
      <c r="B2305" s="412" t="s">
        <v>2542</v>
      </c>
      <c r="C2305" s="1112">
        <v>13200</v>
      </c>
      <c r="D2305" s="1112">
        <v>250221</v>
      </c>
    </row>
    <row r="2306" spans="2:4">
      <c r="B2306" s="412" t="s">
        <v>2543</v>
      </c>
      <c r="C2306" s="1112">
        <v>13200</v>
      </c>
      <c r="D2306" s="1112">
        <v>250221</v>
      </c>
    </row>
    <row r="2307" spans="2:4">
      <c r="B2307" s="412" t="s">
        <v>2544</v>
      </c>
      <c r="C2307" s="1112">
        <v>13200</v>
      </c>
      <c r="D2307" s="1112">
        <v>250221</v>
      </c>
    </row>
    <row r="2308" spans="2:4">
      <c r="B2308" s="412" t="s">
        <v>2545</v>
      </c>
      <c r="C2308" s="1112">
        <v>13200</v>
      </c>
      <c r="D2308" s="1112">
        <v>250221</v>
      </c>
    </row>
    <row r="2309" spans="2:4">
      <c r="B2309" s="412" t="s">
        <v>2546</v>
      </c>
      <c r="C2309" s="1112">
        <v>13200</v>
      </c>
      <c r="D2309" s="1112">
        <v>250221</v>
      </c>
    </row>
    <row r="2310" spans="2:4">
      <c r="B2310" s="412" t="s">
        <v>2547</v>
      </c>
      <c r="C2310" s="1112">
        <v>21994.373820754718</v>
      </c>
      <c r="D2310" s="1112">
        <v>420318.42688679247</v>
      </c>
    </row>
    <row r="2311" spans="2:4">
      <c r="B2311" s="412" t="s">
        <v>2548</v>
      </c>
      <c r="C2311" s="1112">
        <v>12334.46247464503</v>
      </c>
      <c r="D2311" s="1112">
        <v>233627.42596348884</v>
      </c>
    </row>
    <row r="2312" spans="2:4">
      <c r="B2312" s="412" t="s">
        <v>2549</v>
      </c>
      <c r="C2312" s="1112">
        <v>13012.306640625</v>
      </c>
      <c r="D2312" s="1112">
        <v>247327.2421875</v>
      </c>
    </row>
    <row r="2313" spans="2:4">
      <c r="B2313" s="412" t="s">
        <v>2550</v>
      </c>
      <c r="C2313" s="1112">
        <v>22005</v>
      </c>
      <c r="D2313" s="1112">
        <v>420523</v>
      </c>
    </row>
    <row r="2314" spans="2:4">
      <c r="B2314" s="412" t="s">
        <v>2551</v>
      </c>
      <c r="C2314" s="1112">
        <v>22005</v>
      </c>
      <c r="D2314" s="1112">
        <v>420523</v>
      </c>
    </row>
    <row r="2315" spans="2:4">
      <c r="B2315" s="412" t="s">
        <v>2552</v>
      </c>
      <c r="C2315" s="1112">
        <v>18427.96875</v>
      </c>
      <c r="D2315" s="1112">
        <v>351337.8125</v>
      </c>
    </row>
    <row r="2316" spans="2:4">
      <c r="B2316" s="412" t="s">
        <v>2553</v>
      </c>
      <c r="C2316" s="1112">
        <v>22005</v>
      </c>
      <c r="D2316" s="1112">
        <v>420523</v>
      </c>
    </row>
    <row r="2317" spans="2:4">
      <c r="B2317" s="412" t="s">
        <v>2554</v>
      </c>
      <c r="C2317" s="1112">
        <v>13651.538461538461</v>
      </c>
      <c r="D2317" s="1112">
        <v>258954.43589743591</v>
      </c>
    </row>
    <row r="2318" spans="2:4">
      <c r="B2318" s="412" t="s">
        <v>2555</v>
      </c>
      <c r="C2318" s="1112">
        <v>22005</v>
      </c>
      <c r="D2318" s="1112">
        <v>420523</v>
      </c>
    </row>
    <row r="2319" spans="2:4">
      <c r="B2319" s="412" t="s">
        <v>2556</v>
      </c>
      <c r="C2319" s="1112">
        <v>22005</v>
      </c>
      <c r="D2319" s="1112">
        <v>420523</v>
      </c>
    </row>
    <row r="2320" spans="2:4">
      <c r="B2320" s="412" t="s">
        <v>2557</v>
      </c>
      <c r="C2320" s="1112">
        <v>12994</v>
      </c>
      <c r="D2320" s="1112">
        <v>247045</v>
      </c>
    </row>
    <row r="2321" spans="2:4">
      <c r="B2321" s="412" t="s">
        <v>2558</v>
      </c>
      <c r="C2321" s="1112">
        <v>12994</v>
      </c>
      <c r="D2321" s="1112">
        <v>247045</v>
      </c>
    </row>
    <row r="2322" spans="2:4">
      <c r="B2322" s="412" t="s">
        <v>2559</v>
      </c>
      <c r="C2322" s="1112">
        <v>12994</v>
      </c>
      <c r="D2322" s="1112">
        <v>247045</v>
      </c>
    </row>
    <row r="2323" spans="2:4">
      <c r="B2323" s="412" t="s">
        <v>2560</v>
      </c>
      <c r="C2323" s="1112">
        <v>12994</v>
      </c>
      <c r="D2323" s="1112">
        <v>247045</v>
      </c>
    </row>
    <row r="2324" spans="2:4">
      <c r="B2324" s="412" t="s">
        <v>2561</v>
      </c>
      <c r="C2324" s="1112">
        <v>12994</v>
      </c>
      <c r="D2324" s="1112">
        <v>247045</v>
      </c>
    </row>
    <row r="2325" spans="2:4">
      <c r="B2325" s="412" t="s">
        <v>2562</v>
      </c>
      <c r="C2325" s="1112">
        <v>12994</v>
      </c>
      <c r="D2325" s="1112">
        <v>247045</v>
      </c>
    </row>
    <row r="2326" spans="2:4">
      <c r="B2326" s="412" t="s">
        <v>2563</v>
      </c>
      <c r="C2326" s="1112">
        <v>12994</v>
      </c>
      <c r="D2326" s="1112">
        <v>247045</v>
      </c>
    </row>
    <row r="2327" spans="2:4">
      <c r="B2327" s="412" t="s">
        <v>2564</v>
      </c>
      <c r="C2327" s="1112">
        <v>12994</v>
      </c>
      <c r="D2327" s="1112">
        <v>247045</v>
      </c>
    </row>
    <row r="2328" spans="2:4">
      <c r="B2328" s="412" t="s">
        <v>2565</v>
      </c>
      <c r="C2328" s="1112">
        <v>12994</v>
      </c>
      <c r="D2328" s="1112">
        <v>247045</v>
      </c>
    </row>
    <row r="2329" spans="2:4">
      <c r="B2329" s="412" t="s">
        <v>2566</v>
      </c>
      <c r="C2329" s="1112">
        <v>12994</v>
      </c>
      <c r="D2329" s="1112">
        <v>247045</v>
      </c>
    </row>
    <row r="2330" spans="2:4">
      <c r="B2330" s="412" t="s">
        <v>2567</v>
      </c>
      <c r="C2330" s="1112">
        <v>12994</v>
      </c>
      <c r="D2330" s="1112">
        <v>247045</v>
      </c>
    </row>
    <row r="2331" spans="2:4">
      <c r="B2331" s="412" t="s">
        <v>2568</v>
      </c>
      <c r="C2331" s="1112">
        <v>12994</v>
      </c>
      <c r="D2331" s="1112">
        <v>247045</v>
      </c>
    </row>
    <row r="2332" spans="2:4">
      <c r="B2332" s="412" t="s">
        <v>2569</v>
      </c>
      <c r="C2332" s="1112">
        <v>12994</v>
      </c>
      <c r="D2332" s="1112">
        <v>247045</v>
      </c>
    </row>
    <row r="2333" spans="2:4">
      <c r="B2333" s="412" t="s">
        <v>2570</v>
      </c>
      <c r="C2333" s="1112">
        <v>12994</v>
      </c>
      <c r="D2333" s="1112">
        <v>247045</v>
      </c>
    </row>
    <row r="2334" spans="2:4">
      <c r="B2334" s="412" t="s">
        <v>2571</v>
      </c>
      <c r="C2334" s="1112">
        <v>12994</v>
      </c>
      <c r="D2334" s="1112">
        <v>247045</v>
      </c>
    </row>
    <row r="2335" spans="2:4">
      <c r="B2335" s="412" t="s">
        <v>2572</v>
      </c>
      <c r="C2335" s="1112">
        <v>12994</v>
      </c>
      <c r="D2335" s="1112">
        <v>247045</v>
      </c>
    </row>
    <row r="2336" spans="2:4">
      <c r="B2336" s="412" t="s">
        <v>2573</v>
      </c>
      <c r="C2336" s="1112">
        <v>12994</v>
      </c>
      <c r="D2336" s="1112">
        <v>247045</v>
      </c>
    </row>
    <row r="2337" spans="2:4">
      <c r="B2337" s="412" t="s">
        <v>2574</v>
      </c>
      <c r="C2337" s="1112">
        <v>12994</v>
      </c>
      <c r="D2337" s="1112">
        <v>247045</v>
      </c>
    </row>
    <row r="2338" spans="2:4">
      <c r="B2338" s="412" t="s">
        <v>2575</v>
      </c>
      <c r="C2338" s="1112">
        <v>12944</v>
      </c>
      <c r="D2338" s="1112">
        <v>246029.04651162791</v>
      </c>
    </row>
    <row r="2339" spans="2:4">
      <c r="B2339" s="412" t="s">
        <v>2576</v>
      </c>
      <c r="C2339" s="1112">
        <v>12994</v>
      </c>
      <c r="D2339" s="1112">
        <v>247045</v>
      </c>
    </row>
    <row r="2340" spans="2:4">
      <c r="B2340" s="412" t="s">
        <v>2577</v>
      </c>
      <c r="C2340" s="1112">
        <v>12994</v>
      </c>
      <c r="D2340" s="1112">
        <v>247045</v>
      </c>
    </row>
    <row r="2341" spans="2:4">
      <c r="B2341" s="412" t="s">
        <v>2578</v>
      </c>
      <c r="C2341" s="1112">
        <v>12127.246073298429</v>
      </c>
      <c r="D2341" s="1112">
        <v>229433.3664921466</v>
      </c>
    </row>
    <row r="2342" spans="2:4">
      <c r="B2342" s="412" t="s">
        <v>2579</v>
      </c>
      <c r="C2342" s="1112">
        <v>12755.111111111111</v>
      </c>
      <c r="D2342" s="1112">
        <v>242191</v>
      </c>
    </row>
    <row r="2343" spans="2:4">
      <c r="B2343" s="412" t="s">
        <v>2580</v>
      </c>
      <c r="C2343" s="1112">
        <v>12994</v>
      </c>
      <c r="D2343" s="1112">
        <v>247045</v>
      </c>
    </row>
    <row r="2344" spans="2:4">
      <c r="B2344" s="412" t="s">
        <v>2581</v>
      </c>
      <c r="C2344" s="1112">
        <v>11959.566037735849</v>
      </c>
      <c r="D2344" s="1112">
        <v>226026.2641509434</v>
      </c>
    </row>
    <row r="2345" spans="2:4">
      <c r="B2345" s="412" t="s">
        <v>2582</v>
      </c>
      <c r="C2345" s="1112">
        <v>12994</v>
      </c>
      <c r="D2345" s="1112">
        <v>247045</v>
      </c>
    </row>
    <row r="2346" spans="2:4">
      <c r="B2346" s="412" t="s">
        <v>2583</v>
      </c>
      <c r="C2346" s="1112">
        <v>12994</v>
      </c>
      <c r="D2346" s="1112">
        <v>247045</v>
      </c>
    </row>
    <row r="2347" spans="2:4">
      <c r="B2347" s="412" t="s">
        <v>2584</v>
      </c>
      <c r="C2347" s="1112">
        <v>11486.307692307691</v>
      </c>
      <c r="D2347" s="1112">
        <v>216410.09481216458</v>
      </c>
    </row>
    <row r="2348" spans="2:4">
      <c r="B2348" s="412" t="s">
        <v>2585</v>
      </c>
      <c r="C2348" s="1112">
        <v>11300.551204819278</v>
      </c>
      <c r="D2348" s="1112">
        <v>212635.69578313254</v>
      </c>
    </row>
    <row r="2349" spans="2:4">
      <c r="B2349" s="412" t="s">
        <v>2586</v>
      </c>
      <c r="C2349" s="1112">
        <v>10844</v>
      </c>
      <c r="D2349" s="1112">
        <v>203359</v>
      </c>
    </row>
    <row r="2350" spans="2:4">
      <c r="B2350" s="412" t="s">
        <v>2587</v>
      </c>
      <c r="C2350" s="1112">
        <v>10844</v>
      </c>
      <c r="D2350" s="1112">
        <v>203359</v>
      </c>
    </row>
    <row r="2351" spans="2:4">
      <c r="B2351" s="412" t="s">
        <v>2588</v>
      </c>
      <c r="C2351" s="1112">
        <v>10844</v>
      </c>
      <c r="D2351" s="1112">
        <v>203359</v>
      </c>
    </row>
    <row r="2352" spans="2:4">
      <c r="B2352" s="412" t="s">
        <v>2589</v>
      </c>
      <c r="C2352" s="1112">
        <v>11099.277044854882</v>
      </c>
      <c r="D2352" s="1112">
        <v>208545.99208443271</v>
      </c>
    </row>
    <row r="2353" spans="2:4">
      <c r="B2353" s="412" t="s">
        <v>2590</v>
      </c>
      <c r="C2353" s="1112">
        <v>12994</v>
      </c>
      <c r="D2353" s="1112">
        <v>247045</v>
      </c>
    </row>
    <row r="2354" spans="2:4">
      <c r="B2354" s="412" t="s">
        <v>2591</v>
      </c>
      <c r="C2354" s="1112">
        <v>12994</v>
      </c>
      <c r="D2354" s="1112">
        <v>247045</v>
      </c>
    </row>
    <row r="2355" spans="2:4">
      <c r="B2355" s="412" t="s">
        <v>2592</v>
      </c>
      <c r="C2355" s="1112">
        <v>12994</v>
      </c>
      <c r="D2355" s="1112">
        <v>247045</v>
      </c>
    </row>
    <row r="2356" spans="2:4">
      <c r="B2356" s="412" t="s">
        <v>2593</v>
      </c>
      <c r="C2356" s="1112">
        <v>12994</v>
      </c>
      <c r="D2356" s="1112">
        <v>247045</v>
      </c>
    </row>
    <row r="2357" spans="2:4">
      <c r="B2357" s="412" t="s">
        <v>2594</v>
      </c>
      <c r="C2357" s="1112">
        <v>12994</v>
      </c>
      <c r="D2357" s="1112">
        <v>247045</v>
      </c>
    </row>
    <row r="2358" spans="2:4">
      <c r="B2358" s="412" t="s">
        <v>2595</v>
      </c>
      <c r="C2358" s="1112">
        <v>12994</v>
      </c>
      <c r="D2358" s="1112">
        <v>247045</v>
      </c>
    </row>
    <row r="2359" spans="2:4">
      <c r="B2359" s="412" t="s">
        <v>2596</v>
      </c>
      <c r="C2359" s="1112">
        <v>12994</v>
      </c>
      <c r="D2359" s="1112">
        <v>247045</v>
      </c>
    </row>
    <row r="2360" spans="2:4">
      <c r="B2360" s="412" t="s">
        <v>2597</v>
      </c>
      <c r="C2360" s="1112">
        <v>12994</v>
      </c>
      <c r="D2360" s="1112">
        <v>247045</v>
      </c>
    </row>
    <row r="2361" spans="2:4">
      <c r="B2361" s="412" t="s">
        <v>2598</v>
      </c>
      <c r="C2361" s="1112">
        <v>12994</v>
      </c>
      <c r="D2361" s="1112">
        <v>247045</v>
      </c>
    </row>
    <row r="2362" spans="2:4">
      <c r="B2362" s="412" t="s">
        <v>2599</v>
      </c>
      <c r="C2362" s="1112">
        <v>12994</v>
      </c>
      <c r="D2362" s="1112">
        <v>247045</v>
      </c>
    </row>
    <row r="2363" spans="2:4">
      <c r="B2363" s="412" t="s">
        <v>2600</v>
      </c>
      <c r="C2363" s="1112">
        <v>12994</v>
      </c>
      <c r="D2363" s="1112">
        <v>247045</v>
      </c>
    </row>
    <row r="2364" spans="2:4">
      <c r="B2364" s="412" t="s">
        <v>2601</v>
      </c>
      <c r="C2364" s="1112">
        <v>12994</v>
      </c>
      <c r="D2364" s="1112">
        <v>247045</v>
      </c>
    </row>
    <row r="2365" spans="2:4">
      <c r="B2365" s="412" t="s">
        <v>2602</v>
      </c>
      <c r="C2365" s="1112">
        <v>12994</v>
      </c>
      <c r="D2365" s="1112">
        <v>247045</v>
      </c>
    </row>
    <row r="2366" spans="2:4">
      <c r="B2366" s="412" t="s">
        <v>2603</v>
      </c>
      <c r="C2366" s="1112">
        <v>12994</v>
      </c>
      <c r="D2366" s="1112">
        <v>247045</v>
      </c>
    </row>
    <row r="2367" spans="2:4">
      <c r="B2367" s="412" t="s">
        <v>2604</v>
      </c>
      <c r="C2367" s="1112">
        <v>12994</v>
      </c>
      <c r="D2367" s="1112">
        <v>247045</v>
      </c>
    </row>
    <row r="2368" spans="2:4">
      <c r="B2368" s="412" t="s">
        <v>2605</v>
      </c>
      <c r="C2368" s="1112">
        <v>12994</v>
      </c>
      <c r="D2368" s="1112">
        <v>247045</v>
      </c>
    </row>
    <row r="2369" spans="2:4">
      <c r="B2369" s="412" t="s">
        <v>2606</v>
      </c>
      <c r="C2369" s="1112">
        <v>12994</v>
      </c>
      <c r="D2369" s="1112">
        <v>247045</v>
      </c>
    </row>
    <row r="2370" spans="2:4">
      <c r="B2370" s="412" t="s">
        <v>2607</v>
      </c>
      <c r="C2370" s="1112">
        <v>12994</v>
      </c>
      <c r="D2370" s="1112">
        <v>247045</v>
      </c>
    </row>
    <row r="2371" spans="2:4">
      <c r="B2371" s="412" t="s">
        <v>2608</v>
      </c>
      <c r="C2371" s="1112">
        <v>12994</v>
      </c>
      <c r="D2371" s="1112">
        <v>247045</v>
      </c>
    </row>
    <row r="2372" spans="2:4">
      <c r="B2372" s="412" t="s">
        <v>2609</v>
      </c>
      <c r="C2372" s="1112">
        <v>12994</v>
      </c>
      <c r="D2372" s="1112">
        <v>247045</v>
      </c>
    </row>
    <row r="2373" spans="2:4">
      <c r="B2373" s="412" t="s">
        <v>2610</v>
      </c>
      <c r="C2373" s="1112">
        <v>58967</v>
      </c>
      <c r="D2373" s="1112">
        <v>1132776</v>
      </c>
    </row>
    <row r="2374" spans="2:4">
      <c r="B2374" s="412" t="s">
        <v>2611</v>
      </c>
      <c r="C2374" s="1112">
        <v>32748.960102960104</v>
      </c>
      <c r="D2374" s="1112">
        <v>629515.02831402828</v>
      </c>
    </row>
    <row r="2375" spans="2:4">
      <c r="B2375" s="412" t="s">
        <v>2612</v>
      </c>
      <c r="C2375" s="1112">
        <v>58967</v>
      </c>
      <c r="D2375" s="1112">
        <v>1132776</v>
      </c>
    </row>
    <row r="2376" spans="2:4">
      <c r="B2376" s="412" t="s">
        <v>2613</v>
      </c>
      <c r="C2376" s="1112">
        <v>52016.959692898272</v>
      </c>
      <c r="D2376" s="1112">
        <v>999368.46641074854</v>
      </c>
    </row>
    <row r="2377" spans="2:4">
      <c r="B2377" s="412" t="s">
        <v>2614</v>
      </c>
      <c r="C2377" s="1112">
        <v>57724.707865168537</v>
      </c>
      <c r="D2377" s="1112">
        <v>1108929.9325842697</v>
      </c>
    </row>
    <row r="2378" spans="2:4">
      <c r="B2378" s="412" t="s">
        <v>2615</v>
      </c>
      <c r="C2378" s="1112">
        <v>58967</v>
      </c>
      <c r="D2378" s="1112">
        <v>1132776</v>
      </c>
    </row>
    <row r="2379" spans="2:4">
      <c r="B2379" s="412" t="s">
        <v>2616</v>
      </c>
      <c r="C2379" s="1112">
        <v>58967</v>
      </c>
      <c r="D2379" s="1112">
        <v>1132776</v>
      </c>
    </row>
    <row r="2380" spans="2:4">
      <c r="B2380" s="412" t="s">
        <v>2617</v>
      </c>
      <c r="C2380" s="1112">
        <v>58967</v>
      </c>
      <c r="D2380" s="1112">
        <v>1132776</v>
      </c>
    </row>
    <row r="2381" spans="2:4">
      <c r="B2381" s="412" t="s">
        <v>2618</v>
      </c>
      <c r="C2381" s="1112">
        <v>58967</v>
      </c>
      <c r="D2381" s="1112">
        <v>1132776</v>
      </c>
    </row>
    <row r="2382" spans="2:4">
      <c r="B2382" s="412" t="s">
        <v>2619</v>
      </c>
      <c r="C2382" s="1112">
        <v>31326</v>
      </c>
      <c r="D2382" s="1112">
        <v>602201</v>
      </c>
    </row>
    <row r="2383" spans="2:4">
      <c r="B2383" s="412" t="s">
        <v>2620</v>
      </c>
      <c r="C2383" s="1112">
        <v>38856.106312292359</v>
      </c>
      <c r="D2383" s="1112">
        <v>746743.02657807304</v>
      </c>
    </row>
    <row r="2384" spans="2:4">
      <c r="B2384" s="412" t="s">
        <v>2621</v>
      </c>
      <c r="C2384" s="1112">
        <v>58967</v>
      </c>
      <c r="D2384" s="1112">
        <v>1132776</v>
      </c>
    </row>
    <row r="2385" spans="2:4">
      <c r="B2385" s="412" t="s">
        <v>2622</v>
      </c>
      <c r="C2385" s="1112">
        <v>31326</v>
      </c>
      <c r="D2385" s="1112">
        <v>602201</v>
      </c>
    </row>
    <row r="2386" spans="2:4">
      <c r="B2386" s="412" t="s">
        <v>2623</v>
      </c>
      <c r="C2386" s="1112">
        <v>31326</v>
      </c>
      <c r="D2386" s="1112">
        <v>602201</v>
      </c>
    </row>
    <row r="2387" spans="2:4">
      <c r="B2387" s="412" t="s">
        <v>2624</v>
      </c>
      <c r="C2387" s="1112">
        <v>58967</v>
      </c>
      <c r="D2387" s="1112">
        <v>1132776</v>
      </c>
    </row>
    <row r="2388" spans="2:4">
      <c r="B2388" s="412" t="s">
        <v>2625</v>
      </c>
      <c r="C2388" s="1112">
        <v>58967</v>
      </c>
      <c r="D2388" s="1112">
        <v>1132776</v>
      </c>
    </row>
    <row r="2389" spans="2:4">
      <c r="B2389" s="412" t="s">
        <v>2626</v>
      </c>
      <c r="C2389" s="1112">
        <v>58967</v>
      </c>
      <c r="D2389" s="1112">
        <v>1132776</v>
      </c>
    </row>
    <row r="2390" spans="2:4">
      <c r="B2390" s="412" t="s">
        <v>2627</v>
      </c>
      <c r="C2390" s="1112">
        <v>58967</v>
      </c>
      <c r="D2390" s="1112">
        <v>1132776</v>
      </c>
    </row>
    <row r="2391" spans="2:4">
      <c r="B2391" s="412" t="s">
        <v>2628</v>
      </c>
      <c r="C2391" s="1112">
        <v>31326</v>
      </c>
      <c r="D2391" s="1112">
        <v>602201</v>
      </c>
    </row>
    <row r="2392" spans="2:4">
      <c r="B2392" s="412" t="s">
        <v>2629</v>
      </c>
      <c r="C2392" s="1112">
        <v>53608.486268174478</v>
      </c>
      <c r="D2392" s="1112">
        <v>1029918.1647819063</v>
      </c>
    </row>
    <row r="2393" spans="2:4">
      <c r="B2393" s="412" t="s">
        <v>2630</v>
      </c>
      <c r="C2393" s="1112">
        <v>58967</v>
      </c>
      <c r="D2393" s="1112">
        <v>1132776</v>
      </c>
    </row>
    <row r="2394" spans="2:4">
      <c r="B2394" s="412" t="s">
        <v>2631</v>
      </c>
      <c r="C2394" s="1112">
        <v>31326</v>
      </c>
      <c r="D2394" s="1112">
        <v>602201</v>
      </c>
    </row>
    <row r="2395" spans="2:4">
      <c r="B2395" s="412" t="s">
        <v>2632</v>
      </c>
      <c r="C2395" s="1112">
        <v>37530.364247311831</v>
      </c>
      <c r="D2395" s="1112">
        <v>721295.11962365592</v>
      </c>
    </row>
    <row r="2396" spans="2:4">
      <c r="B2396" s="412" t="s">
        <v>2633</v>
      </c>
      <c r="C2396" s="1112">
        <v>58967</v>
      </c>
      <c r="D2396" s="1112">
        <v>1132776</v>
      </c>
    </row>
    <row r="2397" spans="2:4">
      <c r="B2397" s="412" t="s">
        <v>2634</v>
      </c>
      <c r="C2397" s="1112">
        <v>58967</v>
      </c>
      <c r="D2397" s="1112">
        <v>1132776</v>
      </c>
    </row>
    <row r="2398" spans="2:4">
      <c r="B2398" s="412" t="s">
        <v>2635</v>
      </c>
      <c r="C2398" s="1112">
        <v>58967</v>
      </c>
      <c r="D2398" s="1112">
        <v>1132776</v>
      </c>
    </row>
    <row r="2399" spans="2:4">
      <c r="B2399" s="412" t="s">
        <v>2636</v>
      </c>
      <c r="C2399" s="1112">
        <v>31326</v>
      </c>
      <c r="D2399" s="1112">
        <v>602201</v>
      </c>
    </row>
    <row r="2400" spans="2:4">
      <c r="B2400" s="412" t="s">
        <v>2637</v>
      </c>
      <c r="C2400" s="1112">
        <v>54864.802120141343</v>
      </c>
      <c r="D2400" s="1112">
        <v>1054033.4204946996</v>
      </c>
    </row>
    <row r="2401" spans="2:4">
      <c r="B2401" s="412" t="s">
        <v>2638</v>
      </c>
      <c r="C2401" s="1112">
        <v>32144.31907894737</v>
      </c>
      <c r="D2401" s="1112">
        <v>617908.8125</v>
      </c>
    </row>
    <row r="2402" spans="2:4">
      <c r="B2402" s="412" t="s">
        <v>2639</v>
      </c>
      <c r="C2402" s="1112">
        <v>12994</v>
      </c>
      <c r="D2402" s="1112">
        <v>247045</v>
      </c>
    </row>
    <row r="2403" spans="2:4">
      <c r="B2403" s="412" t="s">
        <v>2640</v>
      </c>
      <c r="C2403" s="1112">
        <v>12994</v>
      </c>
      <c r="D2403" s="1112">
        <v>247045</v>
      </c>
    </row>
    <row r="2404" spans="2:4">
      <c r="B2404" s="412" t="s">
        <v>2641</v>
      </c>
      <c r="C2404" s="1112">
        <v>12994</v>
      </c>
      <c r="D2404" s="1112">
        <v>247045</v>
      </c>
    </row>
    <row r="2405" spans="2:4">
      <c r="B2405" s="412" t="s">
        <v>2642</v>
      </c>
      <c r="C2405" s="1112">
        <v>12994</v>
      </c>
      <c r="D2405" s="1112">
        <v>247045</v>
      </c>
    </row>
    <row r="2406" spans="2:4">
      <c r="B2406" s="412" t="s">
        <v>2643</v>
      </c>
      <c r="C2406" s="1112">
        <v>12965.442125237192</v>
      </c>
      <c r="D2406" s="1112">
        <v>246464.73055028464</v>
      </c>
    </row>
    <row r="2407" spans="2:4">
      <c r="B2407" s="412" t="s">
        <v>2644</v>
      </c>
      <c r="C2407" s="1112">
        <v>12994</v>
      </c>
      <c r="D2407" s="1112">
        <v>247045</v>
      </c>
    </row>
    <row r="2408" spans="2:4">
      <c r="B2408" s="412" t="s">
        <v>2645</v>
      </c>
      <c r="C2408" s="1112">
        <v>16010</v>
      </c>
      <c r="D2408" s="1112">
        <v>305377</v>
      </c>
    </row>
    <row r="2409" spans="2:4">
      <c r="B2409" s="412" t="s">
        <v>2646</v>
      </c>
      <c r="C2409" s="1112">
        <v>16010</v>
      </c>
      <c r="D2409" s="1112">
        <v>305377</v>
      </c>
    </row>
    <row r="2410" spans="2:4">
      <c r="B2410" s="412" t="s">
        <v>2647</v>
      </c>
      <c r="C2410" s="1112">
        <v>16010</v>
      </c>
      <c r="D2410" s="1112">
        <v>305377</v>
      </c>
    </row>
    <row r="2411" spans="2:4">
      <c r="B2411" s="412" t="s">
        <v>2648</v>
      </c>
      <c r="C2411" s="1112">
        <v>16010</v>
      </c>
      <c r="D2411" s="1112">
        <v>305377</v>
      </c>
    </row>
    <row r="2412" spans="2:4">
      <c r="B2412" s="412" t="s">
        <v>2649</v>
      </c>
      <c r="C2412" s="1112">
        <v>15241.304347826086</v>
      </c>
      <c r="D2412" s="1112">
        <v>290509.77361319342</v>
      </c>
    </row>
    <row r="2413" spans="2:4">
      <c r="B2413" s="412" t="s">
        <v>2650</v>
      </c>
      <c r="C2413" s="1112">
        <v>12994</v>
      </c>
      <c r="D2413" s="1112">
        <v>247045</v>
      </c>
    </row>
    <row r="2414" spans="2:4">
      <c r="B2414" s="412" t="s">
        <v>2651</v>
      </c>
      <c r="C2414" s="1112">
        <v>12994</v>
      </c>
      <c r="D2414" s="1112">
        <v>247045</v>
      </c>
    </row>
    <row r="2415" spans="2:4">
      <c r="B2415" s="412" t="s">
        <v>2652</v>
      </c>
      <c r="C2415" s="1112">
        <v>12994</v>
      </c>
      <c r="D2415" s="1112">
        <v>247045</v>
      </c>
    </row>
    <row r="2416" spans="2:4">
      <c r="B2416" s="412" t="s">
        <v>2653</v>
      </c>
      <c r="C2416" s="1112">
        <v>13975.344902386118</v>
      </c>
      <c r="D2416" s="1112">
        <v>266025.04338394792</v>
      </c>
    </row>
    <row r="2417" spans="2:4">
      <c r="B2417" s="412" t="s">
        <v>2654</v>
      </c>
      <c r="C2417" s="1112">
        <v>12994</v>
      </c>
      <c r="D2417" s="1112">
        <v>247045</v>
      </c>
    </row>
    <row r="2418" spans="2:4">
      <c r="B2418" s="412" t="s">
        <v>2655</v>
      </c>
      <c r="C2418" s="1112">
        <v>13000.901601830663</v>
      </c>
      <c r="D2418" s="1112">
        <v>247178.4828375286</v>
      </c>
    </row>
    <row r="2419" spans="2:4">
      <c r="B2419" s="412" t="s">
        <v>2656</v>
      </c>
      <c r="C2419" s="1112">
        <v>12945.434439178514</v>
      </c>
      <c r="D2419" s="1112">
        <v>246055.86255924171</v>
      </c>
    </row>
    <row r="2420" spans="2:4">
      <c r="B2420" s="412" t="s">
        <v>2657</v>
      </c>
      <c r="C2420" s="1112">
        <v>12994</v>
      </c>
      <c r="D2420" s="1112">
        <v>247045</v>
      </c>
    </row>
    <row r="2421" spans="2:4">
      <c r="B2421" s="412" t="s">
        <v>2658</v>
      </c>
      <c r="C2421" s="1112">
        <v>13200</v>
      </c>
      <c r="D2421" s="1112">
        <v>250221</v>
      </c>
    </row>
    <row r="2422" spans="2:4">
      <c r="B2422" s="412" t="s">
        <v>2659</v>
      </c>
      <c r="C2422" s="1112">
        <v>16010</v>
      </c>
      <c r="D2422" s="1112">
        <v>305377</v>
      </c>
    </row>
    <row r="2423" spans="2:4">
      <c r="B2423" s="412" t="s">
        <v>2660</v>
      </c>
      <c r="C2423" s="1112">
        <v>15919.023765996344</v>
      </c>
      <c r="D2423" s="1112">
        <v>303617.44241316273</v>
      </c>
    </row>
    <row r="2424" spans="2:4">
      <c r="B2424" s="412" t="s">
        <v>2661</v>
      </c>
      <c r="C2424" s="1112">
        <v>15926.652542372882</v>
      </c>
      <c r="D2424" s="1112">
        <v>303741.01694915252</v>
      </c>
    </row>
    <row r="2425" spans="2:4">
      <c r="B2425" s="412" t="s">
        <v>2662</v>
      </c>
      <c r="C2425" s="1112">
        <v>10846.36783919598</v>
      </c>
      <c r="D2425" s="1112">
        <v>203406.09748743719</v>
      </c>
    </row>
    <row r="2426" spans="2:4">
      <c r="B2426" s="412" t="s">
        <v>2663</v>
      </c>
      <c r="C2426" s="1112">
        <v>13198.169386169386</v>
      </c>
      <c r="D2426" s="1112">
        <v>250184.58818958819</v>
      </c>
    </row>
    <row r="2427" spans="2:4">
      <c r="B2427" s="412" t="s">
        <v>2664</v>
      </c>
      <c r="C2427" s="1112">
        <v>13200</v>
      </c>
      <c r="D2427" s="1112">
        <v>250221</v>
      </c>
    </row>
    <row r="2428" spans="2:4">
      <c r="B2428" s="412" t="s">
        <v>2665</v>
      </c>
      <c r="C2428" s="1112">
        <v>13200</v>
      </c>
      <c r="D2428" s="1112">
        <v>250221</v>
      </c>
    </row>
    <row r="2429" spans="2:4">
      <c r="B2429" s="412" t="s">
        <v>2666</v>
      </c>
      <c r="C2429" s="1112">
        <v>11086.330508474577</v>
      </c>
      <c r="D2429" s="1112">
        <v>208282.93050847459</v>
      </c>
    </row>
    <row r="2430" spans="2:4">
      <c r="B2430" s="412" t="s">
        <v>2667</v>
      </c>
      <c r="C2430" s="1112">
        <v>13200</v>
      </c>
      <c r="D2430" s="1112">
        <v>250221</v>
      </c>
    </row>
    <row r="2431" spans="2:4">
      <c r="B2431" s="412" t="s">
        <v>2668</v>
      </c>
      <c r="C2431" s="1112">
        <v>10868.35142118863</v>
      </c>
      <c r="D2431" s="1112">
        <v>203843.36175710594</v>
      </c>
    </row>
    <row r="2432" spans="2:4">
      <c r="B2432" s="412" t="s">
        <v>2669</v>
      </c>
      <c r="C2432" s="1112">
        <v>10999.661016949152</v>
      </c>
      <c r="D2432" s="1112">
        <v>206432.98870056498</v>
      </c>
    </row>
    <row r="2433" spans="2:4">
      <c r="B2433" s="412" t="s">
        <v>2670</v>
      </c>
      <c r="C2433" s="1112">
        <v>13200</v>
      </c>
      <c r="D2433" s="1112">
        <v>250221</v>
      </c>
    </row>
    <row r="2434" spans="2:4">
      <c r="B2434" s="412" t="s">
        <v>2671</v>
      </c>
      <c r="C2434" s="1112">
        <v>13210.924317617866</v>
      </c>
      <c r="D2434" s="1112">
        <v>250432.29280397022</v>
      </c>
    </row>
    <row r="2435" spans="2:4">
      <c r="B2435" s="412" t="s">
        <v>2672</v>
      </c>
      <c r="C2435" s="1112">
        <v>13200</v>
      </c>
      <c r="D2435" s="1112">
        <v>250221</v>
      </c>
    </row>
    <row r="2436" spans="2:4">
      <c r="B2436" s="412" t="s">
        <v>2673</v>
      </c>
      <c r="C2436" s="1112">
        <v>13208.788115715402</v>
      </c>
      <c r="D2436" s="1112">
        <v>250393.49726348711</v>
      </c>
    </row>
    <row r="2437" spans="2:4">
      <c r="B2437" s="412" t="s">
        <v>2674</v>
      </c>
      <c r="C2437" s="1112">
        <v>13205.580933465741</v>
      </c>
      <c r="D2437" s="1112">
        <v>250330.54518371401</v>
      </c>
    </row>
    <row r="2438" spans="2:4">
      <c r="B2438" s="412" t="s">
        <v>2675</v>
      </c>
      <c r="C2438" s="1112">
        <v>13210.611782477341</v>
      </c>
      <c r="D2438" s="1112">
        <v>250429.29305135951</v>
      </c>
    </row>
    <row r="2439" spans="2:4">
      <c r="B2439" s="412" t="s">
        <v>2676</v>
      </c>
      <c r="C2439" s="1112">
        <v>16010</v>
      </c>
      <c r="D2439" s="1112">
        <v>305377</v>
      </c>
    </row>
    <row r="2440" spans="2:4">
      <c r="B2440" s="412" t="s">
        <v>2677</v>
      </c>
      <c r="C2440" s="1112">
        <v>15974.930232558139</v>
      </c>
      <c r="D2440" s="1112">
        <v>304698.72093023255</v>
      </c>
    </row>
    <row r="2441" spans="2:4">
      <c r="B2441" s="412" t="s">
        <v>2678</v>
      </c>
      <c r="C2441" s="1112">
        <v>13522.309772587585</v>
      </c>
      <c r="D2441" s="1112">
        <v>257262.95943454211</v>
      </c>
    </row>
    <row r="2442" spans="2:4">
      <c r="B2442" s="412" t="s">
        <v>2679</v>
      </c>
      <c r="C2442" s="1112">
        <v>14124.330373001776</v>
      </c>
      <c r="D2442" s="1112">
        <v>268906.54884547071</v>
      </c>
    </row>
    <row r="2443" spans="2:4">
      <c r="B2443" s="412" t="s">
        <v>2680</v>
      </c>
      <c r="C2443" s="1112">
        <v>13343.922651933701</v>
      </c>
      <c r="D2443" s="1112">
        <v>253812.80110497237</v>
      </c>
    </row>
    <row r="2444" spans="2:4">
      <c r="B2444" s="412" t="s">
        <v>2681</v>
      </c>
      <c r="C2444" s="1112">
        <v>13038.681481481481</v>
      </c>
      <c r="D2444" s="1112">
        <v>247909.17777777778</v>
      </c>
    </row>
    <row r="2445" spans="2:4">
      <c r="B2445" s="412" t="s">
        <v>2682</v>
      </c>
      <c r="C2445" s="1112">
        <v>12994</v>
      </c>
      <c r="D2445" s="1112">
        <v>247045</v>
      </c>
    </row>
    <row r="2446" spans="2:4">
      <c r="B2446" s="412" t="s">
        <v>2683</v>
      </c>
      <c r="C2446" s="1112">
        <v>13181.254953764861</v>
      </c>
      <c r="D2446" s="1112">
        <v>250666.66974900925</v>
      </c>
    </row>
    <row r="2447" spans="2:4">
      <c r="B2447" s="412" t="s">
        <v>2684</v>
      </c>
      <c r="C2447" s="1112">
        <v>12994</v>
      </c>
      <c r="D2447" s="1112">
        <v>247045</v>
      </c>
    </row>
    <row r="2448" spans="2:4">
      <c r="B2448" s="412" t="s">
        <v>2685</v>
      </c>
      <c r="C2448" s="1112">
        <v>15910.902857142857</v>
      </c>
      <c r="D2448" s="1112">
        <v>303460.37714285712</v>
      </c>
    </row>
    <row r="2449" spans="2:4">
      <c r="B2449" s="412" t="s">
        <v>2686</v>
      </c>
      <c r="C2449" s="1112">
        <v>15998.661654135338</v>
      </c>
      <c r="D2449" s="1112">
        <v>305157.70676691731</v>
      </c>
    </row>
    <row r="2450" spans="2:4">
      <c r="B2450" s="412" t="s">
        <v>2687</v>
      </c>
      <c r="C2450" s="1112">
        <v>15992.664429530201</v>
      </c>
      <c r="D2450" s="1112">
        <v>305034.65771812078</v>
      </c>
    </row>
    <row r="2451" spans="2:4">
      <c r="B2451" s="412" t="s">
        <v>2688</v>
      </c>
      <c r="C2451" s="1112">
        <v>12994</v>
      </c>
      <c r="D2451" s="1112">
        <v>247045</v>
      </c>
    </row>
    <row r="2452" spans="2:4">
      <c r="B2452" s="412" t="s">
        <v>2689</v>
      </c>
      <c r="C2452" s="1112">
        <v>31326</v>
      </c>
      <c r="D2452" s="1112">
        <v>602201</v>
      </c>
    </row>
    <row r="2453" spans="2:4">
      <c r="B2453" s="412" t="s">
        <v>2690</v>
      </c>
      <c r="C2453" s="1112">
        <v>30011.277027027027</v>
      </c>
      <c r="D2453" s="1112">
        <v>576599.65540540544</v>
      </c>
    </row>
    <row r="2454" spans="2:4">
      <c r="B2454" s="412" t="s">
        <v>2691</v>
      </c>
      <c r="C2454" s="1112">
        <v>31110.400000000001</v>
      </c>
      <c r="D2454" s="1112">
        <v>598002.66315789474</v>
      </c>
    </row>
    <row r="2455" spans="2:4">
      <c r="B2455" s="412" t="s">
        <v>2692</v>
      </c>
      <c r="C2455" s="1112">
        <v>31326</v>
      </c>
      <c r="D2455" s="1112">
        <v>602201</v>
      </c>
    </row>
    <row r="2456" spans="2:4">
      <c r="B2456" s="412" t="s">
        <v>2693</v>
      </c>
      <c r="C2456" s="1112">
        <v>31297.353846153845</v>
      </c>
      <c r="D2456" s="1112">
        <v>601643.17902097898</v>
      </c>
    </row>
    <row r="2457" spans="2:4">
      <c r="B2457" s="412" t="s">
        <v>2694</v>
      </c>
      <c r="C2457" s="1112">
        <v>31326</v>
      </c>
      <c r="D2457" s="1112">
        <v>602201</v>
      </c>
    </row>
    <row r="2458" spans="2:4">
      <c r="B2458" s="412" t="s">
        <v>2695</v>
      </c>
      <c r="C2458" s="1112">
        <v>11837.852320675105</v>
      </c>
      <c r="D2458" s="1112">
        <v>222712.09282700421</v>
      </c>
    </row>
    <row r="2459" spans="2:4">
      <c r="B2459" s="412" t="s">
        <v>2696</v>
      </c>
      <c r="C2459" s="1112">
        <v>12994</v>
      </c>
      <c r="D2459" s="1112">
        <v>247045</v>
      </c>
    </row>
    <row r="2460" spans="2:4">
      <c r="B2460" s="412" t="s">
        <v>2697</v>
      </c>
      <c r="C2460" s="1112">
        <v>16010</v>
      </c>
      <c r="D2460" s="1112">
        <v>305377</v>
      </c>
    </row>
    <row r="2461" spans="2:4">
      <c r="B2461" s="412" t="s">
        <v>2698</v>
      </c>
      <c r="C2461" s="1112">
        <v>16010</v>
      </c>
      <c r="D2461" s="1112">
        <v>305377</v>
      </c>
    </row>
    <row r="2462" spans="2:4">
      <c r="B2462" s="412" t="s">
        <v>2699</v>
      </c>
      <c r="C2462" s="1112">
        <v>16010</v>
      </c>
      <c r="D2462" s="1112">
        <v>305377</v>
      </c>
    </row>
    <row r="2463" spans="2:4">
      <c r="B2463" s="412" t="s">
        <v>2700</v>
      </c>
      <c r="C2463" s="1112">
        <v>16010</v>
      </c>
      <c r="D2463" s="1112">
        <v>305377</v>
      </c>
    </row>
    <row r="2464" spans="2:4">
      <c r="B2464" s="412" t="s">
        <v>2701</v>
      </c>
      <c r="C2464" s="1112">
        <v>16010</v>
      </c>
      <c r="D2464" s="1112">
        <v>305377</v>
      </c>
    </row>
    <row r="2465" spans="2:4">
      <c r="B2465" s="412" t="s">
        <v>2702</v>
      </c>
      <c r="C2465" s="1112">
        <v>16010</v>
      </c>
      <c r="D2465" s="1112">
        <v>305377</v>
      </c>
    </row>
    <row r="2466" spans="2:4">
      <c r="B2466" s="412" t="s">
        <v>2703</v>
      </c>
      <c r="C2466" s="1112">
        <v>15999.968932038835</v>
      </c>
      <c r="D2466" s="1112">
        <v>305178.9067961165</v>
      </c>
    </row>
    <row r="2467" spans="2:4">
      <c r="B2467" s="412" t="s">
        <v>2704</v>
      </c>
      <c r="C2467" s="1112">
        <v>12994</v>
      </c>
      <c r="D2467" s="1112">
        <v>247045</v>
      </c>
    </row>
    <row r="2468" spans="2:4">
      <c r="B2468" s="412" t="s">
        <v>2705</v>
      </c>
      <c r="C2468" s="1112">
        <v>12997.737298636926</v>
      </c>
      <c r="D2468" s="1112">
        <v>247117.28252788103</v>
      </c>
    </row>
    <row r="2469" spans="2:4">
      <c r="B2469" s="412" t="s">
        <v>2706</v>
      </c>
      <c r="C2469" s="1112">
        <v>12994</v>
      </c>
      <c r="D2469" s="1112">
        <v>247045</v>
      </c>
    </row>
    <row r="2470" spans="2:4">
      <c r="B2470" s="412" t="s">
        <v>2707</v>
      </c>
      <c r="C2470" s="1112">
        <v>12994</v>
      </c>
      <c r="D2470" s="1112">
        <v>247045</v>
      </c>
    </row>
    <row r="2471" spans="2:4">
      <c r="B2471" s="412" t="s">
        <v>2708</v>
      </c>
      <c r="C2471" s="1112">
        <v>12994</v>
      </c>
      <c r="D2471" s="1112">
        <v>247045</v>
      </c>
    </row>
    <row r="2472" spans="2:4">
      <c r="B2472" s="412" t="s">
        <v>2709</v>
      </c>
      <c r="C2472" s="1112">
        <v>14855.967845659165</v>
      </c>
      <c r="D2472" s="1112">
        <v>283057.038585209</v>
      </c>
    </row>
    <row r="2473" spans="2:4">
      <c r="B2473" s="412" t="s">
        <v>2710</v>
      </c>
      <c r="C2473" s="1112">
        <v>13722.229327453142</v>
      </c>
      <c r="D2473" s="1112">
        <v>261129.57331863284</v>
      </c>
    </row>
    <row r="2474" spans="2:4">
      <c r="B2474" s="412" t="s">
        <v>2711</v>
      </c>
      <c r="C2474" s="1112">
        <v>13911.42367601246</v>
      </c>
      <c r="D2474" s="1112">
        <v>264785.476635514</v>
      </c>
    </row>
    <row r="2475" spans="2:4">
      <c r="B2475" s="412" t="s">
        <v>2712</v>
      </c>
      <c r="C2475" s="1112">
        <v>12994</v>
      </c>
      <c r="D2475" s="1112">
        <v>247045</v>
      </c>
    </row>
    <row r="2476" spans="2:4">
      <c r="B2476" s="412" t="s">
        <v>2713</v>
      </c>
      <c r="C2476" s="1112">
        <v>16000.281417830291</v>
      </c>
      <c r="D2476" s="1112">
        <v>305189.03437164339</v>
      </c>
    </row>
    <row r="2477" spans="2:4">
      <c r="B2477" s="412" t="s">
        <v>2714</v>
      </c>
      <c r="C2477" s="1112">
        <v>16010</v>
      </c>
      <c r="D2477" s="1112">
        <v>305377</v>
      </c>
    </row>
    <row r="2478" spans="2:4">
      <c r="B2478" s="412" t="s">
        <v>2715</v>
      </c>
      <c r="C2478" s="1112">
        <v>12994</v>
      </c>
      <c r="D2478" s="1112">
        <v>247045</v>
      </c>
    </row>
    <row r="2479" spans="2:4">
      <c r="B2479" s="412" t="s">
        <v>2716</v>
      </c>
      <c r="C2479" s="1112">
        <v>16010</v>
      </c>
      <c r="D2479" s="1112">
        <v>305377</v>
      </c>
    </row>
    <row r="2480" spans="2:4">
      <c r="B2480" s="412" t="s">
        <v>2717</v>
      </c>
      <c r="C2480" s="1112">
        <v>16010</v>
      </c>
      <c r="D2480" s="1112">
        <v>305377</v>
      </c>
    </row>
    <row r="2481" spans="2:4">
      <c r="B2481" s="412" t="s">
        <v>2718</v>
      </c>
      <c r="C2481" s="1112">
        <v>15615.235602094241</v>
      </c>
      <c r="D2481" s="1112">
        <v>297741.9214659686</v>
      </c>
    </row>
    <row r="2482" spans="2:4">
      <c r="B2482" s="412" t="s">
        <v>2719</v>
      </c>
      <c r="C2482" s="1112">
        <v>16010</v>
      </c>
      <c r="D2482" s="1112">
        <v>305377</v>
      </c>
    </row>
    <row r="2483" spans="2:4">
      <c r="B2483" s="412" t="s">
        <v>2720</v>
      </c>
      <c r="C2483" s="1112">
        <v>15715.059936908518</v>
      </c>
      <c r="D2483" s="1112">
        <v>299672.60883280757</v>
      </c>
    </row>
    <row r="2484" spans="2:4">
      <c r="B2484" s="412" t="s">
        <v>2721</v>
      </c>
      <c r="C2484" s="1112">
        <v>15959.097046413503</v>
      </c>
      <c r="D2484" s="1112">
        <v>304392.49367088609</v>
      </c>
    </row>
    <row r="2485" spans="2:4">
      <c r="B2485" s="412" t="s">
        <v>2722</v>
      </c>
      <c r="C2485" s="1112">
        <v>12994</v>
      </c>
      <c r="D2485" s="1112">
        <v>247045</v>
      </c>
    </row>
    <row r="2486" spans="2:4">
      <c r="B2486" s="412" t="s">
        <v>2723</v>
      </c>
      <c r="C2486" s="1112">
        <v>12994</v>
      </c>
      <c r="D2486" s="1112">
        <v>247045</v>
      </c>
    </row>
    <row r="2487" spans="2:4">
      <c r="B2487" s="412" t="s">
        <v>2724</v>
      </c>
      <c r="C2487" s="1112">
        <v>12994</v>
      </c>
      <c r="D2487" s="1112">
        <v>247045</v>
      </c>
    </row>
    <row r="2488" spans="2:4">
      <c r="B2488" s="412" t="s">
        <v>2725</v>
      </c>
      <c r="C2488" s="1112">
        <v>12994</v>
      </c>
      <c r="D2488" s="1112">
        <v>247045</v>
      </c>
    </row>
    <row r="2489" spans="2:4">
      <c r="B2489" s="412" t="s">
        <v>2726</v>
      </c>
      <c r="C2489" s="1112">
        <v>12994</v>
      </c>
      <c r="D2489" s="1112">
        <v>247045</v>
      </c>
    </row>
    <row r="2490" spans="2:4">
      <c r="B2490" s="412" t="s">
        <v>2727</v>
      </c>
      <c r="C2490" s="1112">
        <v>12994</v>
      </c>
      <c r="D2490" s="1112">
        <v>247045</v>
      </c>
    </row>
    <row r="2491" spans="2:4">
      <c r="B2491" s="412" t="s">
        <v>2728</v>
      </c>
      <c r="C2491" s="1112">
        <v>12994</v>
      </c>
      <c r="D2491" s="1112">
        <v>247045</v>
      </c>
    </row>
    <row r="2492" spans="2:4">
      <c r="B2492" s="412" t="s">
        <v>2729</v>
      </c>
      <c r="C2492" s="1112">
        <v>12994</v>
      </c>
      <c r="D2492" s="1112">
        <v>247045</v>
      </c>
    </row>
    <row r="2493" spans="2:4">
      <c r="B2493" s="412" t="s">
        <v>2730</v>
      </c>
      <c r="C2493" s="1112">
        <v>12994</v>
      </c>
      <c r="D2493" s="1112">
        <v>247045</v>
      </c>
    </row>
    <row r="2494" spans="2:4">
      <c r="B2494" s="412" t="s">
        <v>2731</v>
      </c>
      <c r="C2494" s="1112">
        <v>12994</v>
      </c>
      <c r="D2494" s="1112">
        <v>247045</v>
      </c>
    </row>
    <row r="2495" spans="2:4">
      <c r="B2495" s="412" t="s">
        <v>2732</v>
      </c>
      <c r="C2495" s="1112">
        <v>12994</v>
      </c>
      <c r="D2495" s="1112">
        <v>247045</v>
      </c>
    </row>
    <row r="2496" spans="2:4">
      <c r="B2496" s="412" t="s">
        <v>2733</v>
      </c>
      <c r="C2496" s="1112">
        <v>12994</v>
      </c>
      <c r="D2496" s="1112">
        <v>247045</v>
      </c>
    </row>
    <row r="2497" spans="2:4">
      <c r="B2497" s="412" t="s">
        <v>2734</v>
      </c>
      <c r="C2497" s="1112">
        <v>12994</v>
      </c>
      <c r="D2497" s="1112">
        <v>247045</v>
      </c>
    </row>
    <row r="2498" spans="2:4">
      <c r="B2498" s="412" t="s">
        <v>2735</v>
      </c>
      <c r="C2498" s="1112">
        <v>12994</v>
      </c>
      <c r="D2498" s="1112">
        <v>247045</v>
      </c>
    </row>
    <row r="2499" spans="2:4">
      <c r="B2499" s="412" t="s">
        <v>2736</v>
      </c>
      <c r="C2499" s="1112">
        <v>12994</v>
      </c>
      <c r="D2499" s="1112">
        <v>247045</v>
      </c>
    </row>
    <row r="2500" spans="2:4">
      <c r="B2500" s="412" t="s">
        <v>2737</v>
      </c>
      <c r="C2500" s="1112">
        <v>13001.030303030304</v>
      </c>
      <c r="D2500" s="1112">
        <v>247180.97202797202</v>
      </c>
    </row>
    <row r="2501" spans="2:4">
      <c r="B2501" s="412" t="s">
        <v>2738</v>
      </c>
      <c r="C2501" s="1112">
        <v>12994</v>
      </c>
      <c r="D2501" s="1112">
        <v>247045</v>
      </c>
    </row>
    <row r="2502" spans="2:4">
      <c r="B2502" s="412" t="s">
        <v>2739</v>
      </c>
      <c r="C2502" s="1112">
        <v>12994</v>
      </c>
      <c r="D2502" s="1112">
        <v>247045</v>
      </c>
    </row>
    <row r="2503" spans="2:4">
      <c r="B2503" s="412" t="s">
        <v>2740</v>
      </c>
      <c r="C2503" s="1112">
        <v>12994</v>
      </c>
      <c r="D2503" s="1112">
        <v>247045</v>
      </c>
    </row>
    <row r="2504" spans="2:4">
      <c r="B2504" s="412" t="s">
        <v>2741</v>
      </c>
      <c r="C2504" s="1112">
        <v>16010</v>
      </c>
      <c r="D2504" s="1112">
        <v>305377</v>
      </c>
    </row>
    <row r="2505" spans="2:4">
      <c r="B2505" s="412" t="s">
        <v>2742</v>
      </c>
      <c r="C2505" s="1112">
        <v>12994</v>
      </c>
      <c r="D2505" s="1112">
        <v>247045</v>
      </c>
    </row>
    <row r="2506" spans="2:4">
      <c r="B2506" s="412" t="s">
        <v>2743</v>
      </c>
      <c r="C2506" s="1112">
        <v>13499.461477362987</v>
      </c>
      <c r="D2506" s="1112">
        <v>256821.05401111994</v>
      </c>
    </row>
    <row r="2507" spans="2:4">
      <c r="B2507" s="412" t="s">
        <v>2744</v>
      </c>
      <c r="C2507" s="1112">
        <v>16010</v>
      </c>
      <c r="D2507" s="1112">
        <v>305377</v>
      </c>
    </row>
    <row r="2508" spans="2:4">
      <c r="B2508" s="412" t="s">
        <v>2745</v>
      </c>
      <c r="C2508" s="1112">
        <v>16010</v>
      </c>
      <c r="D2508" s="1112">
        <v>305377</v>
      </c>
    </row>
    <row r="2509" spans="2:4">
      <c r="B2509" s="412" t="s">
        <v>2746</v>
      </c>
      <c r="C2509" s="1112">
        <v>15976.674033149171</v>
      </c>
      <c r="D2509" s="1112">
        <v>304732.44751381216</v>
      </c>
    </row>
    <row r="2510" spans="2:4">
      <c r="B2510" s="412" t="s">
        <v>2747</v>
      </c>
      <c r="C2510" s="1112">
        <v>15795.828793774319</v>
      </c>
      <c r="D2510" s="1112">
        <v>301234.74708171206</v>
      </c>
    </row>
    <row r="2511" spans="2:4">
      <c r="B2511" s="412" t="s">
        <v>2748</v>
      </c>
      <c r="C2511" s="1112">
        <v>13403.643463497454</v>
      </c>
      <c r="D2511" s="1112">
        <v>254967.85229202037</v>
      </c>
    </row>
    <row r="2512" spans="2:4">
      <c r="B2512" s="412" t="s">
        <v>2749</v>
      </c>
      <c r="C2512" s="1112">
        <v>16010</v>
      </c>
      <c r="D2512" s="1112">
        <v>305377</v>
      </c>
    </row>
    <row r="2513" spans="2:4">
      <c r="B2513" s="412" t="s">
        <v>2750</v>
      </c>
      <c r="C2513" s="1112">
        <v>16010</v>
      </c>
      <c r="D2513" s="1112">
        <v>305377</v>
      </c>
    </row>
    <row r="2514" spans="2:4">
      <c r="B2514" s="412" t="s">
        <v>2751</v>
      </c>
      <c r="C2514" s="1112">
        <v>15534.952380952382</v>
      </c>
      <c r="D2514" s="1112">
        <v>296189.17582417582</v>
      </c>
    </row>
    <row r="2515" spans="2:4">
      <c r="B2515" s="412" t="s">
        <v>2752</v>
      </c>
      <c r="C2515" s="1112">
        <v>13200</v>
      </c>
      <c r="D2515" s="1112">
        <v>250221</v>
      </c>
    </row>
    <row r="2516" spans="2:4">
      <c r="B2516" s="412" t="s">
        <v>2753</v>
      </c>
      <c r="C2516" s="1112">
        <v>13200</v>
      </c>
      <c r="D2516" s="1112">
        <v>250221</v>
      </c>
    </row>
    <row r="2517" spans="2:4">
      <c r="B2517" s="412" t="s">
        <v>2754</v>
      </c>
      <c r="C2517" s="1112">
        <v>13200</v>
      </c>
      <c r="D2517" s="1112">
        <v>250221</v>
      </c>
    </row>
    <row r="2518" spans="2:4">
      <c r="B2518" s="412" t="s">
        <v>2755</v>
      </c>
      <c r="C2518" s="1112">
        <v>13200</v>
      </c>
      <c r="D2518" s="1112">
        <v>250221</v>
      </c>
    </row>
    <row r="2519" spans="2:4">
      <c r="B2519" s="412" t="s">
        <v>2756</v>
      </c>
      <c r="C2519" s="1112">
        <v>13200</v>
      </c>
      <c r="D2519" s="1112">
        <v>250221</v>
      </c>
    </row>
    <row r="2520" spans="2:4">
      <c r="B2520" s="412" t="s">
        <v>2757</v>
      </c>
      <c r="C2520" s="1112">
        <v>13200</v>
      </c>
      <c r="D2520" s="1112">
        <v>250221</v>
      </c>
    </row>
    <row r="2521" spans="2:4">
      <c r="B2521" s="412" t="s">
        <v>2758</v>
      </c>
      <c r="C2521" s="1112">
        <v>13200</v>
      </c>
      <c r="D2521" s="1112">
        <v>250221</v>
      </c>
    </row>
    <row r="2522" spans="2:4">
      <c r="B2522" s="412" t="s">
        <v>2759</v>
      </c>
      <c r="C2522" s="1112">
        <v>16000.023668639053</v>
      </c>
      <c r="D2522" s="1112">
        <v>305181.17988165683</v>
      </c>
    </row>
    <row r="2523" spans="2:4">
      <c r="B2523" s="412" t="s">
        <v>2760</v>
      </c>
      <c r="C2523" s="1112">
        <v>16010</v>
      </c>
      <c r="D2523" s="1112">
        <v>305377</v>
      </c>
    </row>
    <row r="2524" spans="2:4">
      <c r="B2524" s="412" t="s">
        <v>2761</v>
      </c>
      <c r="C2524" s="1112">
        <v>12994</v>
      </c>
      <c r="D2524" s="1112">
        <v>247045</v>
      </c>
    </row>
    <row r="2525" spans="2:4">
      <c r="B2525" s="412" t="s">
        <v>2762</v>
      </c>
      <c r="C2525" s="1112">
        <v>12994</v>
      </c>
      <c r="D2525" s="1112">
        <v>247045</v>
      </c>
    </row>
    <row r="2526" spans="2:4">
      <c r="B2526" s="412" t="s">
        <v>2763</v>
      </c>
      <c r="C2526" s="1112">
        <v>12846.676659528908</v>
      </c>
      <c r="D2526" s="1112">
        <v>244051.52676659529</v>
      </c>
    </row>
    <row r="2527" spans="2:4">
      <c r="B2527" s="412" t="s">
        <v>2764</v>
      </c>
      <c r="C2527" s="1112">
        <v>12994</v>
      </c>
      <c r="D2527" s="1112">
        <v>247045</v>
      </c>
    </row>
    <row r="2528" spans="2:4">
      <c r="B2528" s="412" t="s">
        <v>2765</v>
      </c>
      <c r="C2528" s="1112">
        <v>12994</v>
      </c>
      <c r="D2528" s="1112">
        <v>247045</v>
      </c>
    </row>
    <row r="2529" spans="2:4">
      <c r="B2529" s="412" t="s">
        <v>2766</v>
      </c>
      <c r="C2529" s="1112">
        <v>12994</v>
      </c>
      <c r="D2529" s="1112">
        <v>247045</v>
      </c>
    </row>
    <row r="2530" spans="2:4">
      <c r="B2530" s="412" t="s">
        <v>2767</v>
      </c>
      <c r="C2530" s="1112">
        <v>12994</v>
      </c>
      <c r="D2530" s="1112">
        <v>247045</v>
      </c>
    </row>
    <row r="2531" spans="2:4">
      <c r="B2531" s="412" t="s">
        <v>2768</v>
      </c>
      <c r="C2531" s="1112">
        <v>12994</v>
      </c>
      <c r="D2531" s="1112">
        <v>247045</v>
      </c>
    </row>
    <row r="2532" spans="2:4">
      <c r="B2532" s="412" t="s">
        <v>2769</v>
      </c>
      <c r="C2532" s="1112">
        <v>12994</v>
      </c>
      <c r="D2532" s="1112">
        <v>247045</v>
      </c>
    </row>
    <row r="2533" spans="2:4">
      <c r="B2533" s="412" t="s">
        <v>2770</v>
      </c>
      <c r="C2533" s="1112">
        <v>12966.435897435897</v>
      </c>
      <c r="D2533" s="1112">
        <v>246484.92307692306</v>
      </c>
    </row>
    <row r="2534" spans="2:4">
      <c r="B2534" s="412" t="s">
        <v>2771</v>
      </c>
      <c r="C2534" s="1112">
        <v>12994</v>
      </c>
      <c r="D2534" s="1112">
        <v>247045</v>
      </c>
    </row>
    <row r="2535" spans="2:4">
      <c r="B2535" s="412" t="s">
        <v>2772</v>
      </c>
      <c r="C2535" s="1112">
        <v>12278.53177257525</v>
      </c>
      <c r="D2535" s="1112">
        <v>232507.35117056855</v>
      </c>
    </row>
    <row r="2536" spans="2:4">
      <c r="B2536" s="412" t="s">
        <v>2773</v>
      </c>
      <c r="C2536" s="1112">
        <v>10844</v>
      </c>
      <c r="D2536" s="1112">
        <v>203359</v>
      </c>
    </row>
    <row r="2537" spans="2:4">
      <c r="B2537" s="412" t="s">
        <v>2774</v>
      </c>
      <c r="C2537" s="1112">
        <v>10844</v>
      </c>
      <c r="D2537" s="1112">
        <v>203359</v>
      </c>
    </row>
    <row r="2538" spans="2:4">
      <c r="B2538" s="412" t="s">
        <v>2775</v>
      </c>
      <c r="C2538" s="1112">
        <v>10846.990264255912</v>
      </c>
      <c r="D2538" s="1112">
        <v>203419.75938803895</v>
      </c>
    </row>
    <row r="2539" spans="2:4">
      <c r="B2539" s="412" t="s">
        <v>2776</v>
      </c>
      <c r="C2539" s="1112">
        <v>10845.904340124003</v>
      </c>
      <c r="D2539" s="1112">
        <v>203397.69441984055</v>
      </c>
    </row>
    <row r="2540" spans="2:4">
      <c r="B2540" s="412" t="s">
        <v>2777</v>
      </c>
      <c r="C2540" s="1112">
        <v>10844</v>
      </c>
      <c r="D2540" s="1112">
        <v>203359</v>
      </c>
    </row>
    <row r="2541" spans="2:4">
      <c r="B2541" s="412" t="s">
        <v>2778</v>
      </c>
      <c r="C2541" s="1112">
        <v>12927.129123468427</v>
      </c>
      <c r="D2541" s="1112">
        <v>245686.24599434496</v>
      </c>
    </row>
    <row r="2542" spans="2:4">
      <c r="B2542" s="412" t="s">
        <v>2779</v>
      </c>
      <c r="C2542" s="1112">
        <v>12994</v>
      </c>
      <c r="D2542" s="1112">
        <v>247045</v>
      </c>
    </row>
    <row r="2543" spans="2:4">
      <c r="B2543" s="412" t="s">
        <v>2780</v>
      </c>
      <c r="C2543" s="1112">
        <v>16010</v>
      </c>
      <c r="D2543" s="1112">
        <v>305377</v>
      </c>
    </row>
    <row r="2544" spans="2:4">
      <c r="B2544" s="412" t="s">
        <v>2781</v>
      </c>
      <c r="C2544" s="1112">
        <v>12847.105590062112</v>
      </c>
      <c r="D2544" s="1112">
        <v>244060.24223602485</v>
      </c>
    </row>
    <row r="2545" spans="2:4">
      <c r="B2545" s="412" t="s">
        <v>2782</v>
      </c>
      <c r="C2545" s="1112">
        <v>13020</v>
      </c>
      <c r="D2545" s="1112">
        <v>247547.86206896551</v>
      </c>
    </row>
    <row r="2546" spans="2:4">
      <c r="B2546" s="412" t="s">
        <v>2783</v>
      </c>
      <c r="C2546" s="1112">
        <v>13542.363636363636</v>
      </c>
      <c r="D2546" s="1112">
        <v>257650.81818181818</v>
      </c>
    </row>
    <row r="2547" spans="2:4">
      <c r="B2547" s="412" t="s">
        <v>2784</v>
      </c>
      <c r="C2547" s="1112">
        <v>12994</v>
      </c>
      <c r="D2547" s="1112">
        <v>247045</v>
      </c>
    </row>
    <row r="2548" spans="2:4">
      <c r="B2548" s="412" t="s">
        <v>2785</v>
      </c>
      <c r="C2548" s="1112">
        <v>10860.116941529235</v>
      </c>
      <c r="D2548" s="1112">
        <v>203686.48125937031</v>
      </c>
    </row>
    <row r="2549" spans="2:4">
      <c r="B2549" s="412" t="s">
        <v>2786</v>
      </c>
      <c r="C2549" s="1112">
        <v>12994</v>
      </c>
      <c r="D2549" s="1112">
        <v>247045</v>
      </c>
    </row>
    <row r="2550" spans="2:4">
      <c r="B2550" s="412" t="s">
        <v>2787</v>
      </c>
      <c r="C2550" s="1112">
        <v>12994</v>
      </c>
      <c r="D2550" s="1112">
        <v>247045</v>
      </c>
    </row>
    <row r="2551" spans="2:4">
      <c r="B2551" s="412" t="s">
        <v>2788</v>
      </c>
      <c r="C2551" s="1112">
        <v>12994</v>
      </c>
      <c r="D2551" s="1112">
        <v>247045</v>
      </c>
    </row>
    <row r="2552" spans="2:4">
      <c r="B2552" s="412" t="s">
        <v>2789</v>
      </c>
      <c r="C2552" s="1112">
        <v>12979.690515806988</v>
      </c>
      <c r="D2552" s="1112">
        <v>246754.24459234608</v>
      </c>
    </row>
    <row r="2553" spans="2:4">
      <c r="B2553" s="412" t="s">
        <v>2790</v>
      </c>
      <c r="C2553" s="1112">
        <v>13000.870159453303</v>
      </c>
      <c r="D2553" s="1112">
        <v>247177.87471526195</v>
      </c>
    </row>
    <row r="2554" spans="2:4">
      <c r="B2554" s="412" t="s">
        <v>2791</v>
      </c>
      <c r="C2554" s="1112">
        <v>15926.44327176781</v>
      </c>
      <c r="D2554" s="1112">
        <v>303760.9419525066</v>
      </c>
    </row>
    <row r="2555" spans="2:4">
      <c r="B2555" s="412" t="s">
        <v>2792</v>
      </c>
      <c r="C2555" s="1112">
        <v>12994</v>
      </c>
      <c r="D2555" s="1112">
        <v>247045</v>
      </c>
    </row>
    <row r="2556" spans="2:4">
      <c r="B2556" s="412" t="s">
        <v>2793</v>
      </c>
      <c r="C2556" s="1112">
        <v>12984.046296296296</v>
      </c>
      <c r="D2556" s="1112">
        <v>246842.75</v>
      </c>
    </row>
    <row r="2557" spans="2:4">
      <c r="B2557" s="412" t="s">
        <v>2794</v>
      </c>
      <c r="C2557" s="1112">
        <v>15831.83191230207</v>
      </c>
      <c r="D2557" s="1112">
        <v>301931.07795371499</v>
      </c>
    </row>
    <row r="2558" spans="2:4">
      <c r="B2558" s="412" t="s">
        <v>2795</v>
      </c>
      <c r="C2558" s="1112">
        <v>15919.468263473054</v>
      </c>
      <c r="D2558" s="1112">
        <v>303613.44550898205</v>
      </c>
    </row>
    <row r="2559" spans="2:4">
      <c r="B2559" s="412" t="s">
        <v>2796</v>
      </c>
      <c r="C2559" s="1112">
        <v>10865.174540029835</v>
      </c>
      <c r="D2559" s="1112">
        <v>203786.31277971159</v>
      </c>
    </row>
    <row r="2560" spans="2:4">
      <c r="B2560" s="412" t="s">
        <v>2797</v>
      </c>
      <c r="C2560" s="1112">
        <v>10844</v>
      </c>
      <c r="D2560" s="1112">
        <v>203359</v>
      </c>
    </row>
    <row r="2561" spans="2:4">
      <c r="B2561" s="412" t="s">
        <v>2798</v>
      </c>
      <c r="C2561" s="1112">
        <v>15833.897340754484</v>
      </c>
      <c r="D2561" s="1112">
        <v>301959.31910946197</v>
      </c>
    </row>
    <row r="2562" spans="2:4">
      <c r="B2562" s="412" t="s">
        <v>2799</v>
      </c>
      <c r="C2562" s="1112">
        <v>13302.882748319642</v>
      </c>
      <c r="D2562" s="1112">
        <v>251924.27259148619</v>
      </c>
    </row>
    <row r="2563" spans="2:4">
      <c r="B2563" s="412" t="s">
        <v>2800</v>
      </c>
      <c r="C2563" s="1112">
        <v>13101.714285714286</v>
      </c>
      <c r="D2563" s="1112">
        <v>249128.28571428571</v>
      </c>
    </row>
    <row r="2564" spans="2:4">
      <c r="B2564" s="412" t="s">
        <v>2801</v>
      </c>
      <c r="C2564" s="1112">
        <v>13231.624242424243</v>
      </c>
      <c r="D2564" s="1112">
        <v>251640.85454545455</v>
      </c>
    </row>
    <row r="2565" spans="2:4">
      <c r="B2565" s="412" t="s">
        <v>2802</v>
      </c>
      <c r="C2565" s="1112">
        <v>58967</v>
      </c>
      <c r="D2565" s="1112">
        <v>1132776</v>
      </c>
    </row>
    <row r="2566" spans="2:4">
      <c r="B2566" s="412" t="s">
        <v>2803</v>
      </c>
      <c r="C2566" s="1112">
        <v>58967</v>
      </c>
      <c r="D2566" s="1112">
        <v>1132776</v>
      </c>
    </row>
    <row r="2567" spans="2:4">
      <c r="B2567" s="412" t="s">
        <v>2804</v>
      </c>
      <c r="C2567" s="1112">
        <v>58967</v>
      </c>
      <c r="D2567" s="1112">
        <v>1132776</v>
      </c>
    </row>
    <row r="2568" spans="2:4">
      <c r="B2568" s="412" t="s">
        <v>2805</v>
      </c>
      <c r="C2568" s="1112">
        <v>31326</v>
      </c>
      <c r="D2568" s="1112">
        <v>602201</v>
      </c>
    </row>
    <row r="2569" spans="2:4">
      <c r="B2569" s="412" t="s">
        <v>2806</v>
      </c>
      <c r="C2569" s="1112">
        <v>31326</v>
      </c>
      <c r="D2569" s="1112">
        <v>602201</v>
      </c>
    </row>
    <row r="2570" spans="2:4">
      <c r="B2570" s="412" t="s">
        <v>2807</v>
      </c>
      <c r="C2570" s="1112">
        <v>57596.18617886179</v>
      </c>
      <c r="D2570" s="1112">
        <v>1106462.930894309</v>
      </c>
    </row>
    <row r="2571" spans="2:4">
      <c r="B2571" s="412" t="s">
        <v>2808</v>
      </c>
      <c r="C2571" s="1112">
        <v>50875.467351430671</v>
      </c>
      <c r="D2571" s="1112">
        <v>977457.27292736608</v>
      </c>
    </row>
    <row r="2572" spans="2:4">
      <c r="B2572" s="412" t="s">
        <v>2809</v>
      </c>
      <c r="C2572" s="1112">
        <v>56813.911578947365</v>
      </c>
      <c r="D2572" s="1112">
        <v>1091447</v>
      </c>
    </row>
    <row r="2573" spans="2:4">
      <c r="B2573" s="412" t="s">
        <v>2810</v>
      </c>
      <c r="C2573" s="1112">
        <v>58556.490099009898</v>
      </c>
      <c r="D2573" s="1112">
        <v>1124896.1732673268</v>
      </c>
    </row>
    <row r="2574" spans="2:4">
      <c r="B2574" s="412" t="s">
        <v>2811</v>
      </c>
      <c r="C2574" s="1112">
        <v>35530.782424242425</v>
      </c>
      <c r="D2574" s="1112">
        <v>682912.71212121216</v>
      </c>
    </row>
    <row r="2575" spans="2:4">
      <c r="B2575" s="412" t="s">
        <v>2812</v>
      </c>
      <c r="C2575" s="1112">
        <v>57546.794520547948</v>
      </c>
      <c r="D2575" s="1112">
        <v>1112261.3767123288</v>
      </c>
    </row>
    <row r="2576" spans="2:4">
      <c r="B2576" s="412" t="s">
        <v>2813</v>
      </c>
      <c r="C2576" s="1112">
        <v>57532.934065934067</v>
      </c>
      <c r="D2576" s="1112">
        <v>1112061.1648351648</v>
      </c>
    </row>
    <row r="2577" spans="2:4">
      <c r="B2577" s="412" t="s">
        <v>2814</v>
      </c>
      <c r="C2577" s="1112">
        <v>57578.052631578947</v>
      </c>
      <c r="D2577" s="1112">
        <v>1112712.894736842</v>
      </c>
    </row>
    <row r="2578" spans="2:4">
      <c r="B2578" s="412" t="s">
        <v>2815</v>
      </c>
      <c r="C2578" s="1112">
        <v>58012.31680440771</v>
      </c>
      <c r="D2578" s="1112">
        <v>1118985.7658402205</v>
      </c>
    </row>
    <row r="2579" spans="2:4">
      <c r="B2579" s="412" t="s">
        <v>2816</v>
      </c>
      <c r="C2579" s="1112">
        <v>57541.871355060037</v>
      </c>
      <c r="D2579" s="1112">
        <v>1112190.2624356775</v>
      </c>
    </row>
    <row r="2580" spans="2:4">
      <c r="B2580" s="412" t="s">
        <v>2817</v>
      </c>
      <c r="C2580" s="1112">
        <v>57760.768115942032</v>
      </c>
      <c r="D2580" s="1112">
        <v>1115352.1884057971</v>
      </c>
    </row>
    <row r="2581" spans="2:4">
      <c r="B2581" s="412" t="s">
        <v>2818</v>
      </c>
      <c r="C2581" s="1112">
        <v>58201.624697336563</v>
      </c>
      <c r="D2581" s="1112">
        <v>1121720.2857142857</v>
      </c>
    </row>
    <row r="2582" spans="2:4">
      <c r="B2582" s="412" t="s">
        <v>2819</v>
      </c>
      <c r="C2582" s="1112">
        <v>57532.508021390371</v>
      </c>
      <c r="D2582" s="1112">
        <v>1112055.0106951871</v>
      </c>
    </row>
    <row r="2583" spans="2:4">
      <c r="B2583" s="412" t="s">
        <v>2820</v>
      </c>
      <c r="C2583" s="1112">
        <v>58967</v>
      </c>
      <c r="D2583" s="1112">
        <v>1132776</v>
      </c>
    </row>
    <row r="2584" spans="2:4">
      <c r="B2584" s="412" t="s">
        <v>2821</v>
      </c>
      <c r="C2584" s="1112">
        <v>31326</v>
      </c>
      <c r="D2584" s="1112">
        <v>602201</v>
      </c>
    </row>
    <row r="2585" spans="2:4">
      <c r="B2585" s="412" t="s">
        <v>2822</v>
      </c>
      <c r="C2585" s="1112">
        <v>58957.011481056259</v>
      </c>
      <c r="D2585" s="1112">
        <v>1132631.7175660161</v>
      </c>
    </row>
    <row r="2586" spans="2:4">
      <c r="B2586" s="412" t="s">
        <v>2823</v>
      </c>
      <c r="C2586" s="1112">
        <v>58967</v>
      </c>
      <c r="D2586" s="1112">
        <v>1132776</v>
      </c>
    </row>
    <row r="2587" spans="2:4">
      <c r="B2587" s="412" t="s">
        <v>2824</v>
      </c>
      <c r="C2587" s="1112">
        <v>58967</v>
      </c>
      <c r="D2587" s="1112">
        <v>1132776</v>
      </c>
    </row>
    <row r="2588" spans="2:4">
      <c r="B2588" s="412" t="s">
        <v>2825</v>
      </c>
      <c r="C2588" s="1112">
        <v>58967</v>
      </c>
      <c r="D2588" s="1112">
        <v>1132776</v>
      </c>
    </row>
    <row r="2589" spans="2:4">
      <c r="B2589" s="412" t="s">
        <v>2826</v>
      </c>
      <c r="C2589" s="1112">
        <v>58590.579109062979</v>
      </c>
      <c r="D2589" s="1112">
        <v>1127338.6651305684</v>
      </c>
    </row>
    <row r="2590" spans="2:4">
      <c r="B2590" s="412" t="s">
        <v>2827</v>
      </c>
      <c r="C2590" s="1112">
        <v>58967</v>
      </c>
      <c r="D2590" s="1112">
        <v>1132776</v>
      </c>
    </row>
    <row r="2591" spans="2:4">
      <c r="B2591" s="412" t="s">
        <v>2828</v>
      </c>
      <c r="C2591" s="1112">
        <v>58967</v>
      </c>
      <c r="D2591" s="1112">
        <v>1132776</v>
      </c>
    </row>
    <row r="2592" spans="2:4">
      <c r="B2592" s="412" t="s">
        <v>2829</v>
      </c>
      <c r="C2592" s="1112">
        <v>58967</v>
      </c>
      <c r="D2592" s="1112">
        <v>1132776</v>
      </c>
    </row>
    <row r="2593" spans="2:4">
      <c r="B2593" s="412" t="s">
        <v>2830</v>
      </c>
      <c r="C2593" s="1112">
        <v>16010</v>
      </c>
      <c r="D2593" s="1112">
        <v>305377</v>
      </c>
    </row>
    <row r="2594" spans="2:4">
      <c r="B2594" s="412" t="s">
        <v>2831</v>
      </c>
      <c r="C2594" s="1112">
        <v>15180.783454987835</v>
      </c>
      <c r="D2594" s="1112">
        <v>289339.2481751825</v>
      </c>
    </row>
    <row r="2595" spans="2:4">
      <c r="B2595" s="412" t="s">
        <v>2832</v>
      </c>
      <c r="C2595" s="1112">
        <v>16010</v>
      </c>
      <c r="D2595" s="1112">
        <v>305377</v>
      </c>
    </row>
    <row r="2596" spans="2:4">
      <c r="B2596" s="412" t="s">
        <v>2833</v>
      </c>
      <c r="C2596" s="1112">
        <v>16010</v>
      </c>
      <c r="D2596" s="1112">
        <v>305377</v>
      </c>
    </row>
    <row r="2597" spans="2:4">
      <c r="B2597" s="412" t="s">
        <v>2834</v>
      </c>
      <c r="C2597" s="1112">
        <v>15577.648554913294</v>
      </c>
      <c r="D2597" s="1112">
        <v>297014.95606936415</v>
      </c>
    </row>
    <row r="2598" spans="2:4">
      <c r="B2598" s="412" t="s">
        <v>2835</v>
      </c>
      <c r="C2598" s="1112">
        <v>15753.5073313783</v>
      </c>
      <c r="D2598" s="1112">
        <v>300416.21407624631</v>
      </c>
    </row>
    <row r="2599" spans="2:4">
      <c r="B2599" s="412" t="s">
        <v>2836</v>
      </c>
      <c r="C2599" s="1112">
        <v>13531.263157894737</v>
      </c>
      <c r="D2599" s="1112">
        <v>257436.12550607289</v>
      </c>
    </row>
    <row r="2600" spans="2:4">
      <c r="B2600" s="412" t="s">
        <v>2837</v>
      </c>
      <c r="C2600" s="1112">
        <v>12994</v>
      </c>
      <c r="D2600" s="1112">
        <v>247045</v>
      </c>
    </row>
    <row r="2601" spans="2:4">
      <c r="B2601" s="412" t="s">
        <v>2838</v>
      </c>
      <c r="C2601" s="1112">
        <v>12994</v>
      </c>
      <c r="D2601" s="1112">
        <v>247045</v>
      </c>
    </row>
    <row r="2602" spans="2:4">
      <c r="B2602" s="412" t="s">
        <v>2839</v>
      </c>
      <c r="C2602" s="1112">
        <v>12994</v>
      </c>
      <c r="D2602" s="1112">
        <v>247045</v>
      </c>
    </row>
    <row r="2603" spans="2:4">
      <c r="B2603" s="412" t="s">
        <v>2840</v>
      </c>
      <c r="C2603" s="1112">
        <v>12994</v>
      </c>
      <c r="D2603" s="1112">
        <v>247045</v>
      </c>
    </row>
    <row r="2604" spans="2:4">
      <c r="B2604" s="412" t="s">
        <v>2841</v>
      </c>
      <c r="C2604" s="1112">
        <v>16010</v>
      </c>
      <c r="D2604" s="1112">
        <v>305377</v>
      </c>
    </row>
    <row r="2605" spans="2:4">
      <c r="B2605" s="412" t="s">
        <v>2842</v>
      </c>
      <c r="C2605" s="1112">
        <v>12805.938534278959</v>
      </c>
      <c r="D2605" s="1112">
        <v>243223.7659574468</v>
      </c>
    </row>
    <row r="2606" spans="2:4">
      <c r="B2606" s="412" t="s">
        <v>2843</v>
      </c>
      <c r="C2606" s="1112">
        <v>13053.137254901962</v>
      </c>
      <c r="D2606" s="1112">
        <v>248188.76470588235</v>
      </c>
    </row>
    <row r="2607" spans="2:4">
      <c r="B2607" s="412" t="s">
        <v>2844</v>
      </c>
      <c r="C2607" s="1112">
        <v>13119.666666666666</v>
      </c>
      <c r="D2607" s="1112">
        <v>249475.5</v>
      </c>
    </row>
    <row r="2608" spans="2:4">
      <c r="B2608" s="412" t="s">
        <v>2845</v>
      </c>
      <c r="C2608" s="1112">
        <v>10846.169525731584</v>
      </c>
      <c r="D2608" s="1112">
        <v>203403.08274470232</v>
      </c>
    </row>
    <row r="2609" spans="2:4">
      <c r="B2609" s="412" t="s">
        <v>2846</v>
      </c>
      <c r="C2609" s="1112">
        <v>10844</v>
      </c>
      <c r="D2609" s="1112">
        <v>203359</v>
      </c>
    </row>
    <row r="2610" spans="2:4">
      <c r="B2610" s="412" t="s">
        <v>2847</v>
      </c>
      <c r="C2610" s="1112">
        <v>10844</v>
      </c>
      <c r="D2610" s="1112">
        <v>203359</v>
      </c>
    </row>
    <row r="2611" spans="2:4">
      <c r="B2611" s="412" t="s">
        <v>2848</v>
      </c>
      <c r="C2611" s="1112">
        <v>16010</v>
      </c>
      <c r="D2611" s="1112">
        <v>305377</v>
      </c>
    </row>
    <row r="2612" spans="2:4">
      <c r="B2612" s="412" t="s">
        <v>2849</v>
      </c>
      <c r="C2612" s="1112">
        <v>15939.598506069095</v>
      </c>
      <c r="D2612" s="1112">
        <v>304015.37535014004</v>
      </c>
    </row>
    <row r="2613" spans="2:4">
      <c r="B2613" s="412" t="s">
        <v>2850</v>
      </c>
      <c r="C2613" s="1112">
        <v>15918.432637571157</v>
      </c>
      <c r="D2613" s="1112">
        <v>303606.00948766602</v>
      </c>
    </row>
    <row r="2614" spans="2:4">
      <c r="B2614" s="412" t="s">
        <v>2851</v>
      </c>
      <c r="C2614" s="1112">
        <v>16010</v>
      </c>
      <c r="D2614" s="1112">
        <v>305377</v>
      </c>
    </row>
    <row r="2615" spans="2:4">
      <c r="B2615" s="412" t="s">
        <v>2852</v>
      </c>
      <c r="C2615" s="1112">
        <v>15655.176470588236</v>
      </c>
      <c r="D2615" s="1112">
        <v>298514.4117647059</v>
      </c>
    </row>
    <row r="2616" spans="2:4">
      <c r="B2616" s="412" t="s">
        <v>2853</v>
      </c>
      <c r="C2616" s="1112">
        <v>15557.225806451614</v>
      </c>
      <c r="D2616" s="1112">
        <v>296619.96277915634</v>
      </c>
    </row>
    <row r="2617" spans="2:4">
      <c r="B2617" s="412" t="s">
        <v>2854</v>
      </c>
      <c r="C2617" s="1112">
        <v>15965.64705882353</v>
      </c>
      <c r="D2617" s="1112">
        <v>304519.17647058825</v>
      </c>
    </row>
    <row r="2618" spans="2:4" ht="17" thickBot="1">
      <c r="B2618" s="413" t="s">
        <v>2855</v>
      </c>
      <c r="C2618" s="1113">
        <v>16010</v>
      </c>
      <c r="D2618" s="1113">
        <v>305377</v>
      </c>
    </row>
    <row r="2619" spans="2:4">
      <c r="B2619" s="415" t="s">
        <v>2856</v>
      </c>
      <c r="C2619" s="1111">
        <v>12994</v>
      </c>
      <c r="D2619" s="1111">
        <v>247045</v>
      </c>
    </row>
    <row r="2620" spans="2:4">
      <c r="B2620" s="412" t="s">
        <v>2857</v>
      </c>
      <c r="C2620" s="1112">
        <v>12994</v>
      </c>
      <c r="D2620" s="1112">
        <v>247045</v>
      </c>
    </row>
    <row r="2621" spans="2:4">
      <c r="B2621" s="412" t="s">
        <v>2858</v>
      </c>
      <c r="C2621" s="1112">
        <v>12994</v>
      </c>
      <c r="D2621" s="1112">
        <v>247045</v>
      </c>
    </row>
    <row r="2622" spans="2:4">
      <c r="B2622" s="412" t="s">
        <v>2859</v>
      </c>
      <c r="C2622" s="1112">
        <v>12994</v>
      </c>
      <c r="D2622" s="1112">
        <v>247045</v>
      </c>
    </row>
    <row r="2623" spans="2:4">
      <c r="B2623" s="412" t="s">
        <v>2860</v>
      </c>
      <c r="C2623" s="1112">
        <v>12994</v>
      </c>
      <c r="D2623" s="1112">
        <v>247045</v>
      </c>
    </row>
    <row r="2624" spans="2:4">
      <c r="B2624" s="412" t="s">
        <v>2861</v>
      </c>
      <c r="C2624" s="1112">
        <v>12994</v>
      </c>
      <c r="D2624" s="1112">
        <v>247045</v>
      </c>
    </row>
    <row r="2625" spans="2:4">
      <c r="B2625" s="412" t="s">
        <v>2862</v>
      </c>
      <c r="C2625" s="1112">
        <v>12994</v>
      </c>
      <c r="D2625" s="1112">
        <v>247045</v>
      </c>
    </row>
    <row r="2626" spans="2:4">
      <c r="B2626" s="412" t="s">
        <v>2863</v>
      </c>
      <c r="C2626" s="1112">
        <v>12994</v>
      </c>
      <c r="D2626" s="1112">
        <v>247045</v>
      </c>
    </row>
    <row r="2627" spans="2:4">
      <c r="B2627" s="412" t="s">
        <v>2864</v>
      </c>
      <c r="C2627" s="1112">
        <v>12994</v>
      </c>
      <c r="D2627" s="1112">
        <v>247045</v>
      </c>
    </row>
    <row r="2628" spans="2:4">
      <c r="B2628" s="412" t="s">
        <v>2865</v>
      </c>
      <c r="C2628" s="1112">
        <v>13046.912280701754</v>
      </c>
      <c r="D2628" s="1112">
        <v>248068.36842105264</v>
      </c>
    </row>
    <row r="2629" spans="2:4">
      <c r="B2629" s="412" t="s">
        <v>2866</v>
      </c>
      <c r="C2629" s="1112">
        <v>12994</v>
      </c>
      <c r="D2629" s="1112">
        <v>247045</v>
      </c>
    </row>
    <row r="2630" spans="2:4">
      <c r="B2630" s="412" t="s">
        <v>2867</v>
      </c>
      <c r="C2630" s="1112">
        <v>12994</v>
      </c>
      <c r="D2630" s="1112">
        <v>247045</v>
      </c>
    </row>
    <row r="2631" spans="2:4">
      <c r="B2631" s="412" t="s">
        <v>2868</v>
      </c>
      <c r="C2631" s="1112">
        <v>13178.65306122449</v>
      </c>
      <c r="D2631" s="1112">
        <v>250616.3469387755</v>
      </c>
    </row>
    <row r="2632" spans="2:4">
      <c r="B2632" s="412" t="s">
        <v>2869</v>
      </c>
      <c r="C2632" s="1112">
        <v>12823.635499207607</v>
      </c>
      <c r="D2632" s="1112">
        <v>243583.35182250396</v>
      </c>
    </row>
    <row r="2633" spans="2:4">
      <c r="B2633" s="412" t="s">
        <v>2870</v>
      </c>
      <c r="C2633" s="1112">
        <v>12830.549707602338</v>
      </c>
      <c r="D2633" s="1112">
        <v>243723.84210526315</v>
      </c>
    </row>
    <row r="2634" spans="2:4">
      <c r="B2634" s="412" t="s">
        <v>2871</v>
      </c>
      <c r="C2634" s="1112">
        <v>12994</v>
      </c>
      <c r="D2634" s="1112">
        <v>247045</v>
      </c>
    </row>
    <row r="2635" spans="2:4">
      <c r="B2635" s="412" t="s">
        <v>2872</v>
      </c>
      <c r="C2635" s="1112">
        <v>12994</v>
      </c>
      <c r="D2635" s="1112">
        <v>247045</v>
      </c>
    </row>
    <row r="2636" spans="2:4">
      <c r="B2636" s="412" t="s">
        <v>2873</v>
      </c>
      <c r="C2636" s="1112">
        <v>12994</v>
      </c>
      <c r="D2636" s="1112">
        <v>247045</v>
      </c>
    </row>
    <row r="2637" spans="2:4">
      <c r="B2637" s="412" t="s">
        <v>2874</v>
      </c>
      <c r="C2637" s="1112">
        <v>12989.264317180618</v>
      </c>
      <c r="D2637" s="1112">
        <v>246948.77533039649</v>
      </c>
    </row>
    <row r="2638" spans="2:4">
      <c r="B2638" s="412" t="s">
        <v>2875</v>
      </c>
      <c r="C2638" s="1112">
        <v>12994</v>
      </c>
      <c r="D2638" s="1112">
        <v>247045</v>
      </c>
    </row>
    <row r="2639" spans="2:4">
      <c r="B2639" s="412" t="s">
        <v>2876</v>
      </c>
      <c r="C2639" s="1112">
        <v>12994</v>
      </c>
      <c r="D2639" s="1112">
        <v>247045</v>
      </c>
    </row>
    <row r="2640" spans="2:4">
      <c r="B2640" s="412" t="s">
        <v>2877</v>
      </c>
      <c r="C2640" s="1112">
        <v>12994</v>
      </c>
      <c r="D2640" s="1112">
        <v>247045</v>
      </c>
    </row>
    <row r="2641" spans="2:4">
      <c r="B2641" s="412" t="s">
        <v>2878</v>
      </c>
      <c r="C2641" s="1112">
        <v>12994</v>
      </c>
      <c r="D2641" s="1112">
        <v>247045</v>
      </c>
    </row>
    <row r="2642" spans="2:4">
      <c r="B2642" s="412" t="s">
        <v>2879</v>
      </c>
      <c r="C2642" s="1112">
        <v>12994</v>
      </c>
      <c r="D2642" s="1112">
        <v>247045</v>
      </c>
    </row>
    <row r="2643" spans="2:4">
      <c r="B2643" s="412" t="s">
        <v>2880</v>
      </c>
      <c r="C2643" s="1112">
        <v>12994</v>
      </c>
      <c r="D2643" s="1112">
        <v>247045</v>
      </c>
    </row>
    <row r="2644" spans="2:4">
      <c r="B2644" s="412" t="s">
        <v>2881</v>
      </c>
      <c r="C2644" s="1112">
        <v>12994</v>
      </c>
      <c r="D2644" s="1112">
        <v>247045</v>
      </c>
    </row>
    <row r="2645" spans="2:4">
      <c r="B2645" s="412" t="s">
        <v>2882</v>
      </c>
      <c r="C2645" s="1112">
        <v>12994</v>
      </c>
      <c r="D2645" s="1112">
        <v>247045</v>
      </c>
    </row>
    <row r="2646" spans="2:4">
      <c r="B2646" s="412" t="s">
        <v>2883</v>
      </c>
      <c r="C2646" s="1112">
        <v>14218.444444444445</v>
      </c>
      <c r="D2646" s="1112">
        <v>270726.79487179487</v>
      </c>
    </row>
    <row r="2647" spans="2:4">
      <c r="B2647" s="412" t="s">
        <v>2884</v>
      </c>
      <c r="C2647" s="1112">
        <v>12994</v>
      </c>
      <c r="D2647" s="1112">
        <v>247045</v>
      </c>
    </row>
    <row r="2648" spans="2:4">
      <c r="B2648" s="412" t="s">
        <v>2885</v>
      </c>
      <c r="C2648" s="1112">
        <v>13005.78125</v>
      </c>
      <c r="D2648" s="1112">
        <v>247272.859375</v>
      </c>
    </row>
    <row r="2649" spans="2:4">
      <c r="B2649" s="412" t="s">
        <v>2886</v>
      </c>
      <c r="C2649" s="1112">
        <v>15837.964349376114</v>
      </c>
      <c r="D2649" s="1112">
        <v>302049.68449197861</v>
      </c>
    </row>
    <row r="2650" spans="2:4">
      <c r="B2650" s="412" t="s">
        <v>2887</v>
      </c>
      <c r="C2650" s="1112">
        <v>12994</v>
      </c>
      <c r="D2650" s="1112">
        <v>247045</v>
      </c>
    </row>
    <row r="2651" spans="2:4">
      <c r="B2651" s="412" t="s">
        <v>2888</v>
      </c>
      <c r="C2651" s="1112">
        <v>12994</v>
      </c>
      <c r="D2651" s="1112">
        <v>247045</v>
      </c>
    </row>
    <row r="2652" spans="2:4">
      <c r="B2652" s="412" t="s">
        <v>2889</v>
      </c>
      <c r="C2652" s="1112">
        <v>12994</v>
      </c>
      <c r="D2652" s="1112">
        <v>247045</v>
      </c>
    </row>
    <row r="2653" spans="2:4">
      <c r="B2653" s="412" t="s">
        <v>2890</v>
      </c>
      <c r="C2653" s="1112">
        <v>13000.717149220491</v>
      </c>
      <c r="D2653" s="1112">
        <v>247174.91536748331</v>
      </c>
    </row>
    <row r="2654" spans="2:4">
      <c r="B2654" s="412" t="s">
        <v>2891</v>
      </c>
      <c r="C2654" s="1112">
        <v>12994</v>
      </c>
      <c r="D2654" s="1112">
        <v>247045</v>
      </c>
    </row>
    <row r="2655" spans="2:4">
      <c r="B2655" s="412" t="s">
        <v>2892</v>
      </c>
      <c r="C2655" s="1112">
        <v>12994</v>
      </c>
      <c r="D2655" s="1112">
        <v>247045</v>
      </c>
    </row>
    <row r="2656" spans="2:4">
      <c r="B2656" s="412" t="s">
        <v>2893</v>
      </c>
      <c r="C2656" s="1112">
        <v>12994</v>
      </c>
      <c r="D2656" s="1112">
        <v>247045</v>
      </c>
    </row>
    <row r="2657" spans="2:4">
      <c r="B2657" s="412" t="s">
        <v>2894</v>
      </c>
      <c r="C2657" s="1112">
        <v>12994</v>
      </c>
      <c r="D2657" s="1112">
        <v>247045</v>
      </c>
    </row>
    <row r="2658" spans="2:4">
      <c r="B2658" s="412" t="s">
        <v>2895</v>
      </c>
      <c r="C2658" s="1112">
        <v>12994</v>
      </c>
      <c r="D2658" s="1112">
        <v>247045</v>
      </c>
    </row>
    <row r="2659" spans="2:4">
      <c r="B2659" s="412" t="s">
        <v>2896</v>
      </c>
      <c r="C2659" s="1112">
        <v>13065.244094488189</v>
      </c>
      <c r="D2659" s="1112">
        <v>248422.92125984252</v>
      </c>
    </row>
    <row r="2660" spans="2:4">
      <c r="B2660" s="412" t="s">
        <v>2897</v>
      </c>
      <c r="C2660" s="1112">
        <v>15660.708240534521</v>
      </c>
      <c r="D2660" s="1112">
        <v>298621.40089086862</v>
      </c>
    </row>
    <row r="2661" spans="2:4">
      <c r="B2661" s="412" t="s">
        <v>2898</v>
      </c>
      <c r="C2661" s="1112">
        <v>16010</v>
      </c>
      <c r="D2661" s="1112">
        <v>305377</v>
      </c>
    </row>
    <row r="2662" spans="2:4">
      <c r="B2662" s="412" t="s">
        <v>2899</v>
      </c>
      <c r="C2662" s="1112">
        <v>16010</v>
      </c>
      <c r="D2662" s="1112">
        <v>305377</v>
      </c>
    </row>
    <row r="2663" spans="2:4">
      <c r="B2663" s="412" t="s">
        <v>2900</v>
      </c>
      <c r="C2663" s="1112">
        <v>12999.468721668178</v>
      </c>
      <c r="D2663" s="1112">
        <v>247150.76971894832</v>
      </c>
    </row>
    <row r="2664" spans="2:4">
      <c r="B2664" s="412" t="s">
        <v>2901</v>
      </c>
      <c r="C2664" s="1112">
        <v>12994</v>
      </c>
      <c r="D2664" s="1112">
        <v>247045</v>
      </c>
    </row>
    <row r="2665" spans="2:4">
      <c r="B2665" s="412" t="s">
        <v>2902</v>
      </c>
      <c r="C2665" s="1112">
        <v>12994</v>
      </c>
      <c r="D2665" s="1112">
        <v>247045</v>
      </c>
    </row>
    <row r="2666" spans="2:4">
      <c r="B2666" s="412" t="s">
        <v>2903</v>
      </c>
      <c r="C2666" s="1112">
        <v>12994</v>
      </c>
      <c r="D2666" s="1112">
        <v>247045</v>
      </c>
    </row>
    <row r="2667" spans="2:4">
      <c r="B2667" s="412" t="s">
        <v>2904</v>
      </c>
      <c r="C2667" s="1112">
        <v>13258.561403508771</v>
      </c>
      <c r="D2667" s="1112">
        <v>252161.84210526315</v>
      </c>
    </row>
    <row r="2668" spans="2:4">
      <c r="B2668" s="412" t="s">
        <v>2905</v>
      </c>
      <c r="C2668" s="1112">
        <v>12994</v>
      </c>
      <c r="D2668" s="1112">
        <v>247045</v>
      </c>
    </row>
    <row r="2669" spans="2:4">
      <c r="B2669" s="412" t="s">
        <v>2906</v>
      </c>
      <c r="C2669" s="1112">
        <v>13514</v>
      </c>
      <c r="D2669" s="1112">
        <v>257102.24137931035</v>
      </c>
    </row>
    <row r="2670" spans="2:4">
      <c r="B2670" s="412" t="s">
        <v>2907</v>
      </c>
      <c r="C2670" s="1112">
        <v>14860.984954864594</v>
      </c>
      <c r="D2670" s="1112">
        <v>282689.98294884653</v>
      </c>
    </row>
    <row r="2671" spans="2:4">
      <c r="B2671" s="412" t="s">
        <v>2908</v>
      </c>
      <c r="C2671" s="1112">
        <v>10844</v>
      </c>
      <c r="D2671" s="1112">
        <v>203359</v>
      </c>
    </row>
    <row r="2672" spans="2:4">
      <c r="B2672" s="412" t="s">
        <v>2909</v>
      </c>
      <c r="C2672" s="1112">
        <v>10844</v>
      </c>
      <c r="D2672" s="1112">
        <v>203359</v>
      </c>
    </row>
    <row r="2673" spans="2:4">
      <c r="B2673" s="412" t="s">
        <v>2910</v>
      </c>
      <c r="C2673" s="1112">
        <v>11421.449324324325</v>
      </c>
      <c r="D2673" s="1112">
        <v>215092.23310810811</v>
      </c>
    </row>
    <row r="2674" spans="2:4">
      <c r="B2674" s="412" t="s">
        <v>2911</v>
      </c>
      <c r="C2674" s="1112">
        <v>11770.599326599327</v>
      </c>
      <c r="D2674" s="1112">
        <v>222186.63636363635</v>
      </c>
    </row>
    <row r="2675" spans="2:4">
      <c r="B2675" s="412" t="s">
        <v>2912</v>
      </c>
      <c r="C2675" s="1112">
        <v>12994</v>
      </c>
      <c r="D2675" s="1112">
        <v>247045</v>
      </c>
    </row>
    <row r="2676" spans="2:4">
      <c r="B2676" s="412" t="s">
        <v>2913</v>
      </c>
      <c r="C2676" s="1112">
        <v>13850.33910034602</v>
      </c>
      <c r="D2676" s="1112">
        <v>263635.33217993082</v>
      </c>
    </row>
    <row r="2677" spans="2:4">
      <c r="B2677" s="412" t="s">
        <v>2914</v>
      </c>
      <c r="C2677" s="1112">
        <v>11908.652406417112</v>
      </c>
      <c r="D2677" s="1112">
        <v>224991.74652406416</v>
      </c>
    </row>
    <row r="2678" spans="2:4">
      <c r="B2678" s="412" t="s">
        <v>2915</v>
      </c>
      <c r="C2678" s="1112">
        <v>21981.441558441558</v>
      </c>
      <c r="D2678" s="1112">
        <v>421163.68831168831</v>
      </c>
    </row>
    <row r="2679" spans="2:4">
      <c r="B2679" s="412" t="s">
        <v>2916</v>
      </c>
      <c r="C2679" s="1112">
        <v>11073.420731707318</v>
      </c>
      <c r="D2679" s="1112">
        <v>208020.61585365853</v>
      </c>
    </row>
    <row r="2680" spans="2:4">
      <c r="B2680" s="412" t="s">
        <v>2917</v>
      </c>
      <c r="C2680" s="1112">
        <v>10906.31884057971</v>
      </c>
      <c r="D2680" s="1112">
        <v>204625.26086956522</v>
      </c>
    </row>
    <row r="2681" spans="2:4">
      <c r="B2681" s="412" t="s">
        <v>2918</v>
      </c>
      <c r="C2681" s="1112">
        <v>10855.684782608696</v>
      </c>
      <c r="D2681" s="1112">
        <v>203596.42391304349</v>
      </c>
    </row>
    <row r="2682" spans="2:4">
      <c r="B2682" s="412" t="s">
        <v>2919</v>
      </c>
      <c r="C2682" s="1112">
        <v>10968.187725631769</v>
      </c>
      <c r="D2682" s="1112">
        <v>205882.37906137184</v>
      </c>
    </row>
    <row r="2683" spans="2:4">
      <c r="B2683" s="412" t="s">
        <v>2920</v>
      </c>
      <c r="C2683" s="1112">
        <v>12994</v>
      </c>
      <c r="D2683" s="1112">
        <v>247045</v>
      </c>
    </row>
    <row r="2684" spans="2:4">
      <c r="B2684" s="412" t="s">
        <v>2921</v>
      </c>
      <c r="C2684" s="1112">
        <v>12886.5</v>
      </c>
      <c r="D2684" s="1112">
        <v>244860.7</v>
      </c>
    </row>
    <row r="2685" spans="2:4">
      <c r="B2685" s="412" t="s">
        <v>2922</v>
      </c>
      <c r="C2685" s="1112">
        <v>12994</v>
      </c>
      <c r="D2685" s="1112">
        <v>247045</v>
      </c>
    </row>
    <row r="2686" spans="2:4">
      <c r="B2686" s="412" t="s">
        <v>2923</v>
      </c>
      <c r="C2686" s="1112">
        <v>12994</v>
      </c>
      <c r="D2686" s="1112">
        <v>247045</v>
      </c>
    </row>
    <row r="2687" spans="2:4">
      <c r="B2687" s="412" t="s">
        <v>2924</v>
      </c>
      <c r="C2687" s="1112">
        <v>12994</v>
      </c>
      <c r="D2687" s="1112">
        <v>247045</v>
      </c>
    </row>
    <row r="2688" spans="2:4">
      <c r="B2688" s="412" t="s">
        <v>2925</v>
      </c>
      <c r="C2688" s="1112">
        <v>12994</v>
      </c>
      <c r="D2688" s="1112">
        <v>247045</v>
      </c>
    </row>
    <row r="2689" spans="2:4">
      <c r="B2689" s="412" t="s">
        <v>2926</v>
      </c>
      <c r="C2689" s="1112">
        <v>12994</v>
      </c>
      <c r="D2689" s="1112">
        <v>247045</v>
      </c>
    </row>
    <row r="2690" spans="2:4">
      <c r="B2690" s="412" t="s">
        <v>2927</v>
      </c>
      <c r="C2690" s="1112">
        <v>12955.292962356792</v>
      </c>
      <c r="D2690" s="1112">
        <v>246258.50900163667</v>
      </c>
    </row>
    <row r="2691" spans="2:4">
      <c r="B2691" s="412" t="s">
        <v>2928</v>
      </c>
      <c r="C2691" s="1112">
        <v>12994</v>
      </c>
      <c r="D2691" s="1112">
        <v>247045</v>
      </c>
    </row>
    <row r="2692" spans="2:4">
      <c r="B2692" s="412" t="s">
        <v>2929</v>
      </c>
      <c r="C2692" s="1112">
        <v>12994</v>
      </c>
      <c r="D2692" s="1112">
        <v>247045</v>
      </c>
    </row>
    <row r="2693" spans="2:4">
      <c r="B2693" s="412" t="s">
        <v>2930</v>
      </c>
      <c r="C2693" s="1112">
        <v>11714.69271758437</v>
      </c>
      <c r="D2693" s="1112">
        <v>221050.66607460036</v>
      </c>
    </row>
    <row r="2694" spans="2:4">
      <c r="B2694" s="412" t="s">
        <v>2931</v>
      </c>
      <c r="C2694" s="1112">
        <v>12994</v>
      </c>
      <c r="D2694" s="1112">
        <v>247045</v>
      </c>
    </row>
    <row r="2695" spans="2:4">
      <c r="B2695" s="412" t="s">
        <v>2932</v>
      </c>
      <c r="C2695" s="1112">
        <v>10860.014897579144</v>
      </c>
      <c r="D2695" s="1112">
        <v>203684.40782122905</v>
      </c>
    </row>
    <row r="2696" spans="2:4">
      <c r="B2696" s="412" t="s">
        <v>2933</v>
      </c>
      <c r="C2696" s="1112">
        <v>10844</v>
      </c>
      <c r="D2696" s="1112">
        <v>203359</v>
      </c>
    </row>
    <row r="2697" spans="2:4">
      <c r="B2697" s="412" t="s">
        <v>2934</v>
      </c>
      <c r="C2697" s="1112">
        <v>11158.408602150537</v>
      </c>
      <c r="D2697" s="1112">
        <v>209747.49032258065</v>
      </c>
    </row>
    <row r="2698" spans="2:4">
      <c r="B2698" s="412" t="s">
        <v>2935</v>
      </c>
      <c r="C2698" s="1112">
        <v>10844</v>
      </c>
      <c r="D2698" s="1112">
        <v>203359</v>
      </c>
    </row>
    <row r="2699" spans="2:4">
      <c r="B2699" s="412" t="s">
        <v>2936</v>
      </c>
      <c r="C2699" s="1112">
        <v>10844</v>
      </c>
      <c r="D2699" s="1112">
        <v>203359</v>
      </c>
    </row>
    <row r="2700" spans="2:4">
      <c r="B2700" s="412" t="s">
        <v>2937</v>
      </c>
      <c r="C2700" s="1112">
        <v>10844</v>
      </c>
      <c r="D2700" s="1112">
        <v>203359</v>
      </c>
    </row>
    <row r="2701" spans="2:4">
      <c r="B2701" s="412" t="s">
        <v>2938</v>
      </c>
      <c r="C2701" s="1112">
        <v>10844</v>
      </c>
      <c r="D2701" s="1112">
        <v>203359</v>
      </c>
    </row>
    <row r="2702" spans="2:4">
      <c r="B2702" s="412" t="s">
        <v>2939</v>
      </c>
      <c r="C2702" s="1112">
        <v>10844</v>
      </c>
      <c r="D2702" s="1112">
        <v>203359</v>
      </c>
    </row>
    <row r="2703" spans="2:4">
      <c r="B2703" s="412" t="s">
        <v>2940</v>
      </c>
      <c r="C2703" s="1112">
        <v>10863.026548672566</v>
      </c>
      <c r="D2703" s="1112">
        <v>203745.6017699115</v>
      </c>
    </row>
    <row r="2704" spans="2:4">
      <c r="B2704" s="412" t="s">
        <v>2941</v>
      </c>
      <c r="C2704" s="1112">
        <v>10844</v>
      </c>
      <c r="D2704" s="1112">
        <v>203359</v>
      </c>
    </row>
    <row r="2705" spans="2:4">
      <c r="B2705" s="412" t="s">
        <v>2942</v>
      </c>
      <c r="C2705" s="1112">
        <v>10844</v>
      </c>
      <c r="D2705" s="1112">
        <v>203359</v>
      </c>
    </row>
    <row r="2706" spans="2:4">
      <c r="B2706" s="412" t="s">
        <v>2943</v>
      </c>
      <c r="C2706" s="1112">
        <v>12041.40099009901</v>
      </c>
      <c r="D2706" s="1112">
        <v>227689.07425742573</v>
      </c>
    </row>
    <row r="2707" spans="2:4">
      <c r="B2707" s="412" t="s">
        <v>2944</v>
      </c>
      <c r="C2707" s="1112">
        <v>12994</v>
      </c>
      <c r="D2707" s="1112">
        <v>247045</v>
      </c>
    </row>
    <row r="2708" spans="2:4">
      <c r="B2708" s="412" t="s">
        <v>2945</v>
      </c>
      <c r="C2708" s="1112">
        <v>12994</v>
      </c>
      <c r="D2708" s="1112">
        <v>247045</v>
      </c>
    </row>
    <row r="2709" spans="2:4">
      <c r="B2709" s="412" t="s">
        <v>2946</v>
      </c>
      <c r="C2709" s="1112">
        <v>12994</v>
      </c>
      <c r="D2709" s="1112">
        <v>247045</v>
      </c>
    </row>
    <row r="2710" spans="2:4">
      <c r="B2710" s="412" t="s">
        <v>2947</v>
      </c>
      <c r="C2710" s="1112">
        <v>10844</v>
      </c>
      <c r="D2710" s="1112">
        <v>203359</v>
      </c>
    </row>
    <row r="2711" spans="2:4">
      <c r="B2711" s="412" t="s">
        <v>2948</v>
      </c>
      <c r="C2711" s="1112">
        <v>12994</v>
      </c>
      <c r="D2711" s="1112">
        <v>247045</v>
      </c>
    </row>
    <row r="2712" spans="2:4">
      <c r="B2712" s="412" t="s">
        <v>2949</v>
      </c>
      <c r="C2712" s="1112">
        <v>10844</v>
      </c>
      <c r="D2712" s="1112">
        <v>203359</v>
      </c>
    </row>
    <row r="2713" spans="2:4">
      <c r="B2713" s="412" t="s">
        <v>2950</v>
      </c>
      <c r="C2713" s="1112">
        <v>12340.835443037975</v>
      </c>
      <c r="D2713" s="1112">
        <v>233773.30379746837</v>
      </c>
    </row>
    <row r="2714" spans="2:4">
      <c r="B2714" s="412" t="s">
        <v>2951</v>
      </c>
      <c r="C2714" s="1112">
        <v>12991.449584816133</v>
      </c>
      <c r="D2714" s="1112">
        <v>246993.17793594307</v>
      </c>
    </row>
    <row r="2715" spans="2:4">
      <c r="B2715" s="412" t="s">
        <v>2952</v>
      </c>
      <c r="C2715" s="1112">
        <v>12658.990138067062</v>
      </c>
      <c r="D2715" s="1112">
        <v>240237.91124260356</v>
      </c>
    </row>
    <row r="2716" spans="2:4">
      <c r="B2716" s="412" t="s">
        <v>2953</v>
      </c>
      <c r="C2716" s="1112">
        <v>12994</v>
      </c>
      <c r="D2716" s="1112">
        <v>247045</v>
      </c>
    </row>
    <row r="2717" spans="2:4">
      <c r="B2717" s="412" t="s">
        <v>2954</v>
      </c>
      <c r="C2717" s="1112">
        <v>12994</v>
      </c>
      <c r="D2717" s="1112">
        <v>247045</v>
      </c>
    </row>
    <row r="2718" spans="2:4">
      <c r="B2718" s="412" t="s">
        <v>2955</v>
      </c>
      <c r="C2718" s="1112">
        <v>12819.133333333333</v>
      </c>
      <c r="D2718" s="1112">
        <v>243491.872</v>
      </c>
    </row>
    <row r="2719" spans="2:4">
      <c r="B2719" s="412" t="s">
        <v>2956</v>
      </c>
      <c r="C2719" s="1112">
        <v>12994</v>
      </c>
      <c r="D2719" s="1112">
        <v>247045</v>
      </c>
    </row>
    <row r="2720" spans="2:4">
      <c r="B2720" s="412" t="s">
        <v>2957</v>
      </c>
      <c r="C2720" s="1112">
        <v>12915.580547112462</v>
      </c>
      <c r="D2720" s="1112">
        <v>245451.5896656535</v>
      </c>
    </row>
    <row r="2721" spans="2:4">
      <c r="B2721" s="412" t="s">
        <v>2958</v>
      </c>
      <c r="C2721" s="1112">
        <v>10844</v>
      </c>
      <c r="D2721" s="1112">
        <v>203359</v>
      </c>
    </row>
    <row r="2722" spans="2:4">
      <c r="B2722" s="412" t="s">
        <v>2959</v>
      </c>
      <c r="C2722" s="1112">
        <v>10844</v>
      </c>
      <c r="D2722" s="1112">
        <v>203359</v>
      </c>
    </row>
    <row r="2723" spans="2:4">
      <c r="B2723" s="412" t="s">
        <v>2960</v>
      </c>
      <c r="C2723" s="1112">
        <v>10844</v>
      </c>
      <c r="D2723" s="1112">
        <v>203359</v>
      </c>
    </row>
    <row r="2724" spans="2:4">
      <c r="B2724" s="412" t="s">
        <v>2961</v>
      </c>
      <c r="C2724" s="1112">
        <v>10923.542981501632</v>
      </c>
      <c r="D2724" s="1112">
        <v>204975.239390642</v>
      </c>
    </row>
    <row r="2725" spans="2:4">
      <c r="B2725" s="412" t="s">
        <v>2962</v>
      </c>
      <c r="C2725" s="1112">
        <v>16010</v>
      </c>
      <c r="D2725" s="1112">
        <v>305377</v>
      </c>
    </row>
    <row r="2726" spans="2:4">
      <c r="B2726" s="412" t="s">
        <v>2963</v>
      </c>
      <c r="C2726" s="1112">
        <v>16010</v>
      </c>
      <c r="D2726" s="1112">
        <v>305377</v>
      </c>
    </row>
    <row r="2727" spans="2:4">
      <c r="B2727" s="412" t="s">
        <v>2964</v>
      </c>
      <c r="C2727" s="1112">
        <v>16010</v>
      </c>
      <c r="D2727" s="1112">
        <v>305377</v>
      </c>
    </row>
    <row r="2728" spans="2:4">
      <c r="B2728" s="412" t="s">
        <v>2965</v>
      </c>
      <c r="C2728" s="1112">
        <v>16010</v>
      </c>
      <c r="D2728" s="1112">
        <v>305377</v>
      </c>
    </row>
    <row r="2729" spans="2:4">
      <c r="B2729" s="412" t="s">
        <v>2966</v>
      </c>
      <c r="C2729" s="1112">
        <v>16010</v>
      </c>
      <c r="D2729" s="1112">
        <v>305377</v>
      </c>
    </row>
    <row r="2730" spans="2:4">
      <c r="B2730" s="412" t="s">
        <v>2967</v>
      </c>
      <c r="C2730" s="1112">
        <v>16010</v>
      </c>
      <c r="D2730" s="1112">
        <v>305377</v>
      </c>
    </row>
    <row r="2731" spans="2:4">
      <c r="B2731" s="412" t="s">
        <v>2968</v>
      </c>
      <c r="C2731" s="1112">
        <v>16010</v>
      </c>
      <c r="D2731" s="1112">
        <v>305377</v>
      </c>
    </row>
    <row r="2732" spans="2:4">
      <c r="B2732" s="412" t="s">
        <v>2969</v>
      </c>
      <c r="C2732" s="1112">
        <v>16010</v>
      </c>
      <c r="D2732" s="1112">
        <v>305377</v>
      </c>
    </row>
    <row r="2733" spans="2:4">
      <c r="B2733" s="412" t="s">
        <v>2970</v>
      </c>
      <c r="C2733" s="1112">
        <v>16010</v>
      </c>
      <c r="D2733" s="1112">
        <v>305377</v>
      </c>
    </row>
    <row r="2734" spans="2:4">
      <c r="B2734" s="412" t="s">
        <v>2971</v>
      </c>
      <c r="C2734" s="1112">
        <v>16010</v>
      </c>
      <c r="D2734" s="1112">
        <v>305377</v>
      </c>
    </row>
    <row r="2735" spans="2:4">
      <c r="B2735" s="412" t="s">
        <v>2972</v>
      </c>
      <c r="C2735" s="1112">
        <v>16010</v>
      </c>
      <c r="D2735" s="1112">
        <v>305377</v>
      </c>
    </row>
    <row r="2736" spans="2:4">
      <c r="B2736" s="412" t="s">
        <v>2973</v>
      </c>
      <c r="C2736" s="1112">
        <v>16010</v>
      </c>
      <c r="D2736" s="1112">
        <v>305377</v>
      </c>
    </row>
    <row r="2737" spans="2:4">
      <c r="B2737" s="412" t="s">
        <v>2974</v>
      </c>
      <c r="C2737" s="1112">
        <v>16010</v>
      </c>
      <c r="D2737" s="1112">
        <v>305377</v>
      </c>
    </row>
    <row r="2738" spans="2:4">
      <c r="B2738" s="412" t="s">
        <v>2975</v>
      </c>
      <c r="C2738" s="1112">
        <v>8449.4861111111113</v>
      </c>
      <c r="D2738" s="1112">
        <v>154814.59722222222</v>
      </c>
    </row>
    <row r="2739" spans="2:4">
      <c r="B2739" s="412" t="s">
        <v>2976</v>
      </c>
      <c r="C2739" s="1112">
        <v>8343</v>
      </c>
      <c r="D2739" s="1112">
        <v>152694</v>
      </c>
    </row>
    <row r="2740" spans="2:4">
      <c r="B2740" s="412" t="s">
        <v>2977</v>
      </c>
      <c r="C2740" s="1112">
        <v>8343</v>
      </c>
      <c r="D2740" s="1112">
        <v>152694</v>
      </c>
    </row>
    <row r="2741" spans="2:4">
      <c r="B2741" s="412" t="s">
        <v>2978</v>
      </c>
      <c r="C2741" s="1112">
        <v>8343</v>
      </c>
      <c r="D2741" s="1112">
        <v>152694</v>
      </c>
    </row>
    <row r="2742" spans="2:4">
      <c r="B2742" s="412" t="s">
        <v>2979</v>
      </c>
      <c r="C2742" s="1112">
        <v>8343</v>
      </c>
      <c r="D2742" s="1112">
        <v>152694</v>
      </c>
    </row>
    <row r="2743" spans="2:4">
      <c r="B2743" s="412" t="s">
        <v>2980</v>
      </c>
      <c r="C2743" s="1112">
        <v>16010</v>
      </c>
      <c r="D2743" s="1112">
        <v>305377</v>
      </c>
    </row>
    <row r="2744" spans="2:4">
      <c r="B2744" s="412" t="s">
        <v>2981</v>
      </c>
      <c r="C2744" s="1112">
        <v>16010</v>
      </c>
      <c r="D2744" s="1112">
        <v>305377</v>
      </c>
    </row>
    <row r="2745" spans="2:4">
      <c r="B2745" s="412" t="s">
        <v>2982</v>
      </c>
      <c r="C2745" s="1112">
        <v>16010</v>
      </c>
      <c r="D2745" s="1112">
        <v>305377</v>
      </c>
    </row>
    <row r="2746" spans="2:4">
      <c r="B2746" s="412" t="s">
        <v>2983</v>
      </c>
      <c r="C2746" s="1112">
        <v>16010</v>
      </c>
      <c r="D2746" s="1112">
        <v>305377</v>
      </c>
    </row>
    <row r="2747" spans="2:4">
      <c r="B2747" s="412" t="s">
        <v>2984</v>
      </c>
      <c r="C2747" s="1112">
        <v>16010</v>
      </c>
      <c r="D2747" s="1112">
        <v>305377</v>
      </c>
    </row>
    <row r="2748" spans="2:4">
      <c r="B2748" s="412" t="s">
        <v>2985</v>
      </c>
      <c r="C2748" s="1112">
        <v>16010</v>
      </c>
      <c r="D2748" s="1112">
        <v>305377</v>
      </c>
    </row>
    <row r="2749" spans="2:4">
      <c r="B2749" s="412" t="s">
        <v>2986</v>
      </c>
      <c r="C2749" s="1112">
        <v>16010</v>
      </c>
      <c r="D2749" s="1112">
        <v>305377</v>
      </c>
    </row>
    <row r="2750" spans="2:4">
      <c r="B2750" s="412" t="s">
        <v>2987</v>
      </c>
      <c r="C2750" s="1112">
        <v>16010</v>
      </c>
      <c r="D2750" s="1112">
        <v>305377</v>
      </c>
    </row>
    <row r="2751" spans="2:4">
      <c r="B2751" s="412" t="s">
        <v>2988</v>
      </c>
      <c r="C2751" s="1112">
        <v>16010</v>
      </c>
      <c r="D2751" s="1112">
        <v>305377</v>
      </c>
    </row>
    <row r="2752" spans="2:4">
      <c r="B2752" s="412" t="s">
        <v>2989</v>
      </c>
      <c r="C2752" s="1112">
        <v>12994</v>
      </c>
      <c r="D2752" s="1112">
        <v>247045</v>
      </c>
    </row>
    <row r="2753" spans="2:4">
      <c r="B2753" s="412" t="s">
        <v>2990</v>
      </c>
      <c r="C2753" s="1112">
        <v>12994</v>
      </c>
      <c r="D2753" s="1112">
        <v>247045</v>
      </c>
    </row>
    <row r="2754" spans="2:4">
      <c r="B2754" s="412" t="s">
        <v>2991</v>
      </c>
      <c r="C2754" s="1112">
        <v>12994</v>
      </c>
      <c r="D2754" s="1112">
        <v>247045</v>
      </c>
    </row>
    <row r="2755" spans="2:4">
      <c r="B2755" s="412" t="s">
        <v>2992</v>
      </c>
      <c r="C2755" s="1112">
        <v>12994</v>
      </c>
      <c r="D2755" s="1112">
        <v>247045</v>
      </c>
    </row>
    <row r="2756" spans="2:4">
      <c r="B2756" s="412" t="s">
        <v>2993</v>
      </c>
      <c r="C2756" s="1112">
        <v>12994</v>
      </c>
      <c r="D2756" s="1112">
        <v>247045</v>
      </c>
    </row>
    <row r="2757" spans="2:4">
      <c r="B2757" s="412" t="s">
        <v>2994</v>
      </c>
      <c r="C2757" s="1112">
        <v>12994</v>
      </c>
      <c r="D2757" s="1112">
        <v>247045</v>
      </c>
    </row>
    <row r="2758" spans="2:4">
      <c r="B2758" s="412" t="s">
        <v>2995</v>
      </c>
      <c r="C2758" s="1112">
        <v>12994</v>
      </c>
      <c r="D2758" s="1112">
        <v>247045</v>
      </c>
    </row>
    <row r="2759" spans="2:4">
      <c r="B2759" s="412" t="s">
        <v>2996</v>
      </c>
      <c r="C2759" s="1112">
        <v>12994</v>
      </c>
      <c r="D2759" s="1112">
        <v>247045</v>
      </c>
    </row>
    <row r="2760" spans="2:4">
      <c r="B2760" s="412" t="s">
        <v>2997</v>
      </c>
      <c r="C2760" s="1112">
        <v>12994</v>
      </c>
      <c r="D2760" s="1112">
        <v>247045</v>
      </c>
    </row>
    <row r="2761" spans="2:4">
      <c r="B2761" s="412" t="s">
        <v>2998</v>
      </c>
      <c r="C2761" s="1112">
        <v>12994</v>
      </c>
      <c r="D2761" s="1112">
        <v>247045</v>
      </c>
    </row>
    <row r="2762" spans="2:4">
      <c r="B2762" s="412" t="s">
        <v>2999</v>
      </c>
      <c r="C2762" s="1112">
        <v>12994</v>
      </c>
      <c r="D2762" s="1112">
        <v>247045</v>
      </c>
    </row>
    <row r="2763" spans="2:4">
      <c r="B2763" s="412" t="s">
        <v>3000</v>
      </c>
      <c r="C2763" s="1112">
        <v>12994</v>
      </c>
      <c r="D2763" s="1112">
        <v>247045</v>
      </c>
    </row>
    <row r="2764" spans="2:4">
      <c r="B2764" s="412" t="s">
        <v>3001</v>
      </c>
      <c r="C2764" s="1112">
        <v>12994</v>
      </c>
      <c r="D2764" s="1112">
        <v>247045</v>
      </c>
    </row>
    <row r="2765" spans="2:4">
      <c r="B2765" s="412" t="s">
        <v>3002</v>
      </c>
      <c r="C2765" s="1112">
        <v>14749.930367504836</v>
      </c>
      <c r="D2765" s="1112">
        <v>281006.1837524178</v>
      </c>
    </row>
    <row r="2766" spans="2:4">
      <c r="B2766" s="412" t="s">
        <v>3003</v>
      </c>
      <c r="C2766" s="1112">
        <v>12659.618055555555</v>
      </c>
      <c r="D2766" s="1112">
        <v>240219.9375</v>
      </c>
    </row>
    <row r="2767" spans="2:4">
      <c r="B2767" s="412" t="s">
        <v>3004</v>
      </c>
      <c r="C2767" s="1112">
        <v>12991.218628719276</v>
      </c>
      <c r="D2767" s="1112">
        <v>246988.48512289781</v>
      </c>
    </row>
    <row r="2768" spans="2:4">
      <c r="B2768" s="412" t="s">
        <v>3005</v>
      </c>
      <c r="C2768" s="1112">
        <v>10844</v>
      </c>
      <c r="D2768" s="1112">
        <v>203359</v>
      </c>
    </row>
    <row r="2769" spans="2:4">
      <c r="B2769" s="412" t="s">
        <v>3006</v>
      </c>
      <c r="C2769" s="1112">
        <v>10844</v>
      </c>
      <c r="D2769" s="1112">
        <v>203359</v>
      </c>
    </row>
    <row r="2770" spans="2:4">
      <c r="B2770" s="412" t="s">
        <v>3007</v>
      </c>
      <c r="C2770" s="1112">
        <v>10844</v>
      </c>
      <c r="D2770" s="1112">
        <v>203359</v>
      </c>
    </row>
    <row r="2771" spans="2:4">
      <c r="B2771" s="412" t="s">
        <v>3008</v>
      </c>
      <c r="C2771" s="1112">
        <v>14064</v>
      </c>
      <c r="D2771" s="1112">
        <v>266947.45528455282</v>
      </c>
    </row>
    <row r="2772" spans="2:4">
      <c r="B2772" s="412" t="s">
        <v>3009</v>
      </c>
      <c r="C2772" s="1112">
        <v>16010</v>
      </c>
      <c r="D2772" s="1112">
        <v>305377</v>
      </c>
    </row>
    <row r="2773" spans="2:4">
      <c r="B2773" s="412" t="s">
        <v>3010</v>
      </c>
      <c r="C2773" s="1112">
        <v>16010</v>
      </c>
      <c r="D2773" s="1112">
        <v>305377</v>
      </c>
    </row>
    <row r="2774" spans="2:4">
      <c r="B2774" s="412" t="s">
        <v>3011</v>
      </c>
      <c r="C2774" s="1112">
        <v>12994</v>
      </c>
      <c r="D2774" s="1112">
        <v>247045</v>
      </c>
    </row>
    <row r="2775" spans="2:4">
      <c r="B2775" s="412" t="s">
        <v>3012</v>
      </c>
      <c r="C2775" s="1112">
        <v>12994</v>
      </c>
      <c r="D2775" s="1112">
        <v>247045</v>
      </c>
    </row>
    <row r="2776" spans="2:4">
      <c r="B2776" s="412" t="s">
        <v>3013</v>
      </c>
      <c r="C2776" s="1112">
        <v>12994</v>
      </c>
      <c r="D2776" s="1112">
        <v>247045</v>
      </c>
    </row>
    <row r="2777" spans="2:4">
      <c r="B2777" s="412" t="s">
        <v>3014</v>
      </c>
      <c r="C2777" s="1112">
        <v>12994</v>
      </c>
      <c r="D2777" s="1112">
        <v>247045</v>
      </c>
    </row>
    <row r="2778" spans="2:4">
      <c r="B2778" s="412" t="s">
        <v>3015</v>
      </c>
      <c r="C2778" s="1112">
        <v>12994</v>
      </c>
      <c r="D2778" s="1112">
        <v>247045</v>
      </c>
    </row>
    <row r="2779" spans="2:4">
      <c r="B2779" s="412" t="s">
        <v>3016</v>
      </c>
      <c r="C2779" s="1112">
        <v>12994</v>
      </c>
      <c r="D2779" s="1112">
        <v>247045</v>
      </c>
    </row>
    <row r="2780" spans="2:4">
      <c r="B2780" s="412" t="s">
        <v>3017</v>
      </c>
      <c r="C2780" s="1112">
        <v>12994</v>
      </c>
      <c r="D2780" s="1112">
        <v>247045</v>
      </c>
    </row>
    <row r="2781" spans="2:4">
      <c r="B2781" s="412" t="s">
        <v>3018</v>
      </c>
      <c r="C2781" s="1112">
        <v>31326</v>
      </c>
      <c r="D2781" s="1112">
        <v>602201</v>
      </c>
    </row>
    <row r="2782" spans="2:4">
      <c r="B2782" s="412" t="s">
        <v>3019</v>
      </c>
      <c r="C2782" s="1112">
        <v>31326</v>
      </c>
      <c r="D2782" s="1112">
        <v>602201</v>
      </c>
    </row>
    <row r="2783" spans="2:4">
      <c r="B2783" s="412" t="s">
        <v>3020</v>
      </c>
      <c r="C2783" s="1112">
        <v>31326</v>
      </c>
      <c r="D2783" s="1112">
        <v>602201</v>
      </c>
    </row>
    <row r="2784" spans="2:4">
      <c r="B2784" s="412" t="s">
        <v>3021</v>
      </c>
      <c r="C2784" s="1112">
        <v>31293.782073813709</v>
      </c>
      <c r="D2784" s="1112">
        <v>601576.82425307552</v>
      </c>
    </row>
    <row r="2785" spans="2:4">
      <c r="B2785" s="412" t="s">
        <v>3022</v>
      </c>
      <c r="C2785" s="1112">
        <v>31326</v>
      </c>
      <c r="D2785" s="1112">
        <v>602201</v>
      </c>
    </row>
    <row r="2786" spans="2:4">
      <c r="B2786" s="412" t="s">
        <v>3023</v>
      </c>
      <c r="C2786" s="1112">
        <v>31206.961038961039</v>
      </c>
      <c r="D2786" s="1112">
        <v>599894.79220779217</v>
      </c>
    </row>
    <row r="2787" spans="2:4">
      <c r="B2787" s="412" t="s">
        <v>3024</v>
      </c>
      <c r="C2787" s="1112">
        <v>13160.907435508347</v>
      </c>
      <c r="D2787" s="1112">
        <v>250278.59028831564</v>
      </c>
    </row>
    <row r="2788" spans="2:4">
      <c r="B2788" s="412" t="s">
        <v>3025</v>
      </c>
      <c r="C2788" s="1112">
        <v>12982.186813186812</v>
      </c>
      <c r="D2788" s="1112">
        <v>246804.96703296702</v>
      </c>
    </row>
    <row r="2789" spans="2:4">
      <c r="B2789" s="412" t="s">
        <v>3026</v>
      </c>
      <c r="C2789" s="1112">
        <v>12967.907766990291</v>
      </c>
      <c r="D2789" s="1112">
        <v>246514.83009708737</v>
      </c>
    </row>
    <row r="2790" spans="2:4">
      <c r="B2790" s="412" t="s">
        <v>3027</v>
      </c>
      <c r="C2790" s="1112">
        <v>12994</v>
      </c>
      <c r="D2790" s="1112">
        <v>247045</v>
      </c>
    </row>
    <row r="2791" spans="2:4">
      <c r="B2791" s="412" t="s">
        <v>3028</v>
      </c>
      <c r="C2791" s="1112">
        <v>13230.237113402061</v>
      </c>
      <c r="D2791" s="1112">
        <v>251621.7525773196</v>
      </c>
    </row>
    <row r="2792" spans="2:4">
      <c r="B2792" s="412" t="s">
        <v>3029</v>
      </c>
      <c r="C2792" s="1112">
        <v>31326</v>
      </c>
      <c r="D2792" s="1112">
        <v>602201</v>
      </c>
    </row>
    <row r="2793" spans="2:4">
      <c r="B2793" s="412" t="s">
        <v>3030</v>
      </c>
      <c r="C2793" s="1112">
        <v>12994</v>
      </c>
      <c r="D2793" s="1112">
        <v>247045</v>
      </c>
    </row>
    <row r="2794" spans="2:4">
      <c r="B2794" s="412" t="s">
        <v>3031</v>
      </c>
      <c r="C2794" s="1112">
        <v>31326</v>
      </c>
      <c r="D2794" s="1112">
        <v>602201</v>
      </c>
    </row>
    <row r="2795" spans="2:4">
      <c r="B2795" s="412" t="s">
        <v>3032</v>
      </c>
      <c r="C2795" s="1112">
        <v>31326</v>
      </c>
      <c r="D2795" s="1112">
        <v>602201</v>
      </c>
    </row>
    <row r="2796" spans="2:4">
      <c r="B2796" s="412" t="s">
        <v>3033</v>
      </c>
      <c r="C2796" s="1112">
        <v>31326</v>
      </c>
      <c r="D2796" s="1112">
        <v>602201</v>
      </c>
    </row>
    <row r="2797" spans="2:4">
      <c r="B2797" s="412" t="s">
        <v>3034</v>
      </c>
      <c r="C2797" s="1112">
        <v>31181.653543307086</v>
      </c>
      <c r="D2797" s="1112">
        <v>599404.49606299214</v>
      </c>
    </row>
    <row r="2798" spans="2:4">
      <c r="B2798" s="412" t="s">
        <v>3035</v>
      </c>
      <c r="C2798" s="1112">
        <v>31326</v>
      </c>
      <c r="D2798" s="1112">
        <v>602201</v>
      </c>
    </row>
    <row r="2799" spans="2:4">
      <c r="B2799" s="412" t="s">
        <v>3036</v>
      </c>
      <c r="C2799" s="1112">
        <v>31326</v>
      </c>
      <c r="D2799" s="1112">
        <v>602201</v>
      </c>
    </row>
    <row r="2800" spans="2:4" ht="17" thickBot="1">
      <c r="B2800" s="413" t="s">
        <v>3037</v>
      </c>
      <c r="C2800" s="1113">
        <v>31326</v>
      </c>
      <c r="D2800" s="1113">
        <v>602201</v>
      </c>
    </row>
    <row r="2801" spans="2:4">
      <c r="B2801" s="415" t="s">
        <v>3038</v>
      </c>
      <c r="C2801" s="1111">
        <v>31326</v>
      </c>
      <c r="D2801" s="1111">
        <v>602201</v>
      </c>
    </row>
    <row r="2802" spans="2:4">
      <c r="B2802" s="412" t="s">
        <v>3039</v>
      </c>
      <c r="C2802" s="1112">
        <v>31326</v>
      </c>
      <c r="D2802" s="1112">
        <v>602201</v>
      </c>
    </row>
    <row r="2803" spans="2:4">
      <c r="B2803" s="412" t="s">
        <v>3040</v>
      </c>
      <c r="C2803" s="1112">
        <v>31326</v>
      </c>
      <c r="D2803" s="1112">
        <v>602201</v>
      </c>
    </row>
    <row r="2804" spans="2:4">
      <c r="B2804" s="412" t="s">
        <v>3041</v>
      </c>
      <c r="C2804" s="1112">
        <v>31326</v>
      </c>
      <c r="D2804" s="1112">
        <v>602201</v>
      </c>
    </row>
    <row r="2805" spans="2:4">
      <c r="B2805" s="412" t="s">
        <v>3042</v>
      </c>
      <c r="C2805" s="1112">
        <v>31326</v>
      </c>
      <c r="D2805" s="1112">
        <v>602201</v>
      </c>
    </row>
    <row r="2806" spans="2:4">
      <c r="B2806" s="412" t="s">
        <v>3043</v>
      </c>
      <c r="C2806" s="1112">
        <v>31326</v>
      </c>
      <c r="D2806" s="1112">
        <v>602201</v>
      </c>
    </row>
    <row r="2807" spans="2:4">
      <c r="B2807" s="412" t="s">
        <v>3044</v>
      </c>
      <c r="C2807" s="1112">
        <v>31326</v>
      </c>
      <c r="D2807" s="1112">
        <v>602201</v>
      </c>
    </row>
    <row r="2808" spans="2:4">
      <c r="B2808" s="412" t="s">
        <v>3045</v>
      </c>
      <c r="C2808" s="1112">
        <v>31326</v>
      </c>
      <c r="D2808" s="1112">
        <v>602201</v>
      </c>
    </row>
    <row r="2809" spans="2:4">
      <c r="B2809" s="412" t="s">
        <v>3046</v>
      </c>
      <c r="C2809" s="1112">
        <v>31326</v>
      </c>
      <c r="D2809" s="1112">
        <v>602201</v>
      </c>
    </row>
    <row r="2810" spans="2:4">
      <c r="B2810" s="412" t="s">
        <v>3047</v>
      </c>
      <c r="C2810" s="1112">
        <v>31326</v>
      </c>
      <c r="D2810" s="1112">
        <v>602201</v>
      </c>
    </row>
    <row r="2811" spans="2:4">
      <c r="B2811" s="412" t="s">
        <v>3048</v>
      </c>
      <c r="C2811" s="1112">
        <v>31289.834710743802</v>
      </c>
      <c r="D2811" s="1112">
        <v>601500.11688311689</v>
      </c>
    </row>
    <row r="2812" spans="2:4" ht="17" thickBot="1">
      <c r="B2812" s="413" t="s">
        <v>3049</v>
      </c>
      <c r="C2812" s="1113">
        <v>23230.597222222223</v>
      </c>
      <c r="D2812" s="1113">
        <v>445307.73611111112</v>
      </c>
    </row>
    <row r="2813" spans="2:4">
      <c r="B2813" s="415" t="s">
        <v>3050</v>
      </c>
      <c r="C2813" s="1111">
        <v>57255.548005908422</v>
      </c>
      <c r="D2813" s="1111">
        <v>1101653.9542097489</v>
      </c>
    </row>
    <row r="2814" spans="2:4">
      <c r="B2814" s="412" t="s">
        <v>3051</v>
      </c>
      <c r="C2814" s="1112">
        <v>56639.985074626864</v>
      </c>
      <c r="D2814" s="1112">
        <v>1088472.9402985075</v>
      </c>
    </row>
    <row r="2815" spans="2:4">
      <c r="B2815" s="412" t="s">
        <v>3052</v>
      </c>
      <c r="C2815" s="1112">
        <v>57117.286616161618</v>
      </c>
      <c r="D2815" s="1112">
        <v>1097270.3497474748</v>
      </c>
    </row>
    <row r="2816" spans="2:4">
      <c r="B2816" s="412" t="s">
        <v>3053</v>
      </c>
      <c r="C2816" s="1112">
        <v>31326</v>
      </c>
      <c r="D2816" s="1112">
        <v>602201</v>
      </c>
    </row>
    <row r="2817" spans="2:4">
      <c r="B2817" s="412" t="s">
        <v>3054</v>
      </c>
      <c r="C2817" s="1112">
        <v>58967</v>
      </c>
      <c r="D2817" s="1112">
        <v>1132776</v>
      </c>
    </row>
    <row r="2818" spans="2:4">
      <c r="B2818" s="412" t="s">
        <v>3055</v>
      </c>
      <c r="C2818" s="1112">
        <v>58932.060240963852</v>
      </c>
      <c r="D2818" s="1112">
        <v>1132271.3012048192</v>
      </c>
    </row>
    <row r="2819" spans="2:4">
      <c r="B2819" s="412" t="s">
        <v>3056</v>
      </c>
      <c r="C2819" s="1112">
        <v>57517</v>
      </c>
      <c r="D2819" s="1112">
        <v>1111831</v>
      </c>
    </row>
    <row r="2820" spans="2:4">
      <c r="B2820" s="412" t="s">
        <v>3057</v>
      </c>
      <c r="C2820" s="1112">
        <v>57517</v>
      </c>
      <c r="D2820" s="1112">
        <v>1111831</v>
      </c>
    </row>
    <row r="2821" spans="2:4">
      <c r="B2821" s="412" t="s">
        <v>3058</v>
      </c>
      <c r="C2821" s="1112">
        <v>57517</v>
      </c>
      <c r="D2821" s="1112">
        <v>1111831</v>
      </c>
    </row>
    <row r="2822" spans="2:4">
      <c r="B2822" s="412" t="s">
        <v>3059</v>
      </c>
      <c r="C2822" s="1112">
        <v>57517</v>
      </c>
      <c r="D2822" s="1112">
        <v>1111831</v>
      </c>
    </row>
    <row r="2823" spans="2:4">
      <c r="B2823" s="412" t="s">
        <v>3060</v>
      </c>
      <c r="C2823" s="1112">
        <v>57519.050919377652</v>
      </c>
      <c r="D2823" s="1112">
        <v>1111860.6251768034</v>
      </c>
    </row>
    <row r="2824" spans="2:4">
      <c r="B2824" s="412" t="s">
        <v>3061</v>
      </c>
      <c r="C2824" s="1112">
        <v>57519.080344332855</v>
      </c>
      <c r="D2824" s="1112">
        <v>1111861.050215208</v>
      </c>
    </row>
    <row r="2825" spans="2:4">
      <c r="B2825" s="412" t="s">
        <v>3062</v>
      </c>
      <c r="C2825" s="1112">
        <v>57519.08633093525</v>
      </c>
      <c r="D2825" s="1112">
        <v>1111861.1366906476</v>
      </c>
    </row>
    <row r="2826" spans="2:4">
      <c r="B2826" s="412" t="s">
        <v>3063</v>
      </c>
      <c r="C2826" s="1112">
        <v>57517</v>
      </c>
      <c r="D2826" s="1112">
        <v>1111831</v>
      </c>
    </row>
    <row r="2827" spans="2:4">
      <c r="B2827" s="412" t="s">
        <v>3064</v>
      </c>
      <c r="C2827" s="1112">
        <v>57522.043478260872</v>
      </c>
      <c r="D2827" s="1112">
        <v>1111903.852173913</v>
      </c>
    </row>
    <row r="2828" spans="2:4">
      <c r="B2828" s="412" t="s">
        <v>3065</v>
      </c>
      <c r="C2828" s="1112">
        <v>58578.051502145921</v>
      </c>
      <c r="D2828" s="1112">
        <v>1127157.7060085838</v>
      </c>
    </row>
    <row r="2829" spans="2:4">
      <c r="B2829" s="412" t="s">
        <v>3066</v>
      </c>
      <c r="C2829" s="1112">
        <v>57520.922452660052</v>
      </c>
      <c r="D2829" s="1112">
        <v>1111887.6591523895</v>
      </c>
    </row>
    <row r="2830" spans="2:4">
      <c r="B2830" s="412" t="s">
        <v>3067</v>
      </c>
      <c r="C2830" s="1112">
        <v>57535.530351437701</v>
      </c>
      <c r="D2830" s="1112">
        <v>1112098.6677316295</v>
      </c>
    </row>
    <row r="2831" spans="2:4">
      <c r="B2831" s="412" t="s">
        <v>3068</v>
      </c>
      <c r="C2831" s="1112">
        <v>56304.44010647737</v>
      </c>
      <c r="D2831" s="1112">
        <v>1087907.7923691215</v>
      </c>
    </row>
    <row r="2832" spans="2:4">
      <c r="B2832" s="412" t="s">
        <v>3069</v>
      </c>
      <c r="C2832" s="1112">
        <v>31902.376246600183</v>
      </c>
      <c r="D2832" s="1112">
        <v>613264.66727107891</v>
      </c>
    </row>
    <row r="2833" spans="2:4">
      <c r="B2833" s="412" t="s">
        <v>3070</v>
      </c>
      <c r="C2833" s="1112">
        <v>31404.974285714285</v>
      </c>
      <c r="D2833" s="1112">
        <v>603716.92857142852</v>
      </c>
    </row>
    <row r="2834" spans="2:4">
      <c r="B2834" s="412" t="s">
        <v>3071</v>
      </c>
      <c r="C2834" s="1112">
        <v>31326</v>
      </c>
      <c r="D2834" s="1112">
        <v>602201</v>
      </c>
    </row>
    <row r="2835" spans="2:4">
      <c r="B2835" s="412" t="s">
        <v>3072</v>
      </c>
      <c r="C2835" s="1112">
        <v>58512.148101265826</v>
      </c>
      <c r="D2835" s="1112">
        <v>1124045.0189873418</v>
      </c>
    </row>
    <row r="2836" spans="2:4">
      <c r="B2836" s="412" t="s">
        <v>3073</v>
      </c>
      <c r="C2836" s="1112">
        <v>31326</v>
      </c>
      <c r="D2836" s="1112">
        <v>602201</v>
      </c>
    </row>
    <row r="2837" spans="2:4">
      <c r="B2837" s="412" t="s">
        <v>3074</v>
      </c>
      <c r="C2837" s="1112">
        <v>58967</v>
      </c>
      <c r="D2837" s="1112">
        <v>1132776</v>
      </c>
    </row>
    <row r="2838" spans="2:4">
      <c r="B2838" s="412" t="s">
        <v>3075</v>
      </c>
      <c r="C2838" s="1112">
        <v>57486.423875432527</v>
      </c>
      <c r="D2838" s="1112">
        <v>1110707.8166089966</v>
      </c>
    </row>
    <row r="2839" spans="2:4">
      <c r="B2839" s="412" t="s">
        <v>3076</v>
      </c>
      <c r="C2839" s="1112">
        <v>12994</v>
      </c>
      <c r="D2839" s="1112">
        <v>247045</v>
      </c>
    </row>
    <row r="2840" spans="2:4">
      <c r="B2840" s="412" t="s">
        <v>3077</v>
      </c>
      <c r="C2840" s="1112">
        <v>13200</v>
      </c>
      <c r="D2840" s="1112">
        <v>250221</v>
      </c>
    </row>
    <row r="2841" spans="2:4">
      <c r="B2841" s="412" t="s">
        <v>3078</v>
      </c>
      <c r="C2841" s="1112">
        <v>13195.39393939394</v>
      </c>
      <c r="D2841" s="1112">
        <v>250129.38318670576</v>
      </c>
    </row>
    <row r="2842" spans="2:4">
      <c r="B2842" s="412" t="s">
        <v>3079</v>
      </c>
      <c r="C2842" s="1112">
        <v>13199.682098765432</v>
      </c>
      <c r="D2842" s="1112">
        <v>250216.09876543211</v>
      </c>
    </row>
    <row r="2843" spans="2:4">
      <c r="B2843" s="412" t="s">
        <v>3080</v>
      </c>
      <c r="C2843" s="1112">
        <v>13117.554639175258</v>
      </c>
      <c r="D2843" s="1112">
        <v>249364.6618556701</v>
      </c>
    </row>
    <row r="2844" spans="2:4">
      <c r="B2844" s="412" t="s">
        <v>3081</v>
      </c>
      <c r="C2844" s="1112">
        <v>13337.012411347518</v>
      </c>
      <c r="D2844" s="1112">
        <v>252910.3439716312</v>
      </c>
    </row>
    <row r="2845" spans="2:4">
      <c r="B2845" s="412" t="s">
        <v>3082</v>
      </c>
      <c r="C2845" s="1112">
        <v>13359.893004115227</v>
      </c>
      <c r="D2845" s="1112">
        <v>253326.1818930041</v>
      </c>
    </row>
    <row r="2846" spans="2:4">
      <c r="B2846" s="412" t="s">
        <v>3083</v>
      </c>
      <c r="C2846" s="1112">
        <v>16010</v>
      </c>
      <c r="D2846" s="1112">
        <v>305377</v>
      </c>
    </row>
    <row r="2847" spans="2:4">
      <c r="B2847" s="412" t="s">
        <v>3084</v>
      </c>
      <c r="C2847" s="1112">
        <v>12994.225382932167</v>
      </c>
      <c r="D2847" s="1112">
        <v>247048.47483588621</v>
      </c>
    </row>
    <row r="2848" spans="2:4">
      <c r="B2848" s="412" t="s">
        <v>3085</v>
      </c>
      <c r="C2848" s="1112">
        <v>13095.284477015322</v>
      </c>
      <c r="D2848" s="1112">
        <v>248606.55096602265</v>
      </c>
    </row>
    <row r="2849" spans="2:4">
      <c r="B2849" s="412" t="s">
        <v>3086</v>
      </c>
      <c r="C2849" s="1112">
        <v>13171.160651096958</v>
      </c>
      <c r="D2849" s="1112">
        <v>250471.43736730362</v>
      </c>
    </row>
    <row r="2850" spans="2:4">
      <c r="B2850" s="412" t="s">
        <v>3087</v>
      </c>
      <c r="C2850" s="1112">
        <v>12994.161822466614</v>
      </c>
      <c r="D2850" s="1112">
        <v>247047.49489395128</v>
      </c>
    </row>
    <row r="2851" spans="2:4">
      <c r="B2851" s="412" t="s">
        <v>3088</v>
      </c>
      <c r="C2851" s="1112">
        <v>12994</v>
      </c>
      <c r="D2851" s="1112">
        <v>247045</v>
      </c>
    </row>
    <row r="2852" spans="2:4">
      <c r="B2852" s="412" t="s">
        <v>3089</v>
      </c>
      <c r="C2852" s="1112">
        <v>16010</v>
      </c>
      <c r="D2852" s="1112">
        <v>305377</v>
      </c>
    </row>
    <row r="2853" spans="2:4">
      <c r="B2853" s="412" t="s">
        <v>3090</v>
      </c>
      <c r="C2853" s="1112">
        <v>13058.816655473473</v>
      </c>
      <c r="D2853" s="1112">
        <v>248298.60913364674</v>
      </c>
    </row>
    <row r="2854" spans="2:4">
      <c r="B2854" s="412" t="s">
        <v>3091</v>
      </c>
      <c r="C2854" s="1112">
        <v>13005.55385595921</v>
      </c>
      <c r="D2854" s="1112">
        <v>247223.13129381771</v>
      </c>
    </row>
    <row r="2855" spans="2:4">
      <c r="B2855" s="412" t="s">
        <v>3092</v>
      </c>
      <c r="C2855" s="1112">
        <v>12994</v>
      </c>
      <c r="D2855" s="1112">
        <v>247045</v>
      </c>
    </row>
    <row r="2856" spans="2:4">
      <c r="B2856" s="412" t="s">
        <v>3093</v>
      </c>
      <c r="C2856" s="1112">
        <v>13199.675334909378</v>
      </c>
      <c r="D2856" s="1112">
        <v>250215.99448384554</v>
      </c>
    </row>
    <row r="2857" spans="2:4">
      <c r="B2857" s="412" t="s">
        <v>3094</v>
      </c>
      <c r="C2857" s="1112">
        <v>58967</v>
      </c>
      <c r="D2857" s="1112">
        <v>1132776</v>
      </c>
    </row>
    <row r="2858" spans="2:4">
      <c r="B2858" s="412" t="s">
        <v>3095</v>
      </c>
      <c r="C2858" s="1112">
        <v>58967</v>
      </c>
      <c r="D2858" s="1112">
        <v>1132776</v>
      </c>
    </row>
    <row r="2859" spans="2:4">
      <c r="B2859" s="412" t="s">
        <v>3096</v>
      </c>
      <c r="C2859" s="1112">
        <v>58967</v>
      </c>
      <c r="D2859" s="1112">
        <v>1132776</v>
      </c>
    </row>
    <row r="2860" spans="2:4">
      <c r="B2860" s="412" t="s">
        <v>3097</v>
      </c>
      <c r="C2860" s="1112">
        <v>58967</v>
      </c>
      <c r="D2860" s="1112">
        <v>1132776</v>
      </c>
    </row>
    <row r="2861" spans="2:4">
      <c r="B2861" s="412" t="s">
        <v>3098</v>
      </c>
      <c r="C2861" s="1112">
        <v>58967</v>
      </c>
      <c r="D2861" s="1112">
        <v>1132776</v>
      </c>
    </row>
    <row r="2862" spans="2:4">
      <c r="B2862" s="412" t="s">
        <v>3099</v>
      </c>
      <c r="C2862" s="1112">
        <v>58967</v>
      </c>
      <c r="D2862" s="1112">
        <v>1132776</v>
      </c>
    </row>
    <row r="2863" spans="2:4">
      <c r="B2863" s="412" t="s">
        <v>3100</v>
      </c>
      <c r="C2863" s="1112">
        <v>58780.366336633662</v>
      </c>
      <c r="D2863" s="1112">
        <v>1130080.108910891</v>
      </c>
    </row>
    <row r="2864" spans="2:4">
      <c r="B2864" s="412" t="s">
        <v>3101</v>
      </c>
      <c r="C2864" s="1112">
        <v>58967</v>
      </c>
      <c r="D2864" s="1112">
        <v>1132776</v>
      </c>
    </row>
    <row r="2865" spans="2:4">
      <c r="B2865" s="412" t="s">
        <v>3102</v>
      </c>
      <c r="C2865" s="1112">
        <v>58372.128205128203</v>
      </c>
      <c r="D2865" s="1112">
        <v>1124183.1794871795</v>
      </c>
    </row>
    <row r="2866" spans="2:4">
      <c r="B2866" s="412" t="s">
        <v>3103</v>
      </c>
      <c r="C2866" s="1112">
        <v>58272.851063829788</v>
      </c>
      <c r="D2866" s="1112">
        <v>1122749.1382978724</v>
      </c>
    </row>
    <row r="2867" spans="2:4">
      <c r="B2867" s="412" t="s">
        <v>3104</v>
      </c>
      <c r="C2867" s="1112">
        <v>57517</v>
      </c>
      <c r="D2867" s="1112">
        <v>1111831</v>
      </c>
    </row>
    <row r="2868" spans="2:4">
      <c r="B2868" s="412" t="s">
        <v>3105</v>
      </c>
      <c r="C2868" s="1112">
        <v>58277.315186246422</v>
      </c>
      <c r="D2868" s="1112">
        <v>1122813.6217765042</v>
      </c>
    </row>
    <row r="2869" spans="2:4">
      <c r="B2869" s="412" t="s">
        <v>3106</v>
      </c>
      <c r="C2869" s="1112">
        <v>57526.731543624162</v>
      </c>
      <c r="D2869" s="1112">
        <v>1111971.5704697988</v>
      </c>
    </row>
    <row r="2870" spans="2:4">
      <c r="B2870" s="412" t="s">
        <v>3107</v>
      </c>
      <c r="C2870" s="1112">
        <v>57582.909090909088</v>
      </c>
      <c r="D2870" s="1112">
        <v>1112783.0454545454</v>
      </c>
    </row>
    <row r="2871" spans="2:4">
      <c r="B2871" s="412" t="s">
        <v>3108</v>
      </c>
      <c r="C2871" s="1112">
        <v>10844</v>
      </c>
      <c r="D2871" s="1112">
        <v>203359</v>
      </c>
    </row>
    <row r="2872" spans="2:4">
      <c r="B2872" s="412" t="s">
        <v>3109</v>
      </c>
      <c r="C2872" s="1112">
        <v>10844</v>
      </c>
      <c r="D2872" s="1112">
        <v>203359</v>
      </c>
    </row>
    <row r="2873" spans="2:4">
      <c r="B2873" s="412" t="s">
        <v>3110</v>
      </c>
      <c r="C2873" s="1112">
        <v>10859.949554896142</v>
      </c>
      <c r="D2873" s="1112">
        <v>203683.08011869437</v>
      </c>
    </row>
    <row r="2874" spans="2:4">
      <c r="B2874" s="412" t="s">
        <v>3111</v>
      </c>
      <c r="C2874" s="1112">
        <v>13010.98955613577</v>
      </c>
      <c r="D2874" s="1112">
        <v>247344.95561357701</v>
      </c>
    </row>
    <row r="2875" spans="2:4">
      <c r="B2875" s="412" t="s">
        <v>3112</v>
      </c>
      <c r="C2875" s="1112">
        <v>10844</v>
      </c>
      <c r="D2875" s="1112">
        <v>203359</v>
      </c>
    </row>
    <row r="2876" spans="2:4">
      <c r="B2876" s="412" t="s">
        <v>3113</v>
      </c>
      <c r="C2876" s="1112">
        <v>11212.934911242604</v>
      </c>
      <c r="D2876" s="1112">
        <v>210855.41420118342</v>
      </c>
    </row>
    <row r="2877" spans="2:4">
      <c r="B2877" s="412" t="s">
        <v>3114</v>
      </c>
      <c r="C2877" s="1112">
        <v>11065.562352941177</v>
      </c>
      <c r="D2877" s="1112">
        <v>207694.62352941177</v>
      </c>
    </row>
    <row r="2878" spans="2:4">
      <c r="B2878" s="412" t="s">
        <v>3115</v>
      </c>
      <c r="C2878" s="1112">
        <v>12040.418732782369</v>
      </c>
      <c r="D2878" s="1112">
        <v>227669.11570247935</v>
      </c>
    </row>
    <row r="2879" spans="2:4">
      <c r="B2879" s="412" t="s">
        <v>3116</v>
      </c>
      <c r="C2879" s="1112">
        <v>10893.425287356322</v>
      </c>
      <c r="D2879" s="1112">
        <v>204363.27586206896</v>
      </c>
    </row>
    <row r="2880" spans="2:4">
      <c r="B2880" s="412" t="s">
        <v>3117</v>
      </c>
      <c r="C2880" s="1112">
        <v>13027.698529411764</v>
      </c>
      <c r="D2880" s="1112">
        <v>247697.86029411765</v>
      </c>
    </row>
    <row r="2881" spans="2:4">
      <c r="B2881" s="412" t="s">
        <v>3118</v>
      </c>
      <c r="C2881" s="1112">
        <v>12994</v>
      </c>
      <c r="D2881" s="1112">
        <v>247045</v>
      </c>
    </row>
    <row r="2882" spans="2:4">
      <c r="B2882" s="412" t="s">
        <v>3119</v>
      </c>
      <c r="C2882" s="1112">
        <v>10844</v>
      </c>
      <c r="D2882" s="1112">
        <v>203359</v>
      </c>
    </row>
    <row r="2883" spans="2:4">
      <c r="B2883" s="412" t="s">
        <v>3120</v>
      </c>
      <c r="C2883" s="1112">
        <v>13200</v>
      </c>
      <c r="D2883" s="1112">
        <v>250221</v>
      </c>
    </row>
    <row r="2884" spans="2:4">
      <c r="B2884" s="412" t="s">
        <v>3121</v>
      </c>
      <c r="C2884" s="1112">
        <v>14113.793242156074</v>
      </c>
      <c r="D2884" s="1112">
        <v>267895.14159292035</v>
      </c>
    </row>
    <row r="2885" spans="2:4">
      <c r="B2885" s="412" t="s">
        <v>3122</v>
      </c>
      <c r="C2885" s="1112">
        <v>13150.782273603083</v>
      </c>
      <c r="D2885" s="1112">
        <v>249462.18689788054</v>
      </c>
    </row>
    <row r="2886" spans="2:4">
      <c r="B2886" s="412" t="s">
        <v>3123</v>
      </c>
      <c r="C2886" s="1112">
        <v>13265.627329192546</v>
      </c>
      <c r="D2886" s="1112">
        <v>251490.33167701864</v>
      </c>
    </row>
    <row r="2887" spans="2:4">
      <c r="B2887" s="412" t="s">
        <v>3124</v>
      </c>
      <c r="C2887" s="1112">
        <v>13200</v>
      </c>
      <c r="D2887" s="1112">
        <v>250221</v>
      </c>
    </row>
    <row r="2888" spans="2:4">
      <c r="B2888" s="412" t="s">
        <v>3125</v>
      </c>
      <c r="C2888" s="1112">
        <v>13200</v>
      </c>
      <c r="D2888" s="1112">
        <v>250221</v>
      </c>
    </row>
    <row r="2889" spans="2:4">
      <c r="B2889" s="412" t="s">
        <v>3126</v>
      </c>
      <c r="C2889" s="1112">
        <v>13200</v>
      </c>
      <c r="D2889" s="1112">
        <v>250221</v>
      </c>
    </row>
    <row r="2890" spans="2:4">
      <c r="B2890" s="412" t="s">
        <v>3127</v>
      </c>
      <c r="C2890" s="1112">
        <v>13200</v>
      </c>
      <c r="D2890" s="1112">
        <v>250221</v>
      </c>
    </row>
    <row r="2891" spans="2:4">
      <c r="B2891" s="412" t="s">
        <v>3128</v>
      </c>
      <c r="C2891" s="1112">
        <v>13216.00909090909</v>
      </c>
      <c r="D2891" s="1112">
        <v>250530.64</v>
      </c>
    </row>
    <row r="2892" spans="2:4">
      <c r="B2892" s="412" t="s">
        <v>3129</v>
      </c>
      <c r="C2892" s="1112">
        <v>13227.07148347425</v>
      </c>
      <c r="D2892" s="1112">
        <v>250744.60338201383</v>
      </c>
    </row>
    <row r="2893" spans="2:4">
      <c r="B2893" s="412" t="s">
        <v>3130</v>
      </c>
      <c r="C2893" s="1112">
        <v>19366.464646464647</v>
      </c>
      <c r="D2893" s="1112">
        <v>369489.74074074073</v>
      </c>
    </row>
    <row r="2894" spans="2:4">
      <c r="B2894" s="412" t="s">
        <v>3131</v>
      </c>
      <c r="C2894" s="1112">
        <v>13200</v>
      </c>
      <c r="D2894" s="1112">
        <v>250221</v>
      </c>
    </row>
    <row r="2895" spans="2:4">
      <c r="B2895" s="412" t="s">
        <v>3132</v>
      </c>
      <c r="C2895" s="1112">
        <v>13200</v>
      </c>
      <c r="D2895" s="1112">
        <v>250221</v>
      </c>
    </row>
    <row r="2896" spans="2:4">
      <c r="B2896" s="412" t="s">
        <v>3133</v>
      </c>
      <c r="C2896" s="1112">
        <v>13200</v>
      </c>
      <c r="D2896" s="1112">
        <v>250221</v>
      </c>
    </row>
    <row r="2897" spans="2:4">
      <c r="B2897" s="412" t="s">
        <v>3134</v>
      </c>
      <c r="C2897" s="1112">
        <v>13200</v>
      </c>
      <c r="D2897" s="1112">
        <v>250221</v>
      </c>
    </row>
    <row r="2898" spans="2:4">
      <c r="B2898" s="412" t="s">
        <v>3135</v>
      </c>
      <c r="C2898" s="1112">
        <v>13193.645771144278</v>
      </c>
      <c r="D2898" s="1112">
        <v>250123.03383084576</v>
      </c>
    </row>
    <row r="2899" spans="2:4">
      <c r="B2899" s="412" t="s">
        <v>3136</v>
      </c>
      <c r="C2899" s="1112">
        <v>13200</v>
      </c>
      <c r="D2899" s="1112">
        <v>250221</v>
      </c>
    </row>
    <row r="2900" spans="2:4">
      <c r="B2900" s="412" t="s">
        <v>3137</v>
      </c>
      <c r="C2900" s="1112">
        <v>13200</v>
      </c>
      <c r="D2900" s="1112">
        <v>250221</v>
      </c>
    </row>
    <row r="2901" spans="2:4">
      <c r="B2901" s="412" t="s">
        <v>3138</v>
      </c>
      <c r="C2901" s="1112">
        <v>13200</v>
      </c>
      <c r="D2901" s="1112">
        <v>250221</v>
      </c>
    </row>
    <row r="2902" spans="2:4">
      <c r="B2902" s="412" t="s">
        <v>3139</v>
      </c>
      <c r="C2902" s="1112">
        <v>13200</v>
      </c>
      <c r="D2902" s="1112">
        <v>250221</v>
      </c>
    </row>
    <row r="2903" spans="2:4">
      <c r="B2903" s="412" t="s">
        <v>3140</v>
      </c>
      <c r="C2903" s="1112">
        <v>13200</v>
      </c>
      <c r="D2903" s="1112">
        <v>250221</v>
      </c>
    </row>
    <row r="2904" spans="2:4">
      <c r="B2904" s="412" t="s">
        <v>3141</v>
      </c>
      <c r="C2904" s="1112">
        <v>13200</v>
      </c>
      <c r="D2904" s="1112">
        <v>250221</v>
      </c>
    </row>
    <row r="2905" spans="2:4">
      <c r="B2905" s="412" t="s">
        <v>3142</v>
      </c>
      <c r="C2905" s="1112">
        <v>13164.647374062166</v>
      </c>
      <c r="D2905" s="1112">
        <v>249517.81886387995</v>
      </c>
    </row>
    <row r="2906" spans="2:4">
      <c r="B2906" s="412" t="s">
        <v>3143</v>
      </c>
      <c r="C2906" s="1112">
        <v>12913.318584070796</v>
      </c>
      <c r="D2906" s="1112">
        <v>244518.76548672566</v>
      </c>
    </row>
    <row r="2907" spans="2:4">
      <c r="B2907" s="412" t="s">
        <v>3144</v>
      </c>
      <c r="C2907" s="1112">
        <v>13200</v>
      </c>
      <c r="D2907" s="1112">
        <v>250221</v>
      </c>
    </row>
    <row r="2908" spans="2:4">
      <c r="B2908" s="412" t="s">
        <v>3145</v>
      </c>
      <c r="C2908" s="1112">
        <v>10844</v>
      </c>
      <c r="D2908" s="1112">
        <v>203359</v>
      </c>
    </row>
    <row r="2909" spans="2:4">
      <c r="B2909" s="412" t="s">
        <v>3146</v>
      </c>
      <c r="C2909" s="1112">
        <v>12994</v>
      </c>
      <c r="D2909" s="1112">
        <v>247045</v>
      </c>
    </row>
    <row r="2910" spans="2:4">
      <c r="B2910" s="412" t="s">
        <v>3147</v>
      </c>
      <c r="C2910" s="1112">
        <v>12994</v>
      </c>
      <c r="D2910" s="1112">
        <v>247045</v>
      </c>
    </row>
    <row r="2911" spans="2:4">
      <c r="B2911" s="412" t="s">
        <v>3148</v>
      </c>
      <c r="C2911" s="1112">
        <v>12957.804713804713</v>
      </c>
      <c r="D2911" s="1112">
        <v>246309.54545454544</v>
      </c>
    </row>
    <row r="2912" spans="2:4">
      <c r="B2912" s="412" t="s">
        <v>3149</v>
      </c>
      <c r="C2912" s="1112">
        <v>12417.170731707318</v>
      </c>
      <c r="D2912" s="1112">
        <v>235324.36585365853</v>
      </c>
    </row>
    <row r="2913" spans="2:4">
      <c r="B2913" s="412" t="s">
        <v>3150</v>
      </c>
      <c r="C2913" s="1112">
        <v>12982.315217391304</v>
      </c>
      <c r="D2913" s="1112">
        <v>246807.57608695651</v>
      </c>
    </row>
    <row r="2914" spans="2:4">
      <c r="B2914" s="412" t="s">
        <v>3151</v>
      </c>
      <c r="C2914" s="1112">
        <v>12994</v>
      </c>
      <c r="D2914" s="1112">
        <v>247045</v>
      </c>
    </row>
    <row r="2915" spans="2:4">
      <c r="B2915" s="412" t="s">
        <v>3152</v>
      </c>
      <c r="C2915" s="1112">
        <v>13669.584000000001</v>
      </c>
      <c r="D2915" s="1112">
        <v>260111.36799999999</v>
      </c>
    </row>
    <row r="2916" spans="2:4">
      <c r="B2916" s="412" t="s">
        <v>3153</v>
      </c>
      <c r="C2916" s="1112">
        <v>12994</v>
      </c>
      <c r="D2916" s="1112">
        <v>247045</v>
      </c>
    </row>
    <row r="2917" spans="2:4">
      <c r="B2917" s="412" t="s">
        <v>3154</v>
      </c>
      <c r="C2917" s="1112">
        <v>12994</v>
      </c>
      <c r="D2917" s="1112">
        <v>247045</v>
      </c>
    </row>
    <row r="2918" spans="2:4">
      <c r="B2918" s="412" t="s">
        <v>3155</v>
      </c>
      <c r="C2918" s="1112">
        <v>12994</v>
      </c>
      <c r="D2918" s="1112">
        <v>247045</v>
      </c>
    </row>
    <row r="2919" spans="2:4">
      <c r="B2919" s="412" t="s">
        <v>3156</v>
      </c>
      <c r="C2919" s="1112">
        <v>12994</v>
      </c>
      <c r="D2919" s="1112">
        <v>247045</v>
      </c>
    </row>
    <row r="2920" spans="2:4">
      <c r="B2920" s="412" t="s">
        <v>3157</v>
      </c>
      <c r="C2920" s="1112">
        <v>12994</v>
      </c>
      <c r="D2920" s="1112">
        <v>247045</v>
      </c>
    </row>
    <row r="2921" spans="2:4">
      <c r="B2921" s="412" t="s">
        <v>3158</v>
      </c>
      <c r="C2921" s="1112">
        <v>12994</v>
      </c>
      <c r="D2921" s="1112">
        <v>247045</v>
      </c>
    </row>
    <row r="2922" spans="2:4">
      <c r="B2922" s="412" t="s">
        <v>3159</v>
      </c>
      <c r="C2922" s="1112">
        <v>12987.657817109144</v>
      </c>
      <c r="D2922" s="1112">
        <v>246916.13274336283</v>
      </c>
    </row>
    <row r="2923" spans="2:4">
      <c r="B2923" s="412" t="s">
        <v>3160</v>
      </c>
      <c r="C2923" s="1112">
        <v>12994</v>
      </c>
      <c r="D2923" s="1112">
        <v>247045</v>
      </c>
    </row>
    <row r="2924" spans="2:4">
      <c r="B2924" s="412" t="s">
        <v>3161</v>
      </c>
      <c r="C2924" s="1112">
        <v>12994</v>
      </c>
      <c r="D2924" s="1112">
        <v>247045</v>
      </c>
    </row>
    <row r="2925" spans="2:4">
      <c r="B2925" s="412" t="s">
        <v>3162</v>
      </c>
      <c r="C2925" s="1112">
        <v>13200</v>
      </c>
      <c r="D2925" s="1112">
        <v>250221</v>
      </c>
    </row>
    <row r="2926" spans="2:4">
      <c r="B2926" s="412" t="s">
        <v>3163</v>
      </c>
      <c r="C2926" s="1112">
        <v>13200</v>
      </c>
      <c r="D2926" s="1112">
        <v>250221</v>
      </c>
    </row>
    <row r="2927" spans="2:4">
      <c r="B2927" s="412" t="s">
        <v>3164</v>
      </c>
      <c r="C2927" s="1112">
        <v>12994</v>
      </c>
      <c r="D2927" s="1112">
        <v>247045</v>
      </c>
    </row>
    <row r="2928" spans="2:4">
      <c r="B2928" s="412" t="s">
        <v>3165</v>
      </c>
      <c r="C2928" s="1112">
        <v>12994</v>
      </c>
      <c r="D2928" s="1112">
        <v>247045</v>
      </c>
    </row>
    <row r="2929" spans="2:4">
      <c r="B2929" s="412" t="s">
        <v>3166</v>
      </c>
      <c r="C2929" s="1112">
        <v>10844</v>
      </c>
      <c r="D2929" s="1112">
        <v>203359</v>
      </c>
    </row>
    <row r="2930" spans="2:4">
      <c r="B2930" s="412" t="s">
        <v>3167</v>
      </c>
      <c r="C2930" s="1112">
        <v>10844</v>
      </c>
      <c r="D2930" s="1112">
        <v>203359</v>
      </c>
    </row>
    <row r="2931" spans="2:4">
      <c r="B2931" s="412" t="s">
        <v>3168</v>
      </c>
      <c r="C2931" s="1112">
        <v>12081.511737089202</v>
      </c>
      <c r="D2931" s="1112">
        <v>228504.08732394365</v>
      </c>
    </row>
    <row r="2932" spans="2:4">
      <c r="B2932" s="412" t="s">
        <v>3169</v>
      </c>
      <c r="C2932" s="1112">
        <v>13200</v>
      </c>
      <c r="D2932" s="1112">
        <v>250221</v>
      </c>
    </row>
    <row r="2933" spans="2:4">
      <c r="B2933" s="412" t="s">
        <v>3170</v>
      </c>
      <c r="C2933" s="1112">
        <v>13197.477551020409</v>
      </c>
      <c r="D2933" s="1112">
        <v>250182.11020408163</v>
      </c>
    </row>
    <row r="2934" spans="2:4">
      <c r="B2934" s="412" t="s">
        <v>3171</v>
      </c>
      <c r="C2934" s="1112">
        <v>13200</v>
      </c>
      <c r="D2934" s="1112">
        <v>250221</v>
      </c>
    </row>
    <row r="2935" spans="2:4">
      <c r="B2935" s="412" t="s">
        <v>3172</v>
      </c>
      <c r="C2935" s="1112">
        <v>13200</v>
      </c>
      <c r="D2935" s="1112">
        <v>250221</v>
      </c>
    </row>
    <row r="2936" spans="2:4">
      <c r="B2936" s="412" t="s">
        <v>3173</v>
      </c>
      <c r="C2936" s="1112">
        <v>12994</v>
      </c>
      <c r="D2936" s="1112">
        <v>247045</v>
      </c>
    </row>
    <row r="2937" spans="2:4">
      <c r="B2937" s="412" t="s">
        <v>3174</v>
      </c>
      <c r="C2937" s="1112">
        <v>10844</v>
      </c>
      <c r="D2937" s="1112">
        <v>203359</v>
      </c>
    </row>
    <row r="2938" spans="2:4">
      <c r="B2938" s="412" t="s">
        <v>3175</v>
      </c>
      <c r="C2938" s="1112">
        <v>13147.655172413793</v>
      </c>
      <c r="D2938" s="1112">
        <v>249182.72413793104</v>
      </c>
    </row>
    <row r="2939" spans="2:4">
      <c r="B2939" s="412" t="s">
        <v>3176</v>
      </c>
      <c r="C2939" s="1112">
        <v>13046.673015873015</v>
      </c>
      <c r="D2939" s="1112">
        <v>247171.2507936508</v>
      </c>
    </row>
    <row r="2940" spans="2:4">
      <c r="B2940" s="412" t="s">
        <v>3177</v>
      </c>
      <c r="C2940" s="1112">
        <v>13200</v>
      </c>
      <c r="D2940" s="1112">
        <v>250221</v>
      </c>
    </row>
    <row r="2941" spans="2:4">
      <c r="B2941" s="412" t="s">
        <v>3178</v>
      </c>
      <c r="C2941" s="1112">
        <v>13163.562171628722</v>
      </c>
      <c r="D2941" s="1112">
        <v>249659.22066549913</v>
      </c>
    </row>
    <row r="2942" spans="2:4">
      <c r="B2942" s="412" t="s">
        <v>3179</v>
      </c>
      <c r="C2942" s="1112">
        <v>13172.821589205398</v>
      </c>
      <c r="D2942" s="1112">
        <v>249801.97751124439</v>
      </c>
    </row>
    <row r="2943" spans="2:4">
      <c r="B2943" s="412" t="s">
        <v>3180</v>
      </c>
      <c r="C2943" s="1112">
        <v>13200</v>
      </c>
      <c r="D2943" s="1112">
        <v>250221</v>
      </c>
    </row>
    <row r="2944" spans="2:4">
      <c r="B2944" s="412" t="s">
        <v>3181</v>
      </c>
      <c r="C2944" s="1112">
        <v>13200</v>
      </c>
      <c r="D2944" s="1112">
        <v>250221</v>
      </c>
    </row>
    <row r="2945" spans="2:4">
      <c r="B2945" s="412" t="s">
        <v>3182</v>
      </c>
      <c r="C2945" s="1112">
        <v>13200</v>
      </c>
      <c r="D2945" s="1112">
        <v>250221</v>
      </c>
    </row>
    <row r="2946" spans="2:4">
      <c r="B2946" s="412" t="s">
        <v>3183</v>
      </c>
      <c r="C2946" s="1112">
        <v>15979.013698630137</v>
      </c>
      <c r="D2946" s="1112">
        <v>304777.69863013696</v>
      </c>
    </row>
    <row r="2947" spans="2:4">
      <c r="B2947" s="412" t="s">
        <v>3184</v>
      </c>
      <c r="C2947" s="1112">
        <v>16010</v>
      </c>
      <c r="D2947" s="1112">
        <v>305377</v>
      </c>
    </row>
    <row r="2948" spans="2:4">
      <c r="B2948" s="412" t="s">
        <v>3185</v>
      </c>
      <c r="C2948" s="1112">
        <v>13200</v>
      </c>
      <c r="D2948" s="1112">
        <v>250221</v>
      </c>
    </row>
    <row r="2949" spans="2:4">
      <c r="B2949" s="412" t="s">
        <v>3186</v>
      </c>
      <c r="C2949" s="1112">
        <v>13199.33116883117</v>
      </c>
      <c r="D2949" s="1112">
        <v>250210.68831168831</v>
      </c>
    </row>
    <row r="2950" spans="2:4">
      <c r="B2950" s="412" t="s">
        <v>3187</v>
      </c>
      <c r="C2950" s="1112">
        <v>13179.036635006783</v>
      </c>
      <c r="D2950" s="1112">
        <v>249897.79782903663</v>
      </c>
    </row>
    <row r="2951" spans="2:4">
      <c r="B2951" s="412" t="s">
        <v>3188</v>
      </c>
      <c r="C2951" s="1112">
        <v>13355.661670235546</v>
      </c>
      <c r="D2951" s="1112">
        <v>254039.84368308351</v>
      </c>
    </row>
    <row r="2952" spans="2:4">
      <c r="B2952" s="412" t="s">
        <v>3189</v>
      </c>
      <c r="C2952" s="1112">
        <v>13201.724137931034</v>
      </c>
      <c r="D2952" s="1112">
        <v>250508.26819923372</v>
      </c>
    </row>
    <row r="2953" spans="2:4">
      <c r="B2953" s="412" t="s">
        <v>3190</v>
      </c>
      <c r="C2953" s="1112">
        <v>15872.90909090909</v>
      </c>
      <c r="D2953" s="1112">
        <v>302725.54545454547</v>
      </c>
    </row>
    <row r="2954" spans="2:4">
      <c r="B2954" s="412" t="s">
        <v>3191</v>
      </c>
      <c r="C2954" s="1112">
        <v>13094.469483568075</v>
      </c>
      <c r="D2954" s="1112">
        <v>248843.97652582161</v>
      </c>
    </row>
    <row r="2955" spans="2:4">
      <c r="B2955" s="412" t="s">
        <v>3192</v>
      </c>
      <c r="C2955" s="1112">
        <v>13105.95652173913</v>
      </c>
      <c r="D2955" s="1112">
        <v>248771.08695652173</v>
      </c>
    </row>
    <row r="2956" spans="2:4">
      <c r="B2956" s="412" t="s">
        <v>3193</v>
      </c>
      <c r="C2956" s="1112">
        <v>13057.751578947369</v>
      </c>
      <c r="D2956" s="1112">
        <v>248027.88842105263</v>
      </c>
    </row>
    <row r="2957" spans="2:4" ht="17" thickBot="1">
      <c r="B2957" s="413" t="s">
        <v>3194</v>
      </c>
      <c r="C2957" s="1113">
        <v>12994</v>
      </c>
      <c r="D2957" s="1113">
        <v>247045</v>
      </c>
    </row>
    <row r="2958" spans="2:4">
      <c r="B2958" s="415" t="s">
        <v>3195</v>
      </c>
      <c r="C2958" s="1111">
        <v>12994</v>
      </c>
      <c r="D2958" s="1111">
        <v>247045</v>
      </c>
    </row>
    <row r="2959" spans="2:4">
      <c r="B2959" s="412" t="s">
        <v>3196</v>
      </c>
      <c r="C2959" s="1112">
        <v>12994</v>
      </c>
      <c r="D2959" s="1112">
        <v>247045</v>
      </c>
    </row>
    <row r="2960" spans="2:4">
      <c r="B2960" s="412" t="s">
        <v>3197</v>
      </c>
      <c r="C2960" s="1112">
        <v>12994</v>
      </c>
      <c r="D2960" s="1112">
        <v>247045</v>
      </c>
    </row>
    <row r="2961" spans="2:4">
      <c r="B2961" s="412" t="s">
        <v>3198</v>
      </c>
      <c r="C2961" s="1112">
        <v>12994</v>
      </c>
      <c r="D2961" s="1112">
        <v>247045</v>
      </c>
    </row>
    <row r="2962" spans="2:4">
      <c r="B2962" s="412" t="s">
        <v>3199</v>
      </c>
      <c r="C2962" s="1112">
        <v>12994</v>
      </c>
      <c r="D2962" s="1112">
        <v>247045</v>
      </c>
    </row>
    <row r="2963" spans="2:4">
      <c r="B2963" s="412" t="s">
        <v>3200</v>
      </c>
      <c r="C2963" s="1112">
        <v>12994</v>
      </c>
      <c r="D2963" s="1112">
        <v>247045</v>
      </c>
    </row>
    <row r="2964" spans="2:4">
      <c r="B2964" s="412" t="s">
        <v>3201</v>
      </c>
      <c r="C2964" s="1112">
        <v>16010</v>
      </c>
      <c r="D2964" s="1112">
        <v>305377</v>
      </c>
    </row>
    <row r="2965" spans="2:4">
      <c r="B2965" s="412" t="s">
        <v>3202</v>
      </c>
      <c r="C2965" s="1112">
        <v>16010</v>
      </c>
      <c r="D2965" s="1112">
        <v>305377</v>
      </c>
    </row>
    <row r="2966" spans="2:4">
      <c r="B2966" s="412" t="s">
        <v>3203</v>
      </c>
      <c r="C2966" s="1112">
        <v>12994</v>
      </c>
      <c r="D2966" s="1112">
        <v>247045</v>
      </c>
    </row>
    <row r="2967" spans="2:4">
      <c r="B2967" s="412" t="s">
        <v>3204</v>
      </c>
      <c r="C2967" s="1112">
        <v>12994</v>
      </c>
      <c r="D2967" s="1112">
        <v>247045</v>
      </c>
    </row>
    <row r="2968" spans="2:4">
      <c r="B2968" s="412" t="s">
        <v>3205</v>
      </c>
      <c r="C2968" s="1112">
        <v>12994</v>
      </c>
      <c r="D2968" s="1112">
        <v>247045</v>
      </c>
    </row>
    <row r="2969" spans="2:4">
      <c r="B2969" s="412" t="s">
        <v>3206</v>
      </c>
      <c r="C2969" s="1112">
        <v>12994</v>
      </c>
      <c r="D2969" s="1112">
        <v>247045</v>
      </c>
    </row>
    <row r="2970" spans="2:4">
      <c r="B2970" s="412" t="s">
        <v>3207</v>
      </c>
      <c r="C2970" s="1112">
        <v>12994</v>
      </c>
      <c r="D2970" s="1112">
        <v>247045</v>
      </c>
    </row>
    <row r="2971" spans="2:4">
      <c r="B2971" s="412" t="s">
        <v>3208</v>
      </c>
      <c r="C2971" s="1112">
        <v>12990.241258741258</v>
      </c>
      <c r="D2971" s="1112">
        <v>246968.62587412586</v>
      </c>
    </row>
    <row r="2972" spans="2:4">
      <c r="B2972" s="412" t="s">
        <v>3209</v>
      </c>
      <c r="C2972" s="1112">
        <v>12994</v>
      </c>
      <c r="D2972" s="1112">
        <v>247045</v>
      </c>
    </row>
    <row r="2973" spans="2:4">
      <c r="B2973" s="412" t="s">
        <v>3210</v>
      </c>
      <c r="C2973" s="1112">
        <v>15957.087719298246</v>
      </c>
      <c r="D2973" s="1112">
        <v>304353.63157894736</v>
      </c>
    </row>
    <row r="2974" spans="2:4">
      <c r="B2974" s="412" t="s">
        <v>3211</v>
      </c>
      <c r="C2974" s="1112">
        <v>12365.037296037295</v>
      </c>
      <c r="D2974" s="1112">
        <v>234265.06293706293</v>
      </c>
    </row>
    <row r="2975" spans="2:4">
      <c r="B2975" s="412" t="s">
        <v>3212</v>
      </c>
      <c r="C2975" s="1112">
        <v>12994</v>
      </c>
      <c r="D2975" s="1112">
        <v>247045</v>
      </c>
    </row>
    <row r="2976" spans="2:4">
      <c r="B2976" s="412" t="s">
        <v>3213</v>
      </c>
      <c r="C2976" s="1112">
        <v>12994</v>
      </c>
      <c r="D2976" s="1112">
        <v>247045</v>
      </c>
    </row>
    <row r="2977" spans="2:4">
      <c r="B2977" s="412" t="s">
        <v>3214</v>
      </c>
      <c r="C2977" s="1112">
        <v>12994</v>
      </c>
      <c r="D2977" s="1112">
        <v>247045</v>
      </c>
    </row>
    <row r="2978" spans="2:4">
      <c r="B2978" s="412" t="s">
        <v>3215</v>
      </c>
      <c r="C2978" s="1112">
        <v>15207.12962962963</v>
      </c>
      <c r="D2978" s="1112">
        <v>289848.80555555556</v>
      </c>
    </row>
    <row r="2979" spans="2:4">
      <c r="B2979" s="412" t="s">
        <v>3216</v>
      </c>
      <c r="C2979" s="1112">
        <v>16010</v>
      </c>
      <c r="D2979" s="1112">
        <v>305377</v>
      </c>
    </row>
    <row r="2980" spans="2:4">
      <c r="B2980" s="412" t="s">
        <v>3217</v>
      </c>
      <c r="C2980" s="1112">
        <v>16010</v>
      </c>
      <c r="D2980" s="1112">
        <v>305377</v>
      </c>
    </row>
    <row r="2981" spans="2:4">
      <c r="B2981" s="412" t="s">
        <v>3218</v>
      </c>
      <c r="C2981" s="1112">
        <v>10844</v>
      </c>
      <c r="D2981" s="1112">
        <v>203359</v>
      </c>
    </row>
    <row r="2982" spans="2:4">
      <c r="B2982" s="412" t="s">
        <v>3219</v>
      </c>
      <c r="C2982" s="1112">
        <v>12994</v>
      </c>
      <c r="D2982" s="1112">
        <v>247045</v>
      </c>
    </row>
    <row r="2983" spans="2:4">
      <c r="B2983" s="412" t="s">
        <v>3220</v>
      </c>
      <c r="C2983" s="1112">
        <v>12941.560975609756</v>
      </c>
      <c r="D2983" s="1112">
        <v>245979.48780487804</v>
      </c>
    </row>
    <row r="2984" spans="2:4">
      <c r="B2984" s="412" t="s">
        <v>3221</v>
      </c>
      <c r="C2984" s="1112">
        <v>12994</v>
      </c>
      <c r="D2984" s="1112">
        <v>247045</v>
      </c>
    </row>
    <row r="2985" spans="2:4">
      <c r="B2985" s="412" t="s">
        <v>3222</v>
      </c>
      <c r="C2985" s="1112">
        <v>12741.882736156353</v>
      </c>
      <c r="D2985" s="1112">
        <v>241922.21172638435</v>
      </c>
    </row>
    <row r="2986" spans="2:4">
      <c r="B2986" s="412" t="s">
        <v>3223</v>
      </c>
      <c r="C2986" s="1112">
        <v>13108.207109737248</v>
      </c>
      <c r="D2986" s="1112">
        <v>249253.86244204018</v>
      </c>
    </row>
    <row r="2987" spans="2:4" ht="17" thickBot="1">
      <c r="B2987" s="413" t="s">
        <v>3224</v>
      </c>
      <c r="C2987" s="1113">
        <v>12994</v>
      </c>
      <c r="D2987" s="1113">
        <v>247045</v>
      </c>
    </row>
    <row r="2988" spans="2:4">
      <c r="B2988" s="412" t="s">
        <v>3225</v>
      </c>
      <c r="C2988" s="1111">
        <v>8343</v>
      </c>
      <c r="D2988" s="1111">
        <v>152694</v>
      </c>
    </row>
    <row r="2989" spans="2:4">
      <c r="B2989" s="412" t="s">
        <v>3226</v>
      </c>
      <c r="C2989" s="1112">
        <v>8343</v>
      </c>
      <c r="D2989" s="1112">
        <v>152694</v>
      </c>
    </row>
    <row r="2990" spans="2:4" ht="17" thickBot="1">
      <c r="B2990" s="413" t="s">
        <v>3227</v>
      </c>
      <c r="C2990" s="1113">
        <v>8343</v>
      </c>
      <c r="D2990" s="1113">
        <v>152694</v>
      </c>
    </row>
    <row r="3000" spans="3:4">
      <c r="C3000" s="231"/>
      <c r="D3000" s="231"/>
    </row>
  </sheetData>
  <sheetProtection algorithmName="SHA-512" hashValue="jjeUBEnbAOyRDvHXlemOl+BoCbBX0JpT/AGTWqKw4eqvY2ZeDJLLymYx80r8ZB05LcWWGePcOlr8C6zlDh/gUw==" saltValue="OXCTjoQHr1o5D+B2mha4Tg==" spinCount="100000" sheet="1" objects="1" scenarios="1"/>
  <mergeCells count="1">
    <mergeCell ref="AX7:AZ7"/>
  </mergeCells>
  <hyperlinks>
    <hyperlink ref="R3" r:id="rId1" xr:uid="{C8378907-EF6B-2D4F-A2E1-D41DDF893A4E}"/>
    <hyperlink ref="R6" r:id="rId2" xr:uid="{39B6E432-EF77-E043-A01E-47F944D56A3E}"/>
    <hyperlink ref="R4" r:id="rId3" xr:uid="{8DD40421-48DF-9E49-BE84-58FD17C90850}"/>
    <hyperlink ref="R2" r:id="rId4" xr:uid="{77A09980-4BDE-3B46-85E2-5354B4B10D4F}"/>
    <hyperlink ref="R5" r:id="rId5" xr:uid="{0D0CE1AE-FCDE-9740-998F-AA8594CCDA5B}"/>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9E0D4-E4D1-5845-B2D6-84552B2473E9}">
  <sheetPr codeName="Sheet14">
    <tabColor theme="6"/>
  </sheetPr>
  <dimension ref="A1:CJ3000"/>
  <sheetViews>
    <sheetView topLeftCell="A4" zoomScale="75" zoomScaleNormal="100" workbookViewId="0">
      <selection activeCell="H59" sqref="H59"/>
    </sheetView>
  </sheetViews>
  <sheetFormatPr baseColWidth="10" defaultRowHeight="16"/>
  <cols>
    <col min="1" max="1" width="10.83203125" style="588"/>
    <col min="2" max="2" width="7.1640625" style="589" bestFit="1" customWidth="1"/>
    <col min="3" max="3" width="19.83203125" style="712" customWidth="1"/>
    <col min="4" max="4" width="10.83203125" style="588"/>
    <col min="5" max="6" width="21" style="588" bestFit="1" customWidth="1"/>
    <col min="7" max="16384" width="10.83203125" style="588"/>
  </cols>
  <sheetData>
    <row r="1" spans="2:44" ht="26">
      <c r="B1" s="706"/>
      <c r="C1" s="770" t="s">
        <v>3389</v>
      </c>
      <c r="D1" s="706" t="str">
        <f>'Data Tables'!C12</f>
        <v>Average speed of vehicles (car and motorbike) at different regions</v>
      </c>
    </row>
    <row r="2" spans="2:44" s="761" customFormat="1" ht="21">
      <c r="B2" s="762"/>
      <c r="C2" s="769" t="s">
        <v>3366</v>
      </c>
      <c r="D2" s="765" t="s">
        <v>3384</v>
      </c>
      <c r="O2" s="766" t="s">
        <v>3385</v>
      </c>
    </row>
    <row r="3" spans="2:44" s="761" customFormat="1" ht="21">
      <c r="B3" s="762"/>
      <c r="C3" s="763"/>
      <c r="D3" s="762" t="s">
        <v>3382</v>
      </c>
      <c r="O3" s="766" t="s">
        <v>3386</v>
      </c>
    </row>
    <row r="4" spans="2:44" s="761" customFormat="1" ht="21">
      <c r="B4" s="762"/>
      <c r="C4" s="763"/>
      <c r="D4" s="762" t="s">
        <v>3383</v>
      </c>
      <c r="O4" s="756" t="s">
        <v>3387</v>
      </c>
    </row>
    <row r="5" spans="2:44" s="761" customFormat="1" ht="24">
      <c r="B5" s="762"/>
      <c r="C5" s="763"/>
      <c r="D5" s="758" t="s">
        <v>3380</v>
      </c>
      <c r="E5" s="757"/>
      <c r="F5"/>
      <c r="G5"/>
      <c r="H5"/>
      <c r="I5"/>
      <c r="J5"/>
      <c r="K5"/>
      <c r="L5"/>
      <c r="M5"/>
      <c r="N5"/>
      <c r="O5" s="756" t="s">
        <v>3379</v>
      </c>
      <c r="P5"/>
      <c r="Q5"/>
    </row>
    <row r="6" spans="2:44" s="761" customFormat="1" ht="21">
      <c r="B6" s="762"/>
      <c r="C6" s="763"/>
    </row>
    <row r="7" spans="2:44" ht="17" thickBot="1">
      <c r="B7" s="588"/>
      <c r="C7" s="707"/>
    </row>
    <row r="8" spans="2:44" ht="17" thickBot="1">
      <c r="B8" s="702"/>
      <c r="C8" s="703" t="s">
        <v>3228</v>
      </c>
      <c r="G8" s="708"/>
      <c r="H8" s="708"/>
      <c r="I8" s="708"/>
      <c r="J8" s="707"/>
      <c r="K8" s="707"/>
      <c r="L8" s="709"/>
      <c r="M8" s="709"/>
      <c r="N8" s="709"/>
      <c r="O8" s="708"/>
      <c r="P8" s="708"/>
      <c r="AK8" s="708"/>
      <c r="AL8" s="708"/>
      <c r="AM8" s="708"/>
      <c r="AN8" s="707"/>
      <c r="AO8" s="707"/>
      <c r="AP8" s="707"/>
      <c r="AQ8" s="708"/>
      <c r="AR8" s="708"/>
    </row>
    <row r="9" spans="2:44">
      <c r="B9" s="415" t="s">
        <v>266</v>
      </c>
      <c r="C9" s="1109">
        <v>37.089023564957849</v>
      </c>
      <c r="E9" s="764"/>
    </row>
    <row r="10" spans="2:44">
      <c r="B10" s="412" t="s">
        <v>267</v>
      </c>
      <c r="C10" s="1110">
        <v>37.089023564957849</v>
      </c>
    </row>
    <row r="11" spans="2:44">
      <c r="B11" s="412" t="s">
        <v>268</v>
      </c>
      <c r="C11" s="1110">
        <v>37.089023564957849</v>
      </c>
    </row>
    <row r="12" spans="2:44">
      <c r="B12" s="412" t="s">
        <v>269</v>
      </c>
      <c r="C12" s="1110">
        <v>37.089023564957849</v>
      </c>
    </row>
    <row r="13" spans="2:44">
      <c r="B13" s="412" t="s">
        <v>270</v>
      </c>
      <c r="C13" s="1110">
        <v>37.089023564957849</v>
      </c>
    </row>
    <row r="14" spans="2:44">
      <c r="B14" s="412" t="s">
        <v>271</v>
      </c>
      <c r="C14" s="1110">
        <v>37.089023564957849</v>
      </c>
    </row>
    <row r="15" spans="2:44">
      <c r="B15" s="412" t="s">
        <v>272</v>
      </c>
      <c r="C15" s="1110">
        <v>37.089023564957849</v>
      </c>
    </row>
    <row r="16" spans="2:44">
      <c r="B16" s="412" t="s">
        <v>273</v>
      </c>
      <c r="C16" s="1110">
        <v>37.089023564957849</v>
      </c>
    </row>
    <row r="17" spans="2:3">
      <c r="B17" s="412" t="s">
        <v>274</v>
      </c>
      <c r="C17" s="1110">
        <v>37.089023564957849</v>
      </c>
    </row>
    <row r="18" spans="2:3">
      <c r="B18" s="412" t="s">
        <v>275</v>
      </c>
      <c r="C18" s="1110">
        <v>37.089023564957849</v>
      </c>
    </row>
    <row r="19" spans="2:3">
      <c r="B19" s="412" t="s">
        <v>276</v>
      </c>
      <c r="C19" s="1110">
        <v>37.089023564957849</v>
      </c>
    </row>
    <row r="20" spans="2:3">
      <c r="B20" s="412" t="s">
        <v>277</v>
      </c>
      <c r="C20" s="1110">
        <v>37.089023564957849</v>
      </c>
    </row>
    <row r="21" spans="2:3">
      <c r="B21" s="412" t="s">
        <v>278</v>
      </c>
      <c r="C21" s="1110">
        <v>37.089023564957849</v>
      </c>
    </row>
    <row r="22" spans="2:3">
      <c r="B22" s="412" t="s">
        <v>279</v>
      </c>
      <c r="C22" s="1110">
        <v>37.089023564957849</v>
      </c>
    </row>
    <row r="23" spans="2:3">
      <c r="B23" s="412" t="s">
        <v>280</v>
      </c>
      <c r="C23" s="1110">
        <v>37.089023564957849</v>
      </c>
    </row>
    <row r="24" spans="2:3">
      <c r="B24" s="412" t="s">
        <v>281</v>
      </c>
      <c r="C24" s="1110">
        <v>37.089023564957849</v>
      </c>
    </row>
    <row r="25" spans="2:3">
      <c r="B25" s="412" t="s">
        <v>282</v>
      </c>
      <c r="C25" s="1110">
        <v>37.089023564957849</v>
      </c>
    </row>
    <row r="26" spans="2:3">
      <c r="B26" s="412" t="s">
        <v>283</v>
      </c>
      <c r="C26" s="1110">
        <v>37.089023564957849</v>
      </c>
    </row>
    <row r="27" spans="2:3">
      <c r="B27" s="412" t="s">
        <v>284</v>
      </c>
      <c r="C27" s="1110">
        <v>37.089023564957849</v>
      </c>
    </row>
    <row r="28" spans="2:3">
      <c r="B28" s="412" t="s">
        <v>285</v>
      </c>
      <c r="C28" s="1110">
        <v>37.089023564957849</v>
      </c>
    </row>
    <row r="29" spans="2:3">
      <c r="B29" s="412" t="s">
        <v>286</v>
      </c>
      <c r="C29" s="1110">
        <v>37.089023564957849</v>
      </c>
    </row>
    <row r="30" spans="2:3">
      <c r="B30" s="412" t="s">
        <v>287</v>
      </c>
      <c r="C30" s="1110">
        <v>37.089023564957849</v>
      </c>
    </row>
    <row r="31" spans="2:3">
      <c r="B31" s="412" t="s">
        <v>288</v>
      </c>
      <c r="C31" s="1110">
        <v>37.089023564957849</v>
      </c>
    </row>
    <row r="32" spans="2:3">
      <c r="B32" s="412" t="s">
        <v>289</v>
      </c>
      <c r="C32" s="1110">
        <v>37.089023564957849</v>
      </c>
    </row>
    <row r="33" spans="2:3">
      <c r="B33" s="412" t="s">
        <v>290</v>
      </c>
      <c r="C33" s="1110">
        <v>37.089023564957849</v>
      </c>
    </row>
    <row r="34" spans="2:3">
      <c r="B34" s="412" t="s">
        <v>291</v>
      </c>
      <c r="C34" s="1110">
        <v>37.089023564957849</v>
      </c>
    </row>
    <row r="35" spans="2:3">
      <c r="B35" s="412" t="s">
        <v>292</v>
      </c>
      <c r="C35" s="1110">
        <v>37.089023564957849</v>
      </c>
    </row>
    <row r="36" spans="2:3">
      <c r="B36" s="412" t="s">
        <v>293</v>
      </c>
      <c r="C36" s="1110">
        <v>37.089023564957849</v>
      </c>
    </row>
    <row r="37" spans="2:3">
      <c r="B37" s="412" t="s">
        <v>294</v>
      </c>
      <c r="C37" s="1110">
        <v>37.089023564957849</v>
      </c>
    </row>
    <row r="38" spans="2:3">
      <c r="B38" s="412" t="s">
        <v>295</v>
      </c>
      <c r="C38" s="1110">
        <v>37.089023564957849</v>
      </c>
    </row>
    <row r="39" spans="2:3">
      <c r="B39" s="412" t="s">
        <v>296</v>
      </c>
      <c r="C39" s="1110">
        <v>37.089023564957849</v>
      </c>
    </row>
    <row r="40" spans="2:3">
      <c r="B40" s="412" t="s">
        <v>297</v>
      </c>
      <c r="C40" s="1110">
        <v>37.089023564957849</v>
      </c>
    </row>
    <row r="41" spans="2:3">
      <c r="B41" s="412" t="s">
        <v>298</v>
      </c>
      <c r="C41" s="1110">
        <v>37.089023564957849</v>
      </c>
    </row>
    <row r="42" spans="2:3">
      <c r="B42" s="412" t="s">
        <v>299</v>
      </c>
      <c r="C42" s="1110">
        <v>37.089023564957849</v>
      </c>
    </row>
    <row r="43" spans="2:3">
      <c r="B43" s="412" t="s">
        <v>300</v>
      </c>
      <c r="C43" s="1110">
        <v>48.441133999999998</v>
      </c>
    </row>
    <row r="44" spans="2:3">
      <c r="B44" s="412" t="s">
        <v>301</v>
      </c>
      <c r="C44" s="1110">
        <v>48.441133999999998</v>
      </c>
    </row>
    <row r="45" spans="2:3">
      <c r="B45" s="412" t="s">
        <v>302</v>
      </c>
      <c r="C45" s="1110">
        <v>48.441133999999998</v>
      </c>
    </row>
    <row r="46" spans="2:3">
      <c r="B46" s="412" t="s">
        <v>303</v>
      </c>
      <c r="C46" s="1110">
        <v>48.445030296842098</v>
      </c>
    </row>
    <row r="47" spans="2:3">
      <c r="B47" s="412" t="s">
        <v>304</v>
      </c>
      <c r="C47" s="1110">
        <v>48.441133999999998</v>
      </c>
    </row>
    <row r="48" spans="2:3">
      <c r="B48" s="412" t="s">
        <v>305</v>
      </c>
      <c r="C48" s="1110">
        <v>48.451580327375353</v>
      </c>
    </row>
    <row r="49" spans="2:3">
      <c r="B49" s="412" t="s">
        <v>306</v>
      </c>
      <c r="C49" s="1110">
        <v>48.441133999999998</v>
      </c>
    </row>
    <row r="50" spans="2:3">
      <c r="B50" s="412" t="s">
        <v>307</v>
      </c>
      <c r="C50" s="1110">
        <v>48.441133999999998</v>
      </c>
    </row>
    <row r="51" spans="2:3">
      <c r="B51" s="412" t="s">
        <v>308</v>
      </c>
      <c r="C51" s="1110">
        <v>48.441133999999998</v>
      </c>
    </row>
    <row r="52" spans="2:3" ht="17" thickBot="1">
      <c r="B52" s="413" t="s">
        <v>309</v>
      </c>
      <c r="C52" s="655">
        <v>48.441133999999998</v>
      </c>
    </row>
    <row r="53" spans="2:3">
      <c r="B53" s="415" t="s">
        <v>310</v>
      </c>
      <c r="C53" s="1109">
        <v>29.450921999999998</v>
      </c>
    </row>
    <row r="54" spans="2:3">
      <c r="B54" s="412" t="s">
        <v>311</v>
      </c>
      <c r="C54" s="1110">
        <v>29.450921999999998</v>
      </c>
    </row>
    <row r="55" spans="2:3">
      <c r="B55" s="412" t="s">
        <v>312</v>
      </c>
      <c r="C55" s="1110">
        <v>29.450921999999998</v>
      </c>
    </row>
    <row r="56" spans="2:3">
      <c r="B56" s="412" t="s">
        <v>313</v>
      </c>
      <c r="C56" s="1110">
        <v>29.450921999999998</v>
      </c>
    </row>
    <row r="57" spans="2:3">
      <c r="B57" s="412" t="s">
        <v>314</v>
      </c>
      <c r="C57" s="1110">
        <v>29.450921999999998</v>
      </c>
    </row>
    <row r="58" spans="2:3">
      <c r="B58" s="412" t="s">
        <v>315</v>
      </c>
      <c r="C58" s="1110">
        <v>29.615165696658099</v>
      </c>
    </row>
    <row r="59" spans="2:3">
      <c r="B59" s="412" t="s">
        <v>316</v>
      </c>
      <c r="C59" s="1110">
        <v>29.450921999999998</v>
      </c>
    </row>
    <row r="60" spans="2:3">
      <c r="B60" s="412" t="s">
        <v>317</v>
      </c>
      <c r="C60" s="1110">
        <v>29.471927441767065</v>
      </c>
    </row>
    <row r="61" spans="2:3">
      <c r="B61" s="412" t="s">
        <v>318</v>
      </c>
      <c r="C61" s="1110">
        <v>29.450921999999998</v>
      </c>
    </row>
    <row r="62" spans="2:3">
      <c r="B62" s="412" t="s">
        <v>319</v>
      </c>
      <c r="C62" s="1110">
        <v>29.465219097949888</v>
      </c>
    </row>
    <row r="63" spans="2:3">
      <c r="B63" s="412" t="s">
        <v>320</v>
      </c>
      <c r="C63" s="1110">
        <v>29.450921999999998</v>
      </c>
    </row>
    <row r="64" spans="2:3">
      <c r="B64" s="412" t="s">
        <v>321</v>
      </c>
      <c r="C64" s="1110">
        <v>29.450921999999998</v>
      </c>
    </row>
    <row r="65" spans="2:7">
      <c r="B65" s="412" t="s">
        <v>322</v>
      </c>
      <c r="C65" s="1110">
        <v>29.450921999999998</v>
      </c>
    </row>
    <row r="66" spans="2:7">
      <c r="B66" s="412" t="s">
        <v>323</v>
      </c>
      <c r="C66" s="1110">
        <v>29.46058547344111</v>
      </c>
    </row>
    <row r="67" spans="2:7">
      <c r="B67" s="412" t="s">
        <v>324</v>
      </c>
      <c r="C67" s="1110">
        <v>29.450921999999998</v>
      </c>
    </row>
    <row r="68" spans="2:7">
      <c r="B68" s="412" t="s">
        <v>325</v>
      </c>
      <c r="C68" s="1110">
        <v>29.450921999999998</v>
      </c>
    </row>
    <row r="69" spans="2:7">
      <c r="B69" s="412" t="s">
        <v>326</v>
      </c>
      <c r="C69" s="1110">
        <v>29.450921999999998</v>
      </c>
    </row>
    <row r="70" spans="2:7">
      <c r="B70" s="412" t="s">
        <v>327</v>
      </c>
      <c r="C70" s="1110">
        <v>30.077122133567659</v>
      </c>
    </row>
    <row r="71" spans="2:7">
      <c r="B71" s="412" t="s">
        <v>328</v>
      </c>
      <c r="C71" s="1110">
        <v>30.319519593533489</v>
      </c>
    </row>
    <row r="72" spans="2:7">
      <c r="B72" s="412" t="s">
        <v>329</v>
      </c>
      <c r="C72" s="1110">
        <v>29.720698926746167</v>
      </c>
    </row>
    <row r="73" spans="2:7">
      <c r="B73" s="412" t="s">
        <v>330</v>
      </c>
      <c r="C73" s="1110">
        <v>29.450921999999998</v>
      </c>
      <c r="E73" s="184"/>
      <c r="F73" s="710"/>
      <c r="G73" s="711"/>
    </row>
    <row r="74" spans="2:7">
      <c r="B74" s="412" t="s">
        <v>331</v>
      </c>
      <c r="C74" s="1110">
        <v>29.450921999999998</v>
      </c>
    </row>
    <row r="75" spans="2:7">
      <c r="B75" s="412" t="s">
        <v>332</v>
      </c>
      <c r="C75" s="1110">
        <v>29.450921999999998</v>
      </c>
    </row>
    <row r="76" spans="2:7">
      <c r="B76" s="412" t="s">
        <v>333</v>
      </c>
      <c r="C76" s="1110">
        <v>29.548306973498239</v>
      </c>
    </row>
    <row r="77" spans="2:7">
      <c r="B77" s="412" t="s">
        <v>334</v>
      </c>
      <c r="C77" s="1110">
        <v>29.856002593175848</v>
      </c>
    </row>
    <row r="78" spans="2:7">
      <c r="B78" s="412" t="s">
        <v>335</v>
      </c>
      <c r="C78" s="1110">
        <v>29.450921999999998</v>
      </c>
    </row>
    <row r="79" spans="2:7">
      <c r="B79" s="412" t="s">
        <v>336</v>
      </c>
      <c r="C79" s="1110">
        <v>29.450921999999998</v>
      </c>
    </row>
    <row r="80" spans="2:7">
      <c r="B80" s="412" t="s">
        <v>337</v>
      </c>
      <c r="C80" s="1110">
        <v>29.450921999999998</v>
      </c>
    </row>
    <row r="81" spans="2:3">
      <c r="B81" s="412" t="s">
        <v>338</v>
      </c>
      <c r="C81" s="1110">
        <v>42.406947197916665</v>
      </c>
    </row>
    <row r="82" spans="2:3">
      <c r="B82" s="412" t="s">
        <v>339</v>
      </c>
      <c r="C82" s="1110">
        <v>49.110408090287279</v>
      </c>
    </row>
    <row r="83" spans="2:3">
      <c r="B83" s="412" t="s">
        <v>340</v>
      </c>
      <c r="C83" s="1110">
        <v>31.838280509554142</v>
      </c>
    </row>
    <row r="84" spans="2:3">
      <c r="B84" s="412" t="s">
        <v>341</v>
      </c>
      <c r="C84" s="1110">
        <v>29.450921999999998</v>
      </c>
    </row>
    <row r="85" spans="2:3">
      <c r="B85" s="412" t="s">
        <v>342</v>
      </c>
      <c r="C85" s="1110">
        <v>49.245804</v>
      </c>
    </row>
    <row r="86" spans="2:3">
      <c r="B86" s="412" t="s">
        <v>343</v>
      </c>
      <c r="C86" s="1110">
        <v>29.502965333333336</v>
      </c>
    </row>
    <row r="87" spans="2:3">
      <c r="B87" s="412" t="s">
        <v>344</v>
      </c>
      <c r="C87" s="1110">
        <v>32.135700518248171</v>
      </c>
    </row>
    <row r="88" spans="2:3">
      <c r="B88" s="412" t="s">
        <v>345</v>
      </c>
      <c r="C88" s="1110">
        <v>29.450921999999998</v>
      </c>
    </row>
    <row r="89" spans="2:3">
      <c r="B89" s="412" t="s">
        <v>346</v>
      </c>
      <c r="C89" s="1110">
        <v>39.817220434659092</v>
      </c>
    </row>
    <row r="90" spans="2:3">
      <c r="B90" s="412" t="s">
        <v>347</v>
      </c>
      <c r="C90" s="1110">
        <v>48.763002</v>
      </c>
    </row>
    <row r="91" spans="2:3">
      <c r="B91" s="412" t="s">
        <v>348</v>
      </c>
      <c r="C91" s="1110">
        <v>50.940931132231405</v>
      </c>
    </row>
    <row r="92" spans="2:3">
      <c r="B92" s="412" t="s">
        <v>349</v>
      </c>
      <c r="C92" s="1110">
        <v>51.472573480769228</v>
      </c>
    </row>
    <row r="93" spans="2:3">
      <c r="B93" s="412" t="s">
        <v>350</v>
      </c>
      <c r="C93" s="1110">
        <v>48.925237353099732</v>
      </c>
    </row>
    <row r="94" spans="2:3">
      <c r="B94" s="412" t="s">
        <v>351</v>
      </c>
      <c r="C94" s="1110">
        <v>29.450921999999998</v>
      </c>
    </row>
    <row r="95" spans="2:3">
      <c r="B95" s="412" t="s">
        <v>352</v>
      </c>
      <c r="C95" s="1110">
        <v>48.816125844660199</v>
      </c>
    </row>
    <row r="96" spans="2:3">
      <c r="B96" s="412" t="s">
        <v>353</v>
      </c>
      <c r="C96" s="1110">
        <v>29.450921999999998</v>
      </c>
    </row>
    <row r="97" spans="2:3">
      <c r="B97" s="412" t="s">
        <v>354</v>
      </c>
      <c r="C97" s="1110">
        <v>51.49888</v>
      </c>
    </row>
    <row r="98" spans="2:3">
      <c r="B98" s="412" t="s">
        <v>355</v>
      </c>
      <c r="C98" s="1110">
        <v>51.49888</v>
      </c>
    </row>
    <row r="99" spans="2:3">
      <c r="B99" s="412" t="s">
        <v>356</v>
      </c>
      <c r="C99" s="1110">
        <v>33.858230453287199</v>
      </c>
    </row>
    <row r="100" spans="2:3">
      <c r="B100" s="412" t="s">
        <v>357</v>
      </c>
      <c r="C100" s="1110">
        <v>31.543064000000001</v>
      </c>
    </row>
    <row r="101" spans="2:3">
      <c r="B101" s="412" t="s">
        <v>358</v>
      </c>
      <c r="C101" s="1110">
        <v>31.543064000000001</v>
      </c>
    </row>
    <row r="102" spans="2:3">
      <c r="B102" s="412" t="s">
        <v>359</v>
      </c>
      <c r="C102" s="1110">
        <v>31.543064000000001</v>
      </c>
    </row>
    <row r="103" spans="2:3">
      <c r="B103" s="412" t="s">
        <v>360</v>
      </c>
      <c r="C103" s="1110">
        <v>31.52464725704225</v>
      </c>
    </row>
    <row r="104" spans="2:3">
      <c r="B104" s="412" t="s">
        <v>361</v>
      </c>
      <c r="C104" s="1110">
        <v>31.543064000000001</v>
      </c>
    </row>
    <row r="105" spans="2:3">
      <c r="B105" s="412" t="s">
        <v>362</v>
      </c>
      <c r="C105" s="1110">
        <v>31.543064000000001</v>
      </c>
    </row>
    <row r="106" spans="2:3">
      <c r="B106" s="412" t="s">
        <v>363</v>
      </c>
      <c r="C106" s="1110">
        <v>31.543064000000001</v>
      </c>
    </row>
    <row r="107" spans="2:3">
      <c r="B107" s="412" t="s">
        <v>364</v>
      </c>
      <c r="C107" s="1110">
        <v>29.450921999999998</v>
      </c>
    </row>
    <row r="108" spans="2:3">
      <c r="B108" s="412" t="s">
        <v>365</v>
      </c>
      <c r="C108" s="1110">
        <v>31.543064000000001</v>
      </c>
    </row>
    <row r="109" spans="2:3">
      <c r="B109" s="412" t="s">
        <v>366</v>
      </c>
      <c r="C109" s="1110">
        <v>31.543064000000001</v>
      </c>
    </row>
    <row r="110" spans="2:3">
      <c r="B110" s="412" t="s">
        <v>367</v>
      </c>
      <c r="C110" s="1110">
        <v>29.450921999999998</v>
      </c>
    </row>
    <row r="111" spans="2:3">
      <c r="B111" s="412" t="s">
        <v>368</v>
      </c>
      <c r="C111" s="1110">
        <v>29.450921999999998</v>
      </c>
    </row>
    <row r="112" spans="2:3">
      <c r="B112" s="412" t="s">
        <v>369</v>
      </c>
      <c r="C112" s="1110">
        <v>32.829903231979031</v>
      </c>
    </row>
    <row r="113" spans="2:3">
      <c r="B113" s="412" t="s">
        <v>370</v>
      </c>
      <c r="C113" s="1110">
        <v>30.244364046511627</v>
      </c>
    </row>
    <row r="114" spans="2:3">
      <c r="B114" s="412" t="s">
        <v>371</v>
      </c>
      <c r="C114" s="1110">
        <v>32.657316961832066</v>
      </c>
    </row>
    <row r="115" spans="2:3">
      <c r="B115" s="412" t="s">
        <v>372</v>
      </c>
      <c r="C115" s="1110">
        <v>46.361384248459956</v>
      </c>
    </row>
    <row r="116" spans="2:3">
      <c r="B116" s="412" t="s">
        <v>373</v>
      </c>
      <c r="C116" s="1110">
        <v>47.806061657422518</v>
      </c>
    </row>
    <row r="117" spans="2:3">
      <c r="B117" s="412" t="s">
        <v>374</v>
      </c>
      <c r="C117" s="1110">
        <v>46.657629252615848</v>
      </c>
    </row>
    <row r="118" spans="2:3">
      <c r="B118" s="412" t="s">
        <v>375</v>
      </c>
      <c r="C118" s="1110">
        <v>29.450921999999998</v>
      </c>
    </row>
    <row r="119" spans="2:3">
      <c r="B119" s="412" t="s">
        <v>376</v>
      </c>
      <c r="C119" s="1110">
        <v>48.802272976076551</v>
      </c>
    </row>
    <row r="120" spans="2:3">
      <c r="B120" s="412" t="s">
        <v>377</v>
      </c>
      <c r="C120" s="1110">
        <v>29.450921999999998</v>
      </c>
    </row>
    <row r="121" spans="2:3">
      <c r="B121" s="412" t="s">
        <v>378</v>
      </c>
      <c r="C121" s="1110">
        <v>49.325349622137402</v>
      </c>
    </row>
    <row r="122" spans="2:3">
      <c r="B122" s="412" t="s">
        <v>379</v>
      </c>
      <c r="C122" s="1110">
        <v>49.245804</v>
      </c>
    </row>
    <row r="123" spans="2:3">
      <c r="B123" s="412" t="s">
        <v>380</v>
      </c>
      <c r="C123" s="1110">
        <v>49.190894479889039</v>
      </c>
    </row>
    <row r="124" spans="2:3">
      <c r="B124" s="412" t="s">
        <v>381</v>
      </c>
      <c r="C124" s="1110">
        <v>49.230405061913693</v>
      </c>
    </row>
    <row r="125" spans="2:3">
      <c r="B125" s="412" t="s">
        <v>382</v>
      </c>
      <c r="C125" s="1110">
        <v>48.915314535714273</v>
      </c>
    </row>
    <row r="126" spans="2:3">
      <c r="B126" s="412" t="s">
        <v>383</v>
      </c>
      <c r="C126" s="1110">
        <v>48.763002</v>
      </c>
    </row>
    <row r="127" spans="2:3">
      <c r="B127" s="412" t="s">
        <v>384</v>
      </c>
      <c r="C127" s="1110">
        <v>51.252521317535546</v>
      </c>
    </row>
    <row r="128" spans="2:3">
      <c r="B128" s="412" t="s">
        <v>385</v>
      </c>
      <c r="C128" s="1110">
        <v>51.491997288050321</v>
      </c>
    </row>
    <row r="129" spans="2:3">
      <c r="B129" s="412" t="s">
        <v>386</v>
      </c>
      <c r="C129" s="1110">
        <v>51.465269705159699</v>
      </c>
    </row>
    <row r="130" spans="2:3">
      <c r="B130" s="412" t="s">
        <v>387</v>
      </c>
      <c r="C130" s="1110">
        <v>29.450921999999998</v>
      </c>
    </row>
    <row r="131" spans="2:3">
      <c r="B131" s="412" t="s">
        <v>388</v>
      </c>
      <c r="C131" s="1110">
        <v>38.327289450577666</v>
      </c>
    </row>
    <row r="132" spans="2:3">
      <c r="B132" s="412" t="s">
        <v>389</v>
      </c>
      <c r="C132" s="1110">
        <v>49.245804</v>
      </c>
    </row>
    <row r="133" spans="2:3">
      <c r="B133" s="412" t="s">
        <v>390</v>
      </c>
      <c r="C133" s="1110">
        <v>49.257087716038562</v>
      </c>
    </row>
    <row r="134" spans="2:3">
      <c r="B134" s="412" t="s">
        <v>391</v>
      </c>
      <c r="C134" s="1110">
        <v>52.464483999999999</v>
      </c>
    </row>
    <row r="135" spans="2:3">
      <c r="B135" s="412" t="s">
        <v>392</v>
      </c>
      <c r="C135" s="1110">
        <v>52.45921611129296</v>
      </c>
    </row>
    <row r="136" spans="2:3">
      <c r="B136" s="412" t="s">
        <v>393</v>
      </c>
      <c r="C136" s="1110">
        <v>52.464483999999999</v>
      </c>
    </row>
    <row r="137" spans="2:3">
      <c r="B137" s="412" t="s">
        <v>394</v>
      </c>
      <c r="C137" s="1110">
        <v>52.434668858947369</v>
      </c>
    </row>
    <row r="138" spans="2:3">
      <c r="B138" s="412" t="s">
        <v>395</v>
      </c>
      <c r="C138" s="1110">
        <v>49.245804</v>
      </c>
    </row>
    <row r="139" spans="2:3">
      <c r="B139" s="412" t="s">
        <v>396</v>
      </c>
      <c r="C139" s="1110">
        <v>38.990054306839184</v>
      </c>
    </row>
    <row r="140" spans="2:3">
      <c r="B140" s="412" t="s">
        <v>397</v>
      </c>
      <c r="C140" s="1110">
        <v>49.245804</v>
      </c>
    </row>
    <row r="141" spans="2:3">
      <c r="B141" s="412" t="s">
        <v>398</v>
      </c>
      <c r="C141" s="1110">
        <v>49.296095874999992</v>
      </c>
    </row>
    <row r="142" spans="2:3">
      <c r="B142" s="412" t="s">
        <v>399</v>
      </c>
      <c r="C142" s="1110">
        <v>49.538031756160827</v>
      </c>
    </row>
    <row r="143" spans="2:3">
      <c r="B143" s="412" t="s">
        <v>400</v>
      </c>
      <c r="C143" s="1110">
        <v>43.394125596169197</v>
      </c>
    </row>
    <row r="144" spans="2:3">
      <c r="B144" s="412" t="s">
        <v>401</v>
      </c>
      <c r="C144" s="1110">
        <v>49.245804</v>
      </c>
    </row>
    <row r="145" spans="2:3">
      <c r="B145" s="412" t="s">
        <v>402</v>
      </c>
      <c r="C145" s="1110">
        <v>49.245804</v>
      </c>
    </row>
    <row r="146" spans="2:3">
      <c r="B146" s="412" t="s">
        <v>403</v>
      </c>
      <c r="C146" s="1110">
        <v>49.245804</v>
      </c>
    </row>
    <row r="147" spans="2:3">
      <c r="B147" s="412" t="s">
        <v>404</v>
      </c>
      <c r="C147" s="1110">
        <v>49.245804</v>
      </c>
    </row>
    <row r="148" spans="2:3">
      <c r="B148" s="412" t="s">
        <v>405</v>
      </c>
      <c r="C148" s="1110">
        <v>49.308000714975847</v>
      </c>
    </row>
    <row r="149" spans="2:3">
      <c r="B149" s="412" t="s">
        <v>406</v>
      </c>
      <c r="C149" s="1110">
        <v>49.245804</v>
      </c>
    </row>
    <row r="150" spans="2:3">
      <c r="B150" s="412" t="s">
        <v>407</v>
      </c>
      <c r="C150" s="1110">
        <v>33.86502225680934</v>
      </c>
    </row>
    <row r="151" spans="2:3">
      <c r="B151" s="412" t="s">
        <v>408</v>
      </c>
      <c r="C151" s="1110">
        <v>41.199103999999998</v>
      </c>
    </row>
    <row r="152" spans="2:3">
      <c r="B152" s="412" t="s">
        <v>409</v>
      </c>
      <c r="C152" s="1110">
        <v>41.199103999999998</v>
      </c>
    </row>
    <row r="153" spans="2:3">
      <c r="B153" s="412" t="s">
        <v>410</v>
      </c>
      <c r="C153" s="1110">
        <v>41.199103999999998</v>
      </c>
    </row>
    <row r="154" spans="2:3">
      <c r="B154" s="412" t="s">
        <v>411</v>
      </c>
      <c r="C154" s="1110">
        <v>41.248270337477798</v>
      </c>
    </row>
    <row r="155" spans="2:3">
      <c r="B155" s="412" t="s">
        <v>412</v>
      </c>
      <c r="C155" s="1110">
        <v>32.220555728212702</v>
      </c>
    </row>
    <row r="156" spans="2:3">
      <c r="B156" s="412" t="s">
        <v>413</v>
      </c>
      <c r="C156" s="1110">
        <v>31.543064000000001</v>
      </c>
    </row>
    <row r="157" spans="2:3">
      <c r="B157" s="412" t="s">
        <v>414</v>
      </c>
      <c r="C157" s="1110">
        <v>41.199103999999998</v>
      </c>
    </row>
    <row r="158" spans="2:3">
      <c r="B158" s="412" t="s">
        <v>415</v>
      </c>
      <c r="C158" s="1110">
        <v>41.199103999999998</v>
      </c>
    </row>
    <row r="159" spans="2:3">
      <c r="B159" s="412" t="s">
        <v>416</v>
      </c>
      <c r="C159" s="1110">
        <v>41.172355966759007</v>
      </c>
    </row>
    <row r="160" spans="2:3">
      <c r="B160" s="412" t="s">
        <v>417</v>
      </c>
      <c r="C160" s="1110">
        <v>41.199103999999998</v>
      </c>
    </row>
    <row r="161" spans="2:3">
      <c r="B161" s="412" t="s">
        <v>418</v>
      </c>
      <c r="C161" s="1110">
        <v>41.199103999999998</v>
      </c>
    </row>
    <row r="162" spans="2:3">
      <c r="B162" s="412" t="s">
        <v>419</v>
      </c>
      <c r="C162" s="1110">
        <v>41.199103999999998</v>
      </c>
    </row>
    <row r="163" spans="2:3">
      <c r="B163" s="412" t="s">
        <v>420</v>
      </c>
      <c r="C163" s="1110">
        <v>41.199103999999998</v>
      </c>
    </row>
    <row r="164" spans="2:3">
      <c r="B164" s="412" t="s">
        <v>421</v>
      </c>
      <c r="C164" s="1110">
        <v>33.152403999999997</v>
      </c>
    </row>
    <row r="165" spans="2:3">
      <c r="B165" s="412" t="s">
        <v>422</v>
      </c>
      <c r="C165" s="1110">
        <v>33.274611806916418</v>
      </c>
    </row>
    <row r="166" spans="2:3">
      <c r="B166" s="412" t="s">
        <v>423</v>
      </c>
      <c r="C166" s="1110">
        <v>35.614976540350874</v>
      </c>
    </row>
    <row r="167" spans="2:3">
      <c r="B167" s="412" t="s">
        <v>424</v>
      </c>
      <c r="C167" s="1110">
        <v>33.163026706270628</v>
      </c>
    </row>
    <row r="168" spans="2:3">
      <c r="B168" s="412" t="s">
        <v>425</v>
      </c>
      <c r="C168" s="1110">
        <v>33.166232915145002</v>
      </c>
    </row>
    <row r="169" spans="2:3">
      <c r="B169" s="412" t="s">
        <v>426</v>
      </c>
      <c r="C169" s="1110">
        <v>33.152403999999997</v>
      </c>
    </row>
    <row r="170" spans="2:3">
      <c r="B170" s="412" t="s">
        <v>427</v>
      </c>
      <c r="C170" s="1110">
        <v>33.152403999999997</v>
      </c>
    </row>
    <row r="171" spans="2:3">
      <c r="B171" s="412" t="s">
        <v>428</v>
      </c>
      <c r="C171" s="1110">
        <v>33.152403999999997</v>
      </c>
    </row>
    <row r="172" spans="2:3">
      <c r="B172" s="412" t="s">
        <v>429</v>
      </c>
      <c r="C172" s="1110">
        <v>33.152403999999997</v>
      </c>
    </row>
    <row r="173" spans="2:3">
      <c r="B173" s="412" t="s">
        <v>430</v>
      </c>
      <c r="C173" s="1110">
        <v>33.152403999999997</v>
      </c>
    </row>
    <row r="174" spans="2:3">
      <c r="B174" s="412" t="s">
        <v>431</v>
      </c>
      <c r="C174" s="1110">
        <v>33.322086915593708</v>
      </c>
    </row>
    <row r="175" spans="2:3">
      <c r="B175" s="412" t="s">
        <v>432</v>
      </c>
      <c r="C175" s="1110">
        <v>33.152403999999997</v>
      </c>
    </row>
    <row r="176" spans="2:3">
      <c r="B176" s="412" t="s">
        <v>433</v>
      </c>
      <c r="C176" s="1110">
        <v>41.302870400000003</v>
      </c>
    </row>
    <row r="177" spans="2:3">
      <c r="B177" s="412" t="s">
        <v>434</v>
      </c>
      <c r="C177" s="1110">
        <v>33.152403999999997</v>
      </c>
    </row>
    <row r="178" spans="2:3">
      <c r="B178" s="412" t="s">
        <v>435</v>
      </c>
      <c r="C178" s="1110">
        <v>35.25851385660377</v>
      </c>
    </row>
    <row r="179" spans="2:3">
      <c r="B179" s="412" t="s">
        <v>436</v>
      </c>
      <c r="C179" s="1110">
        <v>54.850243715107915</v>
      </c>
    </row>
    <row r="180" spans="2:3">
      <c r="B180" s="412" t="s">
        <v>437</v>
      </c>
      <c r="C180" s="1110">
        <v>55.039428000000001</v>
      </c>
    </row>
    <row r="181" spans="2:3">
      <c r="B181" s="412" t="s">
        <v>438</v>
      </c>
      <c r="C181" s="1110">
        <v>33.367816521588942</v>
      </c>
    </row>
    <row r="182" spans="2:3">
      <c r="B182" s="412" t="s">
        <v>439</v>
      </c>
      <c r="C182" s="1110">
        <v>33.373582483701362</v>
      </c>
    </row>
    <row r="183" spans="2:3">
      <c r="B183" s="412" t="s">
        <v>440</v>
      </c>
      <c r="C183" s="1110">
        <v>33.152403999999997</v>
      </c>
    </row>
    <row r="184" spans="2:3">
      <c r="B184" s="412" t="s">
        <v>441</v>
      </c>
      <c r="C184" s="1110">
        <v>33.152403999999997</v>
      </c>
    </row>
    <row r="185" spans="2:3">
      <c r="B185" s="412" t="s">
        <v>442</v>
      </c>
      <c r="C185" s="1110">
        <v>33.152403999999997</v>
      </c>
    </row>
    <row r="186" spans="2:3">
      <c r="B186" s="412" t="s">
        <v>443</v>
      </c>
      <c r="C186" s="1110">
        <v>33.152403999999997</v>
      </c>
    </row>
    <row r="187" spans="2:3">
      <c r="B187" s="412" t="s">
        <v>444</v>
      </c>
      <c r="C187" s="1110">
        <v>33.152403999999997</v>
      </c>
    </row>
    <row r="188" spans="2:3">
      <c r="B188" s="412" t="s">
        <v>445</v>
      </c>
      <c r="C188" s="1110">
        <v>33.152403999999997</v>
      </c>
    </row>
    <row r="189" spans="2:3">
      <c r="B189" s="412" t="s">
        <v>446</v>
      </c>
      <c r="C189" s="1110">
        <v>33.152403999999997</v>
      </c>
    </row>
    <row r="190" spans="2:3">
      <c r="B190" s="412" t="s">
        <v>447</v>
      </c>
      <c r="C190" s="1110">
        <v>33.152403999999997</v>
      </c>
    </row>
    <row r="191" spans="2:3">
      <c r="B191" s="412" t="s">
        <v>448</v>
      </c>
      <c r="C191" s="1110">
        <v>37.497622</v>
      </c>
    </row>
    <row r="192" spans="2:3">
      <c r="B192" s="412" t="s">
        <v>449</v>
      </c>
      <c r="C192" s="1110">
        <v>37.497622</v>
      </c>
    </row>
    <row r="193" spans="2:3">
      <c r="B193" s="412" t="s">
        <v>450</v>
      </c>
      <c r="C193" s="1110">
        <v>37.497622</v>
      </c>
    </row>
    <row r="194" spans="2:3">
      <c r="B194" s="412" t="s">
        <v>451</v>
      </c>
      <c r="C194" s="1110">
        <v>37.497622</v>
      </c>
    </row>
    <row r="195" spans="2:3">
      <c r="B195" s="412" t="s">
        <v>452</v>
      </c>
      <c r="C195" s="1110">
        <v>37.560115271477663</v>
      </c>
    </row>
    <row r="196" spans="2:3">
      <c r="B196" s="412" t="s">
        <v>453</v>
      </c>
      <c r="C196" s="1110">
        <v>37.497622</v>
      </c>
    </row>
    <row r="197" spans="2:3">
      <c r="B197" s="412" t="s">
        <v>454</v>
      </c>
      <c r="C197" s="1110">
        <v>37.519143351479286</v>
      </c>
    </row>
    <row r="198" spans="2:3">
      <c r="B198" s="412" t="s">
        <v>455</v>
      </c>
      <c r="C198" s="1110">
        <v>53.24033</v>
      </c>
    </row>
    <row r="199" spans="2:3">
      <c r="B199" s="412" t="s">
        <v>456</v>
      </c>
      <c r="C199" s="1110">
        <v>37.497622</v>
      </c>
    </row>
    <row r="200" spans="2:3">
      <c r="B200" s="412" t="s">
        <v>457</v>
      </c>
      <c r="C200" s="1110">
        <v>39.14530533557047</v>
      </c>
    </row>
    <row r="201" spans="2:3">
      <c r="B201" s="412" t="s">
        <v>458</v>
      </c>
      <c r="C201" s="1110">
        <v>55.683163999999998</v>
      </c>
    </row>
    <row r="202" spans="2:3">
      <c r="B202" s="412" t="s">
        <v>459</v>
      </c>
      <c r="C202" s="1110">
        <v>37.497622</v>
      </c>
    </row>
    <row r="203" spans="2:3">
      <c r="B203" s="412" t="s">
        <v>460</v>
      </c>
      <c r="C203" s="1110">
        <v>55.683163999999998</v>
      </c>
    </row>
    <row r="204" spans="2:3">
      <c r="B204" s="412" t="s">
        <v>461</v>
      </c>
      <c r="C204" s="1110">
        <v>54.028775994401677</v>
      </c>
    </row>
    <row r="205" spans="2:3">
      <c r="B205" s="412" t="s">
        <v>462</v>
      </c>
      <c r="C205" s="1110">
        <v>55.683163999999998</v>
      </c>
    </row>
    <row r="206" spans="2:3">
      <c r="B206" s="412" t="s">
        <v>463</v>
      </c>
      <c r="C206" s="1110">
        <v>39.145051074873095</v>
      </c>
    </row>
    <row r="207" spans="2:3">
      <c r="B207" s="412" t="s">
        <v>464</v>
      </c>
      <c r="C207" s="1110">
        <v>53.040949191122074</v>
      </c>
    </row>
    <row r="208" spans="2:3">
      <c r="B208" s="412" t="s">
        <v>465</v>
      </c>
      <c r="C208" s="1110">
        <v>51.981681999999999</v>
      </c>
    </row>
    <row r="209" spans="2:3">
      <c r="B209" s="412" t="s">
        <v>466</v>
      </c>
      <c r="C209" s="1110">
        <v>37.497622</v>
      </c>
    </row>
    <row r="210" spans="2:3">
      <c r="B210" s="412" t="s">
        <v>467</v>
      </c>
      <c r="C210" s="1110">
        <v>55.670266850174208</v>
      </c>
    </row>
    <row r="211" spans="2:3">
      <c r="B211" s="412" t="s">
        <v>468</v>
      </c>
      <c r="C211" s="1110">
        <v>37.497622</v>
      </c>
    </row>
    <row r="212" spans="2:3">
      <c r="B212" s="412" t="s">
        <v>469</v>
      </c>
      <c r="C212" s="1110">
        <v>37.497622</v>
      </c>
    </row>
    <row r="213" spans="2:3">
      <c r="B213" s="412" t="s">
        <v>470</v>
      </c>
      <c r="C213" s="1110">
        <v>37.497622</v>
      </c>
    </row>
    <row r="214" spans="2:3">
      <c r="B214" s="412" t="s">
        <v>471</v>
      </c>
      <c r="C214" s="1110">
        <v>37.497622</v>
      </c>
    </row>
    <row r="215" spans="2:3">
      <c r="B215" s="412" t="s">
        <v>472</v>
      </c>
      <c r="C215" s="1110">
        <v>37.497622</v>
      </c>
    </row>
    <row r="216" spans="2:3">
      <c r="B216" s="412" t="s">
        <v>473</v>
      </c>
      <c r="C216" s="1110">
        <v>37.497622</v>
      </c>
    </row>
    <row r="217" spans="2:3">
      <c r="B217" s="412" t="s">
        <v>474</v>
      </c>
      <c r="C217" s="1110">
        <v>33.749417225806454</v>
      </c>
    </row>
    <row r="218" spans="2:3">
      <c r="B218" s="412" t="s">
        <v>475</v>
      </c>
      <c r="C218" s="1110">
        <v>34.439875999999998</v>
      </c>
    </row>
    <row r="219" spans="2:3">
      <c r="B219" s="412" t="s">
        <v>476</v>
      </c>
      <c r="C219" s="1110">
        <v>34.439875999999998</v>
      </c>
    </row>
    <row r="220" spans="2:3">
      <c r="B220" s="412" t="s">
        <v>477</v>
      </c>
      <c r="C220" s="1110">
        <v>34.146640429447849</v>
      </c>
    </row>
    <row r="221" spans="2:3">
      <c r="B221" s="412" t="s">
        <v>478</v>
      </c>
      <c r="C221" s="1110">
        <v>34.437387329896907</v>
      </c>
    </row>
    <row r="222" spans="2:3">
      <c r="B222" s="412" t="s">
        <v>479</v>
      </c>
      <c r="C222" s="1110">
        <v>34.439875999999998</v>
      </c>
    </row>
    <row r="223" spans="2:3">
      <c r="B223" s="412" t="s">
        <v>480</v>
      </c>
      <c r="C223" s="1110">
        <v>34.439875999999998</v>
      </c>
    </row>
    <row r="224" spans="2:3">
      <c r="B224" s="412" t="s">
        <v>481</v>
      </c>
      <c r="C224" s="1110">
        <v>34.574387999999999</v>
      </c>
    </row>
    <row r="225" spans="2:3">
      <c r="B225" s="412" t="s">
        <v>482</v>
      </c>
      <c r="C225" s="1110">
        <v>33.220466996047421</v>
      </c>
    </row>
    <row r="226" spans="2:3">
      <c r="B226" s="412" t="s">
        <v>483</v>
      </c>
      <c r="C226" s="1110">
        <v>34.439875999999998</v>
      </c>
    </row>
    <row r="227" spans="2:3">
      <c r="B227" s="412" t="s">
        <v>484</v>
      </c>
      <c r="C227" s="1110">
        <v>31.114802500982321</v>
      </c>
    </row>
    <row r="228" spans="2:3">
      <c r="B228" s="412" t="s">
        <v>485</v>
      </c>
      <c r="C228" s="1110">
        <v>31.122368229709039</v>
      </c>
    </row>
    <row r="229" spans="2:3">
      <c r="B229" s="412" t="s">
        <v>486</v>
      </c>
      <c r="C229" s="1110">
        <v>27.279076444022774</v>
      </c>
    </row>
    <row r="230" spans="2:3">
      <c r="B230" s="412" t="s">
        <v>487</v>
      </c>
      <c r="C230" s="1110">
        <v>46.992728</v>
      </c>
    </row>
    <row r="231" spans="2:3">
      <c r="B231" s="412" t="s">
        <v>488</v>
      </c>
      <c r="C231" s="1110">
        <v>50.694209999999998</v>
      </c>
    </row>
    <row r="232" spans="2:3">
      <c r="B232" s="412" t="s">
        <v>489</v>
      </c>
      <c r="C232" s="1110">
        <v>50.694209999999998</v>
      </c>
    </row>
    <row r="233" spans="2:3">
      <c r="B233" s="412" t="s">
        <v>490</v>
      </c>
      <c r="C233" s="1110">
        <v>50.694209999999998</v>
      </c>
    </row>
    <row r="234" spans="2:3">
      <c r="B234" s="412" t="s">
        <v>491</v>
      </c>
      <c r="C234" s="1110">
        <v>50.694209999999998</v>
      </c>
    </row>
    <row r="235" spans="2:3">
      <c r="B235" s="412" t="s">
        <v>492</v>
      </c>
      <c r="C235" s="1110">
        <v>50.694209999999998</v>
      </c>
    </row>
    <row r="236" spans="2:3">
      <c r="B236" s="412" t="s">
        <v>493</v>
      </c>
      <c r="C236" s="1110">
        <v>50.694209999999998</v>
      </c>
    </row>
    <row r="237" spans="2:3">
      <c r="B237" s="412" t="s">
        <v>494</v>
      </c>
      <c r="C237" s="1110">
        <v>50.694209999999998</v>
      </c>
    </row>
    <row r="238" spans="2:3">
      <c r="B238" s="412" t="s">
        <v>495</v>
      </c>
      <c r="C238" s="1110">
        <v>50.694209999999998</v>
      </c>
    </row>
    <row r="239" spans="2:3">
      <c r="B239" s="412" t="s">
        <v>496</v>
      </c>
      <c r="C239" s="1110">
        <v>27.692027171717172</v>
      </c>
    </row>
    <row r="240" spans="2:3">
      <c r="B240" s="412" t="s">
        <v>497</v>
      </c>
      <c r="C240" s="1110">
        <v>46.992728</v>
      </c>
    </row>
    <row r="241" spans="2:3">
      <c r="B241" s="412" t="s">
        <v>498</v>
      </c>
      <c r="C241" s="1110">
        <v>46.992728</v>
      </c>
    </row>
    <row r="242" spans="2:3">
      <c r="B242" s="412" t="s">
        <v>499</v>
      </c>
      <c r="C242" s="1110">
        <v>46.992728</v>
      </c>
    </row>
    <row r="243" spans="2:3">
      <c r="B243" s="412" t="s">
        <v>500</v>
      </c>
      <c r="C243" s="1110">
        <v>46.992728</v>
      </c>
    </row>
    <row r="244" spans="2:3">
      <c r="B244" s="412" t="s">
        <v>501</v>
      </c>
      <c r="C244" s="1110">
        <v>46.992728</v>
      </c>
    </row>
    <row r="245" spans="2:3">
      <c r="B245" s="412" t="s">
        <v>502</v>
      </c>
      <c r="C245" s="1110">
        <v>46.992728</v>
      </c>
    </row>
    <row r="246" spans="2:3">
      <c r="B246" s="412" t="s">
        <v>503</v>
      </c>
      <c r="C246" s="1110">
        <v>46.992728</v>
      </c>
    </row>
    <row r="247" spans="2:3">
      <c r="B247" s="412" t="s">
        <v>504</v>
      </c>
      <c r="C247" s="1110">
        <v>46.992728</v>
      </c>
    </row>
    <row r="248" spans="2:3">
      <c r="B248" s="412" t="s">
        <v>505</v>
      </c>
      <c r="C248" s="1110">
        <v>27.036912000000001</v>
      </c>
    </row>
    <row r="249" spans="2:3">
      <c r="B249" s="412" t="s">
        <v>506</v>
      </c>
      <c r="C249" s="1110">
        <v>28.601548111111114</v>
      </c>
    </row>
    <row r="250" spans="2:3">
      <c r="B250" s="412" t="s">
        <v>507</v>
      </c>
      <c r="C250" s="1110">
        <v>50.585690284403668</v>
      </c>
    </row>
    <row r="251" spans="2:3">
      <c r="B251" s="412" t="s">
        <v>508</v>
      </c>
      <c r="C251" s="1110">
        <v>50.694209999999998</v>
      </c>
    </row>
    <row r="252" spans="2:3">
      <c r="B252" s="412" t="s">
        <v>509</v>
      </c>
      <c r="C252" s="1110">
        <v>50.694209999999998</v>
      </c>
    </row>
    <row r="253" spans="2:3">
      <c r="B253" s="412" t="s">
        <v>510</v>
      </c>
      <c r="C253" s="1110">
        <v>50.694209999999998</v>
      </c>
    </row>
    <row r="254" spans="2:3">
      <c r="B254" s="412" t="s">
        <v>511</v>
      </c>
      <c r="C254" s="1110">
        <v>50.694209999999998</v>
      </c>
    </row>
    <row r="255" spans="2:3">
      <c r="B255" s="412" t="s">
        <v>512</v>
      </c>
      <c r="C255" s="1110">
        <v>27.036912000000001</v>
      </c>
    </row>
    <row r="256" spans="2:3">
      <c r="B256" s="412" t="s">
        <v>513</v>
      </c>
      <c r="C256" s="1110">
        <v>27.036912000000001</v>
      </c>
    </row>
    <row r="257" spans="2:3">
      <c r="B257" s="412" t="s">
        <v>514</v>
      </c>
      <c r="C257" s="1110">
        <v>27.036912000000001</v>
      </c>
    </row>
    <row r="258" spans="2:3">
      <c r="B258" s="412" t="s">
        <v>515</v>
      </c>
      <c r="C258" s="1110">
        <v>50.218672381944444</v>
      </c>
    </row>
    <row r="259" spans="2:3">
      <c r="B259" s="412" t="s">
        <v>516</v>
      </c>
      <c r="C259" s="1110">
        <v>46.992728</v>
      </c>
    </row>
    <row r="260" spans="2:3">
      <c r="B260" s="412" t="s">
        <v>517</v>
      </c>
      <c r="C260" s="1110">
        <v>46.998294138345869</v>
      </c>
    </row>
    <row r="261" spans="2:3">
      <c r="B261" s="412" t="s">
        <v>518</v>
      </c>
      <c r="C261" s="1110">
        <v>27.036912000000001</v>
      </c>
    </row>
    <row r="262" spans="2:3">
      <c r="B262" s="412" t="s">
        <v>519</v>
      </c>
      <c r="C262" s="1110">
        <v>46.992728</v>
      </c>
    </row>
    <row r="263" spans="2:3">
      <c r="B263" s="412" t="s">
        <v>520</v>
      </c>
      <c r="C263" s="1110">
        <v>50.694209999999998</v>
      </c>
    </row>
    <row r="264" spans="2:3">
      <c r="B264" s="412" t="s">
        <v>521</v>
      </c>
      <c r="C264" s="1110">
        <v>50.694209999999998</v>
      </c>
    </row>
    <row r="265" spans="2:3">
      <c r="B265" s="412" t="s">
        <v>522</v>
      </c>
      <c r="C265" s="1110">
        <v>50.694209999999998</v>
      </c>
    </row>
    <row r="266" spans="2:3">
      <c r="B266" s="412" t="s">
        <v>523</v>
      </c>
      <c r="C266" s="1110">
        <v>29.459318556521737</v>
      </c>
    </row>
    <row r="267" spans="2:3">
      <c r="B267" s="412" t="s">
        <v>524</v>
      </c>
      <c r="C267" s="1110">
        <v>32.025866000000001</v>
      </c>
    </row>
    <row r="268" spans="2:3">
      <c r="B268" s="412" t="s">
        <v>525</v>
      </c>
      <c r="C268" s="1110">
        <v>31.976812754585158</v>
      </c>
    </row>
    <row r="269" spans="2:3">
      <c r="B269" s="412" t="s">
        <v>526</v>
      </c>
      <c r="C269" s="1110">
        <v>32.025866000000001</v>
      </c>
    </row>
    <row r="270" spans="2:3">
      <c r="B270" s="412" t="s">
        <v>527</v>
      </c>
      <c r="C270" s="1110">
        <v>32.025866000000001</v>
      </c>
    </row>
    <row r="271" spans="2:3">
      <c r="B271" s="412" t="s">
        <v>528</v>
      </c>
      <c r="C271" s="1110">
        <v>32.291498941176471</v>
      </c>
    </row>
    <row r="272" spans="2:3">
      <c r="B272" s="412" t="s">
        <v>529</v>
      </c>
      <c r="C272" s="1110">
        <v>31.991014050955418</v>
      </c>
    </row>
    <row r="273" spans="2:3">
      <c r="B273" s="412" t="s">
        <v>530</v>
      </c>
      <c r="C273" s="1110">
        <v>46.842390477366251</v>
      </c>
    </row>
    <row r="274" spans="2:3">
      <c r="B274" s="412" t="s">
        <v>531</v>
      </c>
      <c r="C274" s="1110">
        <v>25.588505999999999</v>
      </c>
    </row>
    <row r="275" spans="2:3">
      <c r="B275" s="412" t="s">
        <v>532</v>
      </c>
      <c r="C275" s="1110">
        <v>27.002902466850827</v>
      </c>
    </row>
    <row r="276" spans="2:3">
      <c r="B276" s="412" t="s">
        <v>533</v>
      </c>
      <c r="C276" s="1110">
        <v>25.588505999999999</v>
      </c>
    </row>
    <row r="277" spans="2:3">
      <c r="B277" s="412" t="s">
        <v>534</v>
      </c>
      <c r="C277" s="1110">
        <v>25.743250230769227</v>
      </c>
    </row>
    <row r="278" spans="2:3">
      <c r="B278" s="412" t="s">
        <v>535</v>
      </c>
      <c r="C278" s="1110">
        <v>26.634462862411347</v>
      </c>
    </row>
    <row r="279" spans="2:3">
      <c r="B279" s="412" t="s">
        <v>536</v>
      </c>
      <c r="C279" s="1110">
        <v>38.688169432550048</v>
      </c>
    </row>
    <row r="280" spans="2:3">
      <c r="B280" s="412" t="s">
        <v>537</v>
      </c>
      <c r="C280" s="1110">
        <v>35.577978604020103</v>
      </c>
    </row>
    <row r="281" spans="2:3">
      <c r="B281" s="412" t="s">
        <v>538</v>
      </c>
      <c r="C281" s="1110">
        <v>25.588505999999999</v>
      </c>
    </row>
    <row r="282" spans="2:3">
      <c r="B282" s="412" t="s">
        <v>539</v>
      </c>
      <c r="C282" s="1110">
        <v>48.923935999999998</v>
      </c>
    </row>
    <row r="283" spans="2:3">
      <c r="B283" s="412" t="s">
        <v>540</v>
      </c>
      <c r="C283" s="1110">
        <v>48.923935999999998</v>
      </c>
    </row>
    <row r="284" spans="2:3">
      <c r="B284" s="412" t="s">
        <v>541</v>
      </c>
      <c r="C284" s="1110">
        <v>48.923935999999998</v>
      </c>
    </row>
    <row r="285" spans="2:3">
      <c r="B285" s="412" t="s">
        <v>542</v>
      </c>
      <c r="C285" s="1110">
        <v>48.923935999999998</v>
      </c>
    </row>
    <row r="286" spans="2:3">
      <c r="B286" s="412" t="s">
        <v>543</v>
      </c>
      <c r="C286" s="1110">
        <v>48.95159653124999</v>
      </c>
    </row>
    <row r="287" spans="2:3">
      <c r="B287" s="412" t="s">
        <v>544</v>
      </c>
      <c r="C287" s="1110">
        <v>48.998213230769231</v>
      </c>
    </row>
    <row r="288" spans="2:3">
      <c r="B288" s="412" t="s">
        <v>545</v>
      </c>
      <c r="C288" s="1110">
        <v>49.221485084444446</v>
      </c>
    </row>
    <row r="289" spans="2:3">
      <c r="B289" s="412" t="s">
        <v>546</v>
      </c>
      <c r="C289" s="1110">
        <v>49.245804</v>
      </c>
    </row>
    <row r="290" spans="2:3">
      <c r="B290" s="412" t="s">
        <v>547</v>
      </c>
      <c r="C290" s="1110">
        <v>49.245804</v>
      </c>
    </row>
    <row r="291" spans="2:3">
      <c r="B291" s="412" t="s">
        <v>548</v>
      </c>
      <c r="C291" s="1110">
        <v>48.923935999999998</v>
      </c>
    </row>
    <row r="292" spans="2:3">
      <c r="B292" s="412" t="s">
        <v>549</v>
      </c>
      <c r="C292" s="1110">
        <v>25.612864486430063</v>
      </c>
    </row>
    <row r="293" spans="2:3">
      <c r="B293" s="412" t="s">
        <v>550</v>
      </c>
      <c r="C293" s="1110">
        <v>41.842840000000002</v>
      </c>
    </row>
    <row r="294" spans="2:3">
      <c r="B294" s="412" t="s">
        <v>551</v>
      </c>
      <c r="C294" s="1110">
        <v>38.280357291851857</v>
      </c>
    </row>
    <row r="295" spans="2:3">
      <c r="B295" s="412" t="s">
        <v>552</v>
      </c>
      <c r="C295" s="1110">
        <v>41.842840000000002</v>
      </c>
    </row>
    <row r="296" spans="2:3">
      <c r="B296" s="412" t="s">
        <v>553</v>
      </c>
      <c r="C296" s="1110">
        <v>41.785539175088132</v>
      </c>
    </row>
    <row r="297" spans="2:3">
      <c r="B297" s="412" t="s">
        <v>554</v>
      </c>
      <c r="C297" s="1110">
        <v>41.842840000000002</v>
      </c>
    </row>
    <row r="298" spans="2:3">
      <c r="B298" s="412" t="s">
        <v>555</v>
      </c>
      <c r="C298" s="1110">
        <v>41.842840000000002</v>
      </c>
    </row>
    <row r="299" spans="2:3">
      <c r="B299" s="412" t="s">
        <v>556</v>
      </c>
      <c r="C299" s="1110">
        <v>41.842840000000002</v>
      </c>
    </row>
    <row r="300" spans="2:3">
      <c r="B300" s="412" t="s">
        <v>557</v>
      </c>
      <c r="C300" s="1110">
        <v>38.337423659711078</v>
      </c>
    </row>
    <row r="301" spans="2:3">
      <c r="B301" s="412" t="s">
        <v>558</v>
      </c>
      <c r="C301" s="1110">
        <v>25.588505999999999</v>
      </c>
    </row>
    <row r="302" spans="2:3">
      <c r="B302" s="412" t="s">
        <v>559</v>
      </c>
      <c r="C302" s="1110">
        <v>44.981614136680612</v>
      </c>
    </row>
    <row r="303" spans="2:3">
      <c r="B303" s="412" t="s">
        <v>560</v>
      </c>
      <c r="C303" s="1110">
        <v>48.597116184615388</v>
      </c>
    </row>
    <row r="304" spans="2:3">
      <c r="B304" s="412" t="s">
        <v>561</v>
      </c>
      <c r="C304" s="1110">
        <v>48.923935999999998</v>
      </c>
    </row>
    <row r="305" spans="2:3">
      <c r="B305" s="412" t="s">
        <v>562</v>
      </c>
      <c r="C305" s="1110">
        <v>48.923935999999998</v>
      </c>
    </row>
    <row r="306" spans="2:3">
      <c r="B306" s="412" t="s">
        <v>563</v>
      </c>
      <c r="C306" s="1110">
        <v>25.588505999999999</v>
      </c>
    </row>
    <row r="307" spans="2:3">
      <c r="B307" s="412" t="s">
        <v>564</v>
      </c>
      <c r="C307" s="1110">
        <v>25.588505999999999</v>
      </c>
    </row>
    <row r="308" spans="2:3">
      <c r="B308" s="412" t="s">
        <v>565</v>
      </c>
      <c r="C308" s="1110">
        <v>26.936015554404147</v>
      </c>
    </row>
    <row r="309" spans="2:3">
      <c r="B309" s="412" t="s">
        <v>566</v>
      </c>
      <c r="C309" s="1110">
        <v>28.67947584486873</v>
      </c>
    </row>
    <row r="310" spans="2:3">
      <c r="B310" s="412" t="s">
        <v>567</v>
      </c>
      <c r="C310" s="1110">
        <v>25.588505999999999</v>
      </c>
    </row>
    <row r="311" spans="2:3">
      <c r="B311" s="412" t="s">
        <v>568</v>
      </c>
      <c r="C311" s="1110">
        <v>25.588505999999999</v>
      </c>
    </row>
    <row r="312" spans="2:3">
      <c r="B312" s="412" t="s">
        <v>569</v>
      </c>
      <c r="C312" s="1110">
        <v>25.588505999999999</v>
      </c>
    </row>
    <row r="313" spans="2:3">
      <c r="B313" s="412" t="s">
        <v>570</v>
      </c>
      <c r="C313" s="1110">
        <v>37.089023564957849</v>
      </c>
    </row>
    <row r="314" spans="2:3">
      <c r="B314" s="412" t="s">
        <v>571</v>
      </c>
      <c r="C314" s="1110">
        <v>37.089023564957849</v>
      </c>
    </row>
    <row r="315" spans="2:3">
      <c r="B315" s="412" t="s">
        <v>572</v>
      </c>
      <c r="C315" s="1110">
        <v>37.089023564957849</v>
      </c>
    </row>
    <row r="316" spans="2:3">
      <c r="B316" s="412" t="s">
        <v>573</v>
      </c>
      <c r="C316" s="1110">
        <v>37.089023564957849</v>
      </c>
    </row>
    <row r="317" spans="2:3">
      <c r="B317" s="412" t="s">
        <v>574</v>
      </c>
      <c r="C317" s="1110">
        <v>37.089023564957849</v>
      </c>
    </row>
    <row r="318" spans="2:3">
      <c r="B318" s="412" t="s">
        <v>575</v>
      </c>
      <c r="C318" s="1110">
        <v>37.089023564957849</v>
      </c>
    </row>
    <row r="319" spans="2:3">
      <c r="B319" s="412" t="s">
        <v>576</v>
      </c>
      <c r="C319" s="1110">
        <v>37.089023564957849</v>
      </c>
    </row>
    <row r="320" spans="2:3">
      <c r="B320" s="412" t="s">
        <v>577</v>
      </c>
      <c r="C320" s="1110">
        <v>37.089023564957849</v>
      </c>
    </row>
    <row r="321" spans="2:3">
      <c r="B321" s="412" t="s">
        <v>578</v>
      </c>
      <c r="C321" s="1110">
        <v>37.089023564957849</v>
      </c>
    </row>
    <row r="322" spans="2:3">
      <c r="B322" s="412" t="s">
        <v>579</v>
      </c>
      <c r="C322" s="1110">
        <v>37.089023564957849</v>
      </c>
    </row>
    <row r="323" spans="2:3">
      <c r="B323" s="412" t="s">
        <v>580</v>
      </c>
      <c r="C323" s="1110">
        <v>37.089023564957849</v>
      </c>
    </row>
    <row r="324" spans="2:3">
      <c r="B324" s="412" t="s">
        <v>581</v>
      </c>
      <c r="C324" s="1110">
        <v>37.089023564957849</v>
      </c>
    </row>
    <row r="325" spans="2:3">
      <c r="B325" s="412" t="s">
        <v>582</v>
      </c>
      <c r="C325" s="1110">
        <v>37.089023564957849</v>
      </c>
    </row>
    <row r="326" spans="2:3">
      <c r="B326" s="412" t="s">
        <v>583</v>
      </c>
      <c r="C326" s="1110">
        <v>37.089023564957849</v>
      </c>
    </row>
    <row r="327" spans="2:3">
      <c r="B327" s="412" t="s">
        <v>584</v>
      </c>
      <c r="C327" s="1110">
        <v>37.089023564957849</v>
      </c>
    </row>
    <row r="328" spans="2:3">
      <c r="B328" s="412" t="s">
        <v>585</v>
      </c>
      <c r="C328" s="1110">
        <v>37.089023564957849</v>
      </c>
    </row>
    <row r="329" spans="2:3">
      <c r="B329" s="412" t="s">
        <v>586</v>
      </c>
      <c r="C329" s="1110">
        <v>37.089023564957849</v>
      </c>
    </row>
    <row r="330" spans="2:3">
      <c r="B330" s="412" t="s">
        <v>587</v>
      </c>
      <c r="C330" s="1110">
        <v>37.089023564957849</v>
      </c>
    </row>
    <row r="331" spans="2:3">
      <c r="B331" s="412" t="s">
        <v>588</v>
      </c>
      <c r="C331" s="1110">
        <v>37.089023564957849</v>
      </c>
    </row>
    <row r="332" spans="2:3">
      <c r="B332" s="412" t="s">
        <v>589</v>
      </c>
      <c r="C332" s="1110">
        <v>37.089023564957849</v>
      </c>
    </row>
    <row r="333" spans="2:3">
      <c r="B333" s="412" t="s">
        <v>590</v>
      </c>
      <c r="C333" s="1110">
        <v>37.089023564957849</v>
      </c>
    </row>
    <row r="334" spans="2:3">
      <c r="B334" s="412" t="s">
        <v>591</v>
      </c>
      <c r="C334" s="1110">
        <v>37.089023564957849</v>
      </c>
    </row>
    <row r="335" spans="2:3">
      <c r="B335" s="412" t="s">
        <v>592</v>
      </c>
      <c r="C335" s="1110">
        <v>37.089023564957849</v>
      </c>
    </row>
    <row r="336" spans="2:3">
      <c r="B336" s="412" t="s">
        <v>593</v>
      </c>
      <c r="C336" s="1110">
        <v>37.089023564957849</v>
      </c>
    </row>
    <row r="337" spans="2:3">
      <c r="B337" s="412" t="s">
        <v>594</v>
      </c>
      <c r="C337" s="1110">
        <v>37.089023564957849</v>
      </c>
    </row>
    <row r="338" spans="2:3">
      <c r="B338" s="412" t="s">
        <v>595</v>
      </c>
      <c r="C338" s="1110">
        <v>37.089023564957849</v>
      </c>
    </row>
    <row r="339" spans="2:3">
      <c r="B339" s="412" t="s">
        <v>596</v>
      </c>
      <c r="C339" s="1110">
        <v>37.089023564957849</v>
      </c>
    </row>
    <row r="340" spans="2:3">
      <c r="B340" s="412" t="s">
        <v>597</v>
      </c>
      <c r="C340" s="1110">
        <v>37.089023564957849</v>
      </c>
    </row>
    <row r="341" spans="2:3">
      <c r="B341" s="412" t="s">
        <v>598</v>
      </c>
      <c r="C341" s="1110">
        <v>37.089023564957849</v>
      </c>
    </row>
    <row r="342" spans="2:3">
      <c r="B342" s="412" t="s">
        <v>599</v>
      </c>
      <c r="C342" s="1110">
        <v>37.089023564957849</v>
      </c>
    </row>
    <row r="343" spans="2:3">
      <c r="B343" s="412" t="s">
        <v>600</v>
      </c>
      <c r="C343" s="1110">
        <v>37.089023564957849</v>
      </c>
    </row>
    <row r="344" spans="2:3">
      <c r="B344" s="412" t="s">
        <v>601</v>
      </c>
      <c r="C344" s="1110">
        <v>37.089023564957849</v>
      </c>
    </row>
    <row r="345" spans="2:3">
      <c r="B345" s="412" t="s">
        <v>602</v>
      </c>
      <c r="C345" s="1110">
        <v>37.089023564957849</v>
      </c>
    </row>
    <row r="346" spans="2:3">
      <c r="B346" s="412" t="s">
        <v>603</v>
      </c>
      <c r="C346" s="1110">
        <v>37.089023564957849</v>
      </c>
    </row>
    <row r="347" spans="2:3">
      <c r="B347" s="412" t="s">
        <v>604</v>
      </c>
      <c r="C347" s="1110">
        <v>37.089023564957849</v>
      </c>
    </row>
    <row r="348" spans="2:3">
      <c r="B348" s="412" t="s">
        <v>605</v>
      </c>
      <c r="C348" s="1110">
        <v>37.089023564957849</v>
      </c>
    </row>
    <row r="349" spans="2:3">
      <c r="B349" s="412" t="s">
        <v>606</v>
      </c>
      <c r="C349" s="1110">
        <v>37.089023564957849</v>
      </c>
    </row>
    <row r="350" spans="2:3">
      <c r="B350" s="412" t="s">
        <v>607</v>
      </c>
      <c r="C350" s="1110">
        <v>37.089023564957849</v>
      </c>
    </row>
    <row r="351" spans="2:3">
      <c r="B351" s="412" t="s">
        <v>608</v>
      </c>
      <c r="C351" s="1110">
        <v>37.089023564957849</v>
      </c>
    </row>
    <row r="352" spans="2:3">
      <c r="B352" s="412" t="s">
        <v>609</v>
      </c>
      <c r="C352" s="1110">
        <v>37.089023564957849</v>
      </c>
    </row>
    <row r="353" spans="2:3">
      <c r="B353" s="412" t="s">
        <v>610</v>
      </c>
      <c r="C353" s="1110">
        <v>37.089023564957849</v>
      </c>
    </row>
    <row r="354" spans="2:3">
      <c r="B354" s="412" t="s">
        <v>611</v>
      </c>
      <c r="C354" s="1110">
        <v>37.089023564957849</v>
      </c>
    </row>
    <row r="355" spans="2:3">
      <c r="B355" s="412" t="s">
        <v>612</v>
      </c>
      <c r="C355" s="1110">
        <v>37.089023564957849</v>
      </c>
    </row>
    <row r="356" spans="2:3">
      <c r="B356" s="412" t="s">
        <v>613</v>
      </c>
      <c r="C356" s="1110">
        <v>37.089023564957849</v>
      </c>
    </row>
    <row r="357" spans="2:3">
      <c r="B357" s="412" t="s">
        <v>614</v>
      </c>
      <c r="C357" s="1110">
        <v>37.089023564957849</v>
      </c>
    </row>
    <row r="358" spans="2:3">
      <c r="B358" s="412" t="s">
        <v>615</v>
      </c>
      <c r="C358" s="1110">
        <v>37.089023564957849</v>
      </c>
    </row>
    <row r="359" spans="2:3">
      <c r="B359" s="412" t="s">
        <v>616</v>
      </c>
      <c r="C359" s="1110">
        <v>37.089023564957849</v>
      </c>
    </row>
    <row r="360" spans="2:3">
      <c r="B360" s="412" t="s">
        <v>617</v>
      </c>
      <c r="C360" s="1110">
        <v>37.089023564957849</v>
      </c>
    </row>
    <row r="361" spans="2:3">
      <c r="B361" s="412" t="s">
        <v>618</v>
      </c>
      <c r="C361" s="1110">
        <v>37.089023564957849</v>
      </c>
    </row>
    <row r="362" spans="2:3">
      <c r="B362" s="412" t="s">
        <v>619</v>
      </c>
      <c r="C362" s="1110">
        <v>37.089023564957849</v>
      </c>
    </row>
    <row r="363" spans="2:3">
      <c r="B363" s="412" t="s">
        <v>620</v>
      </c>
      <c r="C363" s="1110">
        <v>37.089023564957849</v>
      </c>
    </row>
    <row r="364" spans="2:3">
      <c r="B364" s="412" t="s">
        <v>621</v>
      </c>
      <c r="C364" s="1110">
        <v>37.089023564957849</v>
      </c>
    </row>
    <row r="365" spans="2:3">
      <c r="B365" s="412" t="s">
        <v>622</v>
      </c>
      <c r="C365" s="1110">
        <v>37.089023564957849</v>
      </c>
    </row>
    <row r="366" spans="2:3">
      <c r="B366" s="412" t="s">
        <v>623</v>
      </c>
      <c r="C366" s="1110">
        <v>37.089023564957849</v>
      </c>
    </row>
    <row r="367" spans="2:3">
      <c r="B367" s="412" t="s">
        <v>624</v>
      </c>
      <c r="C367" s="1110">
        <v>37.089023564957849</v>
      </c>
    </row>
    <row r="368" spans="2:3">
      <c r="B368" s="412" t="s">
        <v>625</v>
      </c>
      <c r="C368" s="1110">
        <v>37.089023564957849</v>
      </c>
    </row>
    <row r="369" spans="2:3">
      <c r="B369" s="412" t="s">
        <v>626</v>
      </c>
      <c r="C369" s="1110">
        <v>37.089023564957849</v>
      </c>
    </row>
    <row r="370" spans="2:3">
      <c r="B370" s="412" t="s">
        <v>627</v>
      </c>
      <c r="C370" s="1110">
        <v>37.089023564957849</v>
      </c>
    </row>
    <row r="371" spans="2:3">
      <c r="B371" s="412" t="s">
        <v>628</v>
      </c>
      <c r="C371" s="1110">
        <v>37.089023564957849</v>
      </c>
    </row>
    <row r="372" spans="2:3">
      <c r="B372" s="412" t="s">
        <v>629</v>
      </c>
      <c r="C372" s="1110">
        <v>37.089023564957849</v>
      </c>
    </row>
    <row r="373" spans="2:3">
      <c r="B373" s="412" t="s">
        <v>630</v>
      </c>
      <c r="C373" s="1110">
        <v>37.089023564957849</v>
      </c>
    </row>
    <row r="374" spans="2:3">
      <c r="B374" s="412" t="s">
        <v>631</v>
      </c>
      <c r="C374" s="1110">
        <v>37.089023564957849</v>
      </c>
    </row>
    <row r="375" spans="2:3">
      <c r="B375" s="412" t="s">
        <v>632</v>
      </c>
      <c r="C375" s="1110">
        <v>37.089023564957849</v>
      </c>
    </row>
    <row r="376" spans="2:3">
      <c r="B376" s="412" t="s">
        <v>633</v>
      </c>
      <c r="C376" s="1110">
        <v>37.089023564957849</v>
      </c>
    </row>
    <row r="377" spans="2:3">
      <c r="B377" s="412" t="s">
        <v>634</v>
      </c>
      <c r="C377" s="1110">
        <v>37.089023564957849</v>
      </c>
    </row>
    <row r="378" spans="2:3">
      <c r="B378" s="412" t="s">
        <v>635</v>
      </c>
      <c r="C378" s="1110">
        <v>37.089023564957849</v>
      </c>
    </row>
    <row r="379" spans="2:3">
      <c r="B379" s="412" t="s">
        <v>636</v>
      </c>
      <c r="C379" s="1110">
        <v>37.089023564957849</v>
      </c>
    </row>
    <row r="380" spans="2:3">
      <c r="B380" s="412" t="s">
        <v>637</v>
      </c>
      <c r="C380" s="1110">
        <v>37.089023564957849</v>
      </c>
    </row>
    <row r="381" spans="2:3">
      <c r="B381" s="412" t="s">
        <v>638</v>
      </c>
      <c r="C381" s="1110">
        <v>37.089023564957849</v>
      </c>
    </row>
    <row r="382" spans="2:3">
      <c r="B382" s="412" t="s">
        <v>639</v>
      </c>
      <c r="C382" s="1110">
        <v>37.089023564957849</v>
      </c>
    </row>
    <row r="383" spans="2:3">
      <c r="B383" s="412" t="s">
        <v>640</v>
      </c>
      <c r="C383" s="1110">
        <v>37.089023564957849</v>
      </c>
    </row>
    <row r="384" spans="2:3">
      <c r="B384" s="412" t="s">
        <v>641</v>
      </c>
      <c r="C384" s="1110">
        <v>37.089023564957849</v>
      </c>
    </row>
    <row r="385" spans="2:3">
      <c r="B385" s="412" t="s">
        <v>642</v>
      </c>
      <c r="C385" s="1110">
        <v>37.089023564957849</v>
      </c>
    </row>
    <row r="386" spans="2:3">
      <c r="B386" s="412" t="s">
        <v>643</v>
      </c>
      <c r="C386" s="1110">
        <v>37.089023564957849</v>
      </c>
    </row>
    <row r="387" spans="2:3">
      <c r="B387" s="412" t="s">
        <v>644</v>
      </c>
      <c r="C387" s="1110">
        <v>37.089023564957849</v>
      </c>
    </row>
    <row r="388" spans="2:3">
      <c r="B388" s="412" t="s">
        <v>645</v>
      </c>
      <c r="C388" s="1110">
        <v>37.089023564957849</v>
      </c>
    </row>
    <row r="389" spans="2:3">
      <c r="B389" s="412" t="s">
        <v>646</v>
      </c>
      <c r="C389" s="1110">
        <v>37.089023564957849</v>
      </c>
    </row>
    <row r="390" spans="2:3">
      <c r="B390" s="412" t="s">
        <v>647</v>
      </c>
      <c r="C390" s="1110">
        <v>37.089023564957849</v>
      </c>
    </row>
    <row r="391" spans="2:3">
      <c r="B391" s="412" t="s">
        <v>648</v>
      </c>
      <c r="C391" s="1110">
        <v>37.089023564957849</v>
      </c>
    </row>
    <row r="392" spans="2:3" ht="17" thickBot="1">
      <c r="B392" s="413" t="s">
        <v>649</v>
      </c>
      <c r="C392" s="655">
        <v>37.089023564957849</v>
      </c>
    </row>
    <row r="393" spans="2:3">
      <c r="B393" s="415" t="s">
        <v>650</v>
      </c>
      <c r="C393" s="1109">
        <v>51.49888</v>
      </c>
    </row>
    <row r="394" spans="2:3">
      <c r="B394" s="412" t="s">
        <v>651</v>
      </c>
      <c r="C394" s="1110">
        <v>51.49888</v>
      </c>
    </row>
    <row r="395" spans="2:3">
      <c r="B395" s="412" t="s">
        <v>652</v>
      </c>
      <c r="C395" s="1110">
        <v>51.49888</v>
      </c>
    </row>
    <row r="396" spans="2:3">
      <c r="B396" s="412" t="s">
        <v>653</v>
      </c>
      <c r="C396" s="1110">
        <v>51.49888</v>
      </c>
    </row>
    <row r="397" spans="2:3">
      <c r="B397" s="412" t="s">
        <v>654</v>
      </c>
      <c r="C397" s="1110">
        <v>51.49888</v>
      </c>
    </row>
    <row r="398" spans="2:3">
      <c r="B398" s="412" t="s">
        <v>655</v>
      </c>
      <c r="C398" s="1110">
        <v>51.49888</v>
      </c>
    </row>
    <row r="399" spans="2:3">
      <c r="B399" s="412" t="s">
        <v>656</v>
      </c>
      <c r="C399" s="1110">
        <v>51.49888</v>
      </c>
    </row>
    <row r="400" spans="2:3">
      <c r="B400" s="412" t="s">
        <v>657</v>
      </c>
      <c r="C400" s="1110">
        <v>51.49888</v>
      </c>
    </row>
    <row r="401" spans="2:3">
      <c r="B401" s="412" t="s">
        <v>658</v>
      </c>
      <c r="C401" s="1110">
        <v>51.49888</v>
      </c>
    </row>
    <row r="402" spans="2:3">
      <c r="B402" s="412" t="s">
        <v>659</v>
      </c>
      <c r="C402" s="1110">
        <v>51.49888</v>
      </c>
    </row>
    <row r="403" spans="2:3">
      <c r="B403" s="412" t="s">
        <v>660</v>
      </c>
      <c r="C403" s="1110">
        <v>51.49888</v>
      </c>
    </row>
    <row r="404" spans="2:3">
      <c r="B404" s="412" t="s">
        <v>661</v>
      </c>
      <c r="C404" s="1110">
        <v>51.49888</v>
      </c>
    </row>
    <row r="405" spans="2:3">
      <c r="B405" s="412" t="s">
        <v>662</v>
      </c>
      <c r="C405" s="1110">
        <v>51.49888</v>
      </c>
    </row>
    <row r="406" spans="2:3">
      <c r="B406" s="412" t="s">
        <v>663</v>
      </c>
      <c r="C406" s="1110">
        <v>51.49888</v>
      </c>
    </row>
    <row r="407" spans="2:3">
      <c r="B407" s="412" t="s">
        <v>664</v>
      </c>
      <c r="C407" s="1110">
        <v>51.49888</v>
      </c>
    </row>
    <row r="408" spans="2:3">
      <c r="B408" s="412" t="s">
        <v>665</v>
      </c>
      <c r="C408" s="1110">
        <v>51.49888</v>
      </c>
    </row>
    <row r="409" spans="2:3">
      <c r="B409" s="412" t="s">
        <v>666</v>
      </c>
      <c r="C409" s="1110">
        <v>51.49888</v>
      </c>
    </row>
    <row r="410" spans="2:3">
      <c r="B410" s="412" t="s">
        <v>667</v>
      </c>
      <c r="C410" s="1110">
        <v>51.49888</v>
      </c>
    </row>
    <row r="411" spans="2:3">
      <c r="B411" s="412" t="s">
        <v>668</v>
      </c>
      <c r="C411" s="1110">
        <v>51.49888</v>
      </c>
    </row>
    <row r="412" spans="2:3">
      <c r="B412" s="412" t="s">
        <v>669</v>
      </c>
      <c r="C412" s="1110">
        <v>51.49888</v>
      </c>
    </row>
    <row r="413" spans="2:3">
      <c r="B413" s="412" t="s">
        <v>670</v>
      </c>
      <c r="C413" s="1110">
        <v>51.49888</v>
      </c>
    </row>
    <row r="414" spans="2:3">
      <c r="B414" s="412" t="s">
        <v>671</v>
      </c>
      <c r="C414" s="1110">
        <v>51.49888</v>
      </c>
    </row>
    <row r="415" spans="2:3">
      <c r="B415" s="412" t="s">
        <v>672</v>
      </c>
      <c r="C415" s="1110">
        <v>51.49888</v>
      </c>
    </row>
    <row r="416" spans="2:3">
      <c r="B416" s="412" t="s">
        <v>673</v>
      </c>
      <c r="C416" s="1110">
        <v>51.49888</v>
      </c>
    </row>
    <row r="417" spans="2:3">
      <c r="B417" s="412" t="s">
        <v>674</v>
      </c>
      <c r="C417" s="1110">
        <v>51.49888</v>
      </c>
    </row>
    <row r="418" spans="2:3">
      <c r="B418" s="412" t="s">
        <v>675</v>
      </c>
      <c r="C418" s="1110">
        <v>51.49888</v>
      </c>
    </row>
    <row r="419" spans="2:3">
      <c r="B419" s="412" t="s">
        <v>676</v>
      </c>
      <c r="C419" s="1110">
        <v>52.529385252459015</v>
      </c>
    </row>
    <row r="420" spans="2:3">
      <c r="B420" s="412" t="s">
        <v>677</v>
      </c>
      <c r="C420" s="1110">
        <v>51.650772764044937</v>
      </c>
    </row>
    <row r="421" spans="2:3">
      <c r="B421" s="412" t="s">
        <v>678</v>
      </c>
      <c r="C421" s="1110">
        <v>51.49888</v>
      </c>
    </row>
    <row r="422" spans="2:3">
      <c r="B422" s="412" t="s">
        <v>679</v>
      </c>
      <c r="C422" s="1110">
        <v>51.859694742967989</v>
      </c>
    </row>
    <row r="423" spans="2:3">
      <c r="B423" s="412" t="s">
        <v>680</v>
      </c>
      <c r="C423" s="1110">
        <v>50.223670361010825</v>
      </c>
    </row>
    <row r="424" spans="2:3">
      <c r="B424" s="412" t="s">
        <v>681</v>
      </c>
      <c r="C424" s="1110">
        <v>49.889539999999997</v>
      </c>
    </row>
    <row r="425" spans="2:3">
      <c r="B425" s="412" t="s">
        <v>682</v>
      </c>
      <c r="C425" s="1110">
        <v>51.621746894197948</v>
      </c>
    </row>
    <row r="426" spans="2:3">
      <c r="B426" s="412" t="s">
        <v>683</v>
      </c>
      <c r="C426" s="1110">
        <v>55.310251981351982</v>
      </c>
    </row>
    <row r="427" spans="2:3">
      <c r="B427" s="412" t="s">
        <v>684</v>
      </c>
      <c r="C427" s="1110">
        <v>55.477864238178633</v>
      </c>
    </row>
    <row r="428" spans="2:3">
      <c r="B428" s="412" t="s">
        <v>685</v>
      </c>
      <c r="C428" s="1110">
        <v>55.484404728588657</v>
      </c>
    </row>
    <row r="429" spans="2:3">
      <c r="B429" s="412" t="s">
        <v>686</v>
      </c>
      <c r="C429" s="1110">
        <v>55.482815742971887</v>
      </c>
    </row>
    <row r="430" spans="2:3">
      <c r="B430" s="412" t="s">
        <v>687</v>
      </c>
      <c r="C430" s="1110">
        <v>53.725480985221672</v>
      </c>
    </row>
    <row r="431" spans="2:3">
      <c r="B431" s="412" t="s">
        <v>688</v>
      </c>
      <c r="C431" s="1110">
        <v>52.615411165311649</v>
      </c>
    </row>
    <row r="432" spans="2:3">
      <c r="B432" s="412" t="s">
        <v>689</v>
      </c>
      <c r="C432" s="1110">
        <v>51.924411914893625</v>
      </c>
    </row>
    <row r="433" spans="2:3">
      <c r="B433" s="412" t="s">
        <v>690</v>
      </c>
      <c r="C433" s="1110">
        <v>51.90373829959514</v>
      </c>
    </row>
    <row r="434" spans="2:3">
      <c r="B434" s="412" t="s">
        <v>691</v>
      </c>
      <c r="C434" s="1110">
        <v>52.501157367924527</v>
      </c>
    </row>
    <row r="435" spans="2:3">
      <c r="B435" s="412" t="s">
        <v>692</v>
      </c>
      <c r="C435" s="1110">
        <v>52.480370321479377</v>
      </c>
    </row>
    <row r="436" spans="2:3">
      <c r="B436" s="412" t="s">
        <v>693</v>
      </c>
      <c r="C436" s="1110">
        <v>50.197317157088115</v>
      </c>
    </row>
    <row r="437" spans="2:3">
      <c r="B437" s="412" t="s">
        <v>694</v>
      </c>
      <c r="C437" s="1110">
        <v>49.320238531130876</v>
      </c>
    </row>
    <row r="438" spans="2:3">
      <c r="B438" s="412" t="s">
        <v>695</v>
      </c>
      <c r="C438" s="1110">
        <v>37.089023564957849</v>
      </c>
    </row>
    <row r="439" spans="2:3">
      <c r="B439" s="412" t="s">
        <v>696</v>
      </c>
      <c r="C439" s="1110">
        <v>37.089023564957849</v>
      </c>
    </row>
    <row r="440" spans="2:3">
      <c r="B440" s="412" t="s">
        <v>697</v>
      </c>
      <c r="C440" s="1110">
        <v>37.089023564957849</v>
      </c>
    </row>
    <row r="441" spans="2:3">
      <c r="B441" s="412" t="s">
        <v>698</v>
      </c>
      <c r="C441" s="1110">
        <v>37.089023564957849</v>
      </c>
    </row>
    <row r="442" spans="2:3">
      <c r="B442" s="412" t="s">
        <v>699</v>
      </c>
      <c r="C442" s="1110">
        <v>37.089023564957849</v>
      </c>
    </row>
    <row r="443" spans="2:3">
      <c r="B443" s="412" t="s">
        <v>700</v>
      </c>
      <c r="C443" s="1110">
        <v>37.089023564957849</v>
      </c>
    </row>
    <row r="444" spans="2:3">
      <c r="B444" s="412" t="s">
        <v>701</v>
      </c>
      <c r="C444" s="1110">
        <v>37.089023564957849</v>
      </c>
    </row>
    <row r="445" spans="2:3">
      <c r="B445" s="412" t="s">
        <v>702</v>
      </c>
      <c r="C445" s="1110">
        <v>37.089023564957849</v>
      </c>
    </row>
    <row r="446" spans="2:3">
      <c r="B446" s="412" t="s">
        <v>703</v>
      </c>
      <c r="C446" s="1110">
        <v>37.089023564957849</v>
      </c>
    </row>
    <row r="447" spans="2:3">
      <c r="B447" s="412" t="s">
        <v>704</v>
      </c>
      <c r="C447" s="1110">
        <v>37.089023564957849</v>
      </c>
    </row>
    <row r="448" spans="2:3">
      <c r="B448" s="412" t="s">
        <v>705</v>
      </c>
      <c r="C448" s="1110">
        <v>37.089023564957849</v>
      </c>
    </row>
    <row r="449" spans="2:3">
      <c r="B449" s="412" t="s">
        <v>706</v>
      </c>
      <c r="C449" s="1110">
        <v>37.089023564957849</v>
      </c>
    </row>
    <row r="450" spans="2:3">
      <c r="B450" s="412" t="s">
        <v>707</v>
      </c>
      <c r="C450" s="1110">
        <v>37.089023564957849</v>
      </c>
    </row>
    <row r="451" spans="2:3">
      <c r="B451" s="412" t="s">
        <v>708</v>
      </c>
      <c r="C451" s="1110">
        <v>37.089023564957849</v>
      </c>
    </row>
    <row r="452" spans="2:3">
      <c r="B452" s="412" t="s">
        <v>709</v>
      </c>
      <c r="C452" s="1110">
        <v>37.089023564957849</v>
      </c>
    </row>
    <row r="453" spans="2:3">
      <c r="B453" s="412" t="s">
        <v>710</v>
      </c>
      <c r="C453" s="1110">
        <v>37.089023564957849</v>
      </c>
    </row>
    <row r="454" spans="2:3">
      <c r="B454" s="412" t="s">
        <v>711</v>
      </c>
      <c r="C454" s="1110">
        <v>37.089023564957849</v>
      </c>
    </row>
    <row r="455" spans="2:3">
      <c r="B455" s="412" t="s">
        <v>712</v>
      </c>
      <c r="C455" s="1110">
        <v>37.089023564957849</v>
      </c>
    </row>
    <row r="456" spans="2:3">
      <c r="B456" s="412" t="s">
        <v>713</v>
      </c>
      <c r="C456" s="1110">
        <v>37.089023564957849</v>
      </c>
    </row>
    <row r="457" spans="2:3">
      <c r="B457" s="412" t="s">
        <v>714</v>
      </c>
      <c r="C457" s="1110">
        <v>37.089023564957849</v>
      </c>
    </row>
    <row r="458" spans="2:3">
      <c r="B458" s="412" t="s">
        <v>715</v>
      </c>
      <c r="C458" s="1110">
        <v>37.089023564957849</v>
      </c>
    </row>
    <row r="459" spans="2:3">
      <c r="B459" s="412" t="s">
        <v>716</v>
      </c>
      <c r="C459" s="1110">
        <v>37.089023564957849</v>
      </c>
    </row>
    <row r="460" spans="2:3">
      <c r="B460" s="412" t="s">
        <v>717</v>
      </c>
      <c r="C460" s="1110">
        <v>37.089023564957849</v>
      </c>
    </row>
    <row r="461" spans="2:3">
      <c r="B461" s="412" t="s">
        <v>718</v>
      </c>
      <c r="C461" s="1110">
        <v>37.089023564957849</v>
      </c>
    </row>
    <row r="462" spans="2:3">
      <c r="B462" s="412" t="s">
        <v>719</v>
      </c>
      <c r="C462" s="1110">
        <v>37.089023564957849</v>
      </c>
    </row>
    <row r="463" spans="2:3">
      <c r="B463" s="412" t="s">
        <v>720</v>
      </c>
      <c r="C463" s="1110">
        <v>37.089023564957849</v>
      </c>
    </row>
    <row r="464" spans="2:3">
      <c r="B464" s="412" t="s">
        <v>721</v>
      </c>
      <c r="C464" s="1110">
        <v>37.089023564957849</v>
      </c>
    </row>
    <row r="465" spans="2:3">
      <c r="B465" s="412" t="s">
        <v>722</v>
      </c>
      <c r="C465" s="1110">
        <v>37.089023564957849</v>
      </c>
    </row>
    <row r="466" spans="2:3">
      <c r="B466" s="412" t="s">
        <v>723</v>
      </c>
      <c r="C466" s="1110">
        <v>37.089023564957849</v>
      </c>
    </row>
    <row r="467" spans="2:3">
      <c r="B467" s="412" t="s">
        <v>724</v>
      </c>
      <c r="C467" s="1110">
        <v>37.089023564957849</v>
      </c>
    </row>
    <row r="468" spans="2:3">
      <c r="B468" s="412" t="s">
        <v>725</v>
      </c>
      <c r="C468" s="1110">
        <v>37.089023564957849</v>
      </c>
    </row>
    <row r="469" spans="2:3">
      <c r="B469" s="412" t="s">
        <v>726</v>
      </c>
      <c r="C469" s="1110">
        <v>37.089023564957849</v>
      </c>
    </row>
    <row r="470" spans="2:3">
      <c r="B470" s="412" t="s">
        <v>727</v>
      </c>
      <c r="C470" s="1110">
        <v>37.089023564957849</v>
      </c>
    </row>
    <row r="471" spans="2:3">
      <c r="B471" s="412" t="s">
        <v>728</v>
      </c>
      <c r="C471" s="1110">
        <v>37.089023564957849</v>
      </c>
    </row>
    <row r="472" spans="2:3">
      <c r="B472" s="412" t="s">
        <v>729</v>
      </c>
      <c r="C472" s="1110">
        <v>37.089023564957849</v>
      </c>
    </row>
    <row r="473" spans="2:3">
      <c r="B473" s="412" t="s">
        <v>730</v>
      </c>
      <c r="C473" s="1110">
        <v>37.089023564957849</v>
      </c>
    </row>
    <row r="474" spans="2:3">
      <c r="B474" s="412" t="s">
        <v>731</v>
      </c>
      <c r="C474" s="1110">
        <v>37.089023564957849</v>
      </c>
    </row>
    <row r="475" spans="2:3">
      <c r="B475" s="412" t="s">
        <v>732</v>
      </c>
      <c r="C475" s="1110">
        <v>37.089023564957849</v>
      </c>
    </row>
    <row r="476" spans="2:3">
      <c r="B476" s="412" t="s">
        <v>733</v>
      </c>
      <c r="C476" s="1110">
        <v>37.089023564957849</v>
      </c>
    </row>
    <row r="477" spans="2:3">
      <c r="B477" s="412" t="s">
        <v>734</v>
      </c>
      <c r="C477" s="1110">
        <v>47.758712010375717</v>
      </c>
    </row>
    <row r="478" spans="2:3">
      <c r="B478" s="412" t="s">
        <v>735</v>
      </c>
      <c r="C478" s="1110">
        <v>47.958331999999999</v>
      </c>
    </row>
    <row r="479" spans="2:3">
      <c r="B479" s="412" t="s">
        <v>736</v>
      </c>
      <c r="C479" s="1110">
        <v>38.946027999999998</v>
      </c>
    </row>
    <row r="480" spans="2:3">
      <c r="B480" s="412" t="s">
        <v>737</v>
      </c>
      <c r="C480" s="1110">
        <v>38.946027999999998</v>
      </c>
    </row>
    <row r="481" spans="2:3">
      <c r="B481" s="412" t="s">
        <v>738</v>
      </c>
      <c r="C481" s="1110">
        <v>38.946027999999998</v>
      </c>
    </row>
    <row r="482" spans="2:3">
      <c r="B482" s="412" t="s">
        <v>739</v>
      </c>
      <c r="C482" s="1110">
        <v>38.946027999999998</v>
      </c>
    </row>
    <row r="483" spans="2:3">
      <c r="B483" s="412" t="s">
        <v>740</v>
      </c>
      <c r="C483" s="1110">
        <v>38.946027999999998</v>
      </c>
    </row>
    <row r="484" spans="2:3">
      <c r="B484" s="412" t="s">
        <v>741</v>
      </c>
      <c r="C484" s="1110">
        <v>47.958771310282074</v>
      </c>
    </row>
    <row r="485" spans="2:3">
      <c r="B485" s="412" t="s">
        <v>742</v>
      </c>
      <c r="C485" s="1110">
        <v>38.946027999999998</v>
      </c>
    </row>
    <row r="486" spans="2:3">
      <c r="B486" s="412" t="s">
        <v>743</v>
      </c>
      <c r="C486" s="1110">
        <v>38.946027999999998</v>
      </c>
    </row>
    <row r="487" spans="2:3">
      <c r="B487" s="412" t="s">
        <v>744</v>
      </c>
      <c r="C487" s="1110">
        <v>38.946027999999998</v>
      </c>
    </row>
    <row r="488" spans="2:3">
      <c r="B488" s="412" t="s">
        <v>745</v>
      </c>
      <c r="C488" s="1110">
        <v>47.958331999999999</v>
      </c>
    </row>
    <row r="489" spans="2:3">
      <c r="B489" s="412" t="s">
        <v>746</v>
      </c>
      <c r="C489" s="1110">
        <v>47.958331999999999</v>
      </c>
    </row>
    <row r="490" spans="2:3">
      <c r="B490" s="412" t="s">
        <v>747</v>
      </c>
      <c r="C490" s="1110">
        <v>42.610335139022538</v>
      </c>
    </row>
    <row r="491" spans="2:3">
      <c r="B491" s="412" t="s">
        <v>748</v>
      </c>
      <c r="C491" s="1110">
        <v>38.946027999999998</v>
      </c>
    </row>
    <row r="492" spans="2:3">
      <c r="B492" s="412" t="s">
        <v>749</v>
      </c>
      <c r="C492" s="1110">
        <v>38.946027999999998</v>
      </c>
    </row>
    <row r="493" spans="2:3">
      <c r="B493" s="412" t="s">
        <v>750</v>
      </c>
      <c r="C493" s="1110">
        <v>38.946027999999998</v>
      </c>
    </row>
    <row r="494" spans="2:3">
      <c r="B494" s="412" t="s">
        <v>751</v>
      </c>
      <c r="C494" s="1110">
        <v>38.946027999999998</v>
      </c>
    </row>
    <row r="495" spans="2:3">
      <c r="B495" s="412" t="s">
        <v>752</v>
      </c>
      <c r="C495" s="1110">
        <v>38.946027999999998</v>
      </c>
    </row>
    <row r="496" spans="2:3">
      <c r="B496" s="412" t="s">
        <v>753</v>
      </c>
      <c r="C496" s="1110">
        <v>38.946027999999998</v>
      </c>
    </row>
    <row r="497" spans="2:3">
      <c r="B497" s="412" t="s">
        <v>754</v>
      </c>
      <c r="C497" s="1110">
        <v>38.946027999999998</v>
      </c>
    </row>
    <row r="498" spans="2:3">
      <c r="B498" s="412" t="s">
        <v>755</v>
      </c>
      <c r="C498" s="1110">
        <v>38.946027999999998</v>
      </c>
    </row>
    <row r="499" spans="2:3">
      <c r="B499" s="412" t="s">
        <v>756</v>
      </c>
      <c r="C499" s="1110">
        <v>38.946027999999998</v>
      </c>
    </row>
    <row r="500" spans="2:3">
      <c r="B500" s="412" t="s">
        <v>757</v>
      </c>
      <c r="C500" s="1110">
        <v>37.089023564957849</v>
      </c>
    </row>
    <row r="501" spans="2:3">
      <c r="B501" s="412" t="s">
        <v>758</v>
      </c>
      <c r="C501" s="1110">
        <v>37.089023564957849</v>
      </c>
    </row>
    <row r="502" spans="2:3">
      <c r="B502" s="412" t="s">
        <v>759</v>
      </c>
      <c r="C502" s="1110">
        <v>38.946027999999998</v>
      </c>
    </row>
    <row r="503" spans="2:3">
      <c r="B503" s="412" t="s">
        <v>760</v>
      </c>
      <c r="C503" s="1110">
        <v>38.946027999999998</v>
      </c>
    </row>
    <row r="504" spans="2:3">
      <c r="B504" s="412" t="s">
        <v>761</v>
      </c>
      <c r="C504" s="1110">
        <v>38.957168054388134</v>
      </c>
    </row>
    <row r="505" spans="2:3">
      <c r="B505" s="412" t="s">
        <v>762</v>
      </c>
      <c r="C505" s="1110">
        <v>38.946027999999998</v>
      </c>
    </row>
    <row r="506" spans="2:3">
      <c r="B506" s="412" t="s">
        <v>763</v>
      </c>
      <c r="C506" s="1110">
        <v>47.859605665101718</v>
      </c>
    </row>
    <row r="507" spans="2:3">
      <c r="B507" s="412" t="s">
        <v>764</v>
      </c>
      <c r="C507" s="1110">
        <v>47.901364212389382</v>
      </c>
    </row>
    <row r="508" spans="2:3">
      <c r="B508" s="412" t="s">
        <v>765</v>
      </c>
      <c r="C508" s="1110">
        <v>47.958331999999999</v>
      </c>
    </row>
    <row r="509" spans="2:3">
      <c r="B509" s="412" t="s">
        <v>766</v>
      </c>
      <c r="C509" s="1110">
        <v>37.089023564957849</v>
      </c>
    </row>
    <row r="510" spans="2:3">
      <c r="B510" s="412" t="s">
        <v>767</v>
      </c>
      <c r="C510" s="1110">
        <v>47.958331999999999</v>
      </c>
    </row>
    <row r="511" spans="2:3">
      <c r="B511" s="412" t="s">
        <v>768</v>
      </c>
      <c r="C511" s="1110">
        <v>37.089023564957849</v>
      </c>
    </row>
    <row r="512" spans="2:3">
      <c r="B512" s="412" t="s">
        <v>769</v>
      </c>
      <c r="C512" s="1110">
        <v>47.958331999999999</v>
      </c>
    </row>
    <row r="513" spans="2:3">
      <c r="B513" s="412" t="s">
        <v>770</v>
      </c>
      <c r="C513" s="1110">
        <v>47.958331999999999</v>
      </c>
    </row>
    <row r="514" spans="2:3">
      <c r="B514" s="412" t="s">
        <v>771</v>
      </c>
      <c r="C514" s="1110">
        <v>49.889539999999997</v>
      </c>
    </row>
    <row r="515" spans="2:3">
      <c r="B515" s="412" t="s">
        <v>772</v>
      </c>
      <c r="C515" s="1110">
        <v>49.889539999999997</v>
      </c>
    </row>
    <row r="516" spans="2:3">
      <c r="B516" s="412" t="s">
        <v>773</v>
      </c>
      <c r="C516" s="1110">
        <v>49.889539999999997</v>
      </c>
    </row>
    <row r="517" spans="2:3">
      <c r="B517" s="412" t="s">
        <v>774</v>
      </c>
      <c r="C517" s="1110">
        <v>49.889539999999997</v>
      </c>
    </row>
    <row r="518" spans="2:3">
      <c r="B518" s="412" t="s">
        <v>775</v>
      </c>
      <c r="C518" s="1110">
        <v>49.918269872278657</v>
      </c>
    </row>
    <row r="519" spans="2:3">
      <c r="B519" s="412" t="s">
        <v>776</v>
      </c>
      <c r="C519" s="1110">
        <v>49.876464112499995</v>
      </c>
    </row>
    <row r="520" spans="2:3">
      <c r="B520" s="412" t="s">
        <v>777</v>
      </c>
      <c r="C520" s="1110">
        <v>49.889539999999997</v>
      </c>
    </row>
    <row r="521" spans="2:3">
      <c r="B521" s="412" t="s">
        <v>778</v>
      </c>
      <c r="C521" s="1110">
        <v>49.889539999999997</v>
      </c>
    </row>
    <row r="522" spans="2:3">
      <c r="B522" s="412" t="s">
        <v>779</v>
      </c>
      <c r="C522" s="1110">
        <v>49.889539999999997</v>
      </c>
    </row>
    <row r="523" spans="2:3">
      <c r="B523" s="412" t="s">
        <v>780</v>
      </c>
      <c r="C523" s="1110">
        <v>49.889539999999997</v>
      </c>
    </row>
    <row r="524" spans="2:3">
      <c r="B524" s="412" t="s">
        <v>781</v>
      </c>
      <c r="C524" s="1110">
        <v>49.885891622166241</v>
      </c>
    </row>
    <row r="525" spans="2:3">
      <c r="B525" s="412" t="s">
        <v>782</v>
      </c>
      <c r="C525" s="1110">
        <v>49.889539999999997</v>
      </c>
    </row>
    <row r="526" spans="2:3">
      <c r="B526" s="412" t="s">
        <v>783</v>
      </c>
      <c r="C526" s="1110">
        <v>49.817352562700961</v>
      </c>
    </row>
    <row r="527" spans="2:3">
      <c r="B527" s="412" t="s">
        <v>784</v>
      </c>
      <c r="C527" s="1110">
        <v>48.641082303030302</v>
      </c>
    </row>
    <row r="528" spans="2:3">
      <c r="B528" s="412" t="s">
        <v>785</v>
      </c>
      <c r="C528" s="1110">
        <v>49.872632536964979</v>
      </c>
    </row>
    <row r="529" spans="2:3">
      <c r="B529" s="412" t="s">
        <v>786</v>
      </c>
      <c r="C529" s="1110">
        <v>48.57914249622641</v>
      </c>
    </row>
    <row r="530" spans="2:3">
      <c r="B530" s="412" t="s">
        <v>787</v>
      </c>
      <c r="C530" s="1110">
        <v>49.889539999999997</v>
      </c>
    </row>
    <row r="531" spans="2:3">
      <c r="B531" s="412" t="s">
        <v>788</v>
      </c>
      <c r="C531" s="1110">
        <v>49.889539999999997</v>
      </c>
    </row>
    <row r="532" spans="2:3">
      <c r="B532" s="412" t="s">
        <v>789</v>
      </c>
      <c r="C532" s="1110">
        <v>49.889539999999997</v>
      </c>
    </row>
    <row r="533" spans="2:3">
      <c r="B533" s="412" t="s">
        <v>790</v>
      </c>
      <c r="C533" s="1110">
        <v>49.889539999999997</v>
      </c>
    </row>
    <row r="534" spans="2:3">
      <c r="B534" s="412" t="s">
        <v>791</v>
      </c>
      <c r="C534" s="1110">
        <v>49.889539999999997</v>
      </c>
    </row>
    <row r="535" spans="2:3">
      <c r="B535" s="412" t="s">
        <v>792</v>
      </c>
      <c r="C535" s="1110">
        <v>49.889539999999997</v>
      </c>
    </row>
    <row r="536" spans="2:3">
      <c r="B536" s="412" t="s">
        <v>793</v>
      </c>
      <c r="C536" s="1110">
        <v>49.889539999999997</v>
      </c>
    </row>
    <row r="537" spans="2:3">
      <c r="B537" s="412" t="s">
        <v>794</v>
      </c>
      <c r="C537" s="1110">
        <v>49.889539999999997</v>
      </c>
    </row>
    <row r="538" spans="2:3">
      <c r="B538" s="412" t="s">
        <v>795</v>
      </c>
      <c r="C538" s="1110">
        <v>49.889539999999997</v>
      </c>
    </row>
    <row r="539" spans="2:3">
      <c r="B539" s="412" t="s">
        <v>796</v>
      </c>
      <c r="C539" s="1110">
        <v>49.889539999999997</v>
      </c>
    </row>
    <row r="540" spans="2:3">
      <c r="B540" s="412" t="s">
        <v>797</v>
      </c>
      <c r="C540" s="1110">
        <v>49.889539999999997</v>
      </c>
    </row>
    <row r="541" spans="2:3">
      <c r="B541" s="412" t="s">
        <v>798</v>
      </c>
      <c r="C541" s="1110">
        <v>49.889539999999997</v>
      </c>
    </row>
    <row r="542" spans="2:3">
      <c r="B542" s="412" t="s">
        <v>799</v>
      </c>
      <c r="C542" s="1110">
        <v>49.889539999999997</v>
      </c>
    </row>
    <row r="543" spans="2:3">
      <c r="B543" s="412" t="s">
        <v>800</v>
      </c>
      <c r="C543" s="1110">
        <v>49.311139596513073</v>
      </c>
    </row>
    <row r="544" spans="2:3">
      <c r="B544" s="412" t="s">
        <v>801</v>
      </c>
      <c r="C544" s="1110">
        <v>49.768309114877589</v>
      </c>
    </row>
    <row r="545" spans="2:3">
      <c r="B545" s="412" t="s">
        <v>802</v>
      </c>
      <c r="C545" s="1110">
        <v>49.889539999999997</v>
      </c>
    </row>
    <row r="546" spans="2:3">
      <c r="B546" s="412" t="s">
        <v>803</v>
      </c>
      <c r="C546" s="1110">
        <v>49.889539999999997</v>
      </c>
    </row>
    <row r="547" spans="2:3">
      <c r="B547" s="412" t="s">
        <v>804</v>
      </c>
      <c r="C547" s="1110">
        <v>49.889539999999997</v>
      </c>
    </row>
    <row r="548" spans="2:3">
      <c r="B548" s="412" t="s">
        <v>805</v>
      </c>
      <c r="C548" s="1110">
        <v>49.889539999999997</v>
      </c>
    </row>
    <row r="549" spans="2:3">
      <c r="B549" s="412" t="s">
        <v>806</v>
      </c>
      <c r="C549" s="1110">
        <v>49.889539999999997</v>
      </c>
    </row>
    <row r="550" spans="2:3">
      <c r="B550" s="412" t="s">
        <v>807</v>
      </c>
      <c r="C550" s="1110">
        <v>49.889539999999997</v>
      </c>
    </row>
    <row r="551" spans="2:3">
      <c r="B551" s="412" t="s">
        <v>808</v>
      </c>
      <c r="C551" s="1110">
        <v>49.889539999999997</v>
      </c>
    </row>
    <row r="552" spans="2:3">
      <c r="B552" s="412" t="s">
        <v>809</v>
      </c>
      <c r="C552" s="1110">
        <v>49.889539999999997</v>
      </c>
    </row>
    <row r="553" spans="2:3">
      <c r="B553" s="412" t="s">
        <v>810</v>
      </c>
      <c r="C553" s="1110">
        <v>49.889539999999997</v>
      </c>
    </row>
    <row r="554" spans="2:3">
      <c r="B554" s="412" t="s">
        <v>811</v>
      </c>
      <c r="C554" s="1110">
        <v>49.765028749750741</v>
      </c>
    </row>
    <row r="555" spans="2:3">
      <c r="B555" s="412" t="s">
        <v>812</v>
      </c>
      <c r="C555" s="1110">
        <v>49.798537963052205</v>
      </c>
    </row>
    <row r="556" spans="2:3">
      <c r="B556" s="412" t="s">
        <v>813</v>
      </c>
      <c r="C556" s="1110">
        <v>49.638325951219507</v>
      </c>
    </row>
    <row r="557" spans="2:3">
      <c r="B557" s="412" t="s">
        <v>814</v>
      </c>
      <c r="C557" s="1110">
        <v>49.889539999999997</v>
      </c>
    </row>
    <row r="558" spans="2:3">
      <c r="B558" s="412" t="s">
        <v>815</v>
      </c>
      <c r="C558" s="1110">
        <v>25.526302696389092</v>
      </c>
    </row>
    <row r="559" spans="2:3">
      <c r="B559" s="412" t="s">
        <v>816</v>
      </c>
      <c r="C559" s="1110">
        <v>25.427572000000001</v>
      </c>
    </row>
    <row r="560" spans="2:3">
      <c r="B560" s="412" t="s">
        <v>817</v>
      </c>
      <c r="C560" s="1110">
        <v>40.278913105331597</v>
      </c>
    </row>
    <row r="561" spans="2:3">
      <c r="B561" s="412" t="s">
        <v>818</v>
      </c>
      <c r="C561" s="1110">
        <v>22.031456498346195</v>
      </c>
    </row>
    <row r="562" spans="2:3">
      <c r="B562" s="412" t="s">
        <v>819</v>
      </c>
      <c r="C562" s="1110">
        <v>27.841581999999999</v>
      </c>
    </row>
    <row r="563" spans="2:3">
      <c r="B563" s="412" t="s">
        <v>820</v>
      </c>
      <c r="C563" s="1110">
        <v>28.640454665706056</v>
      </c>
    </row>
    <row r="564" spans="2:3">
      <c r="B564" s="412" t="s">
        <v>821</v>
      </c>
      <c r="C564" s="1110">
        <v>40.2833129047619</v>
      </c>
    </row>
    <row r="565" spans="2:3">
      <c r="B565" s="412" t="s">
        <v>822</v>
      </c>
      <c r="C565" s="1110">
        <v>25.378545748344376</v>
      </c>
    </row>
    <row r="566" spans="2:3">
      <c r="B566" s="412" t="s">
        <v>823</v>
      </c>
      <c r="C566" s="1110">
        <v>25.757910210526319</v>
      </c>
    </row>
    <row r="567" spans="2:3">
      <c r="B567" s="412" t="s">
        <v>824</v>
      </c>
      <c r="C567" s="1110">
        <v>25.51227410526316</v>
      </c>
    </row>
    <row r="568" spans="2:3">
      <c r="B568" s="412" t="s">
        <v>825</v>
      </c>
      <c r="C568" s="1110">
        <v>25.427572000000001</v>
      </c>
    </row>
    <row r="569" spans="2:3">
      <c r="B569" s="412" t="s">
        <v>826</v>
      </c>
      <c r="C569" s="1110">
        <v>47.153661999999997</v>
      </c>
    </row>
    <row r="570" spans="2:3">
      <c r="B570" s="412" t="s">
        <v>827</v>
      </c>
      <c r="C570" s="1110">
        <v>47.153661999999997</v>
      </c>
    </row>
    <row r="571" spans="2:3">
      <c r="B571" s="412" t="s">
        <v>828</v>
      </c>
      <c r="C571" s="1110">
        <v>47.153661999999997</v>
      </c>
    </row>
    <row r="572" spans="2:3">
      <c r="B572" s="412" t="s">
        <v>829</v>
      </c>
      <c r="C572" s="1110">
        <v>47.153661999999997</v>
      </c>
    </row>
    <row r="573" spans="2:3">
      <c r="B573" s="412" t="s">
        <v>830</v>
      </c>
      <c r="C573" s="1110">
        <v>47.153661999999997</v>
      </c>
    </row>
    <row r="574" spans="2:3">
      <c r="B574" s="412" t="s">
        <v>831</v>
      </c>
      <c r="C574" s="1110">
        <v>47.153661999999997</v>
      </c>
    </row>
    <row r="575" spans="2:3">
      <c r="B575" s="412" t="s">
        <v>832</v>
      </c>
      <c r="C575" s="1110">
        <v>47.153661999999997</v>
      </c>
    </row>
    <row r="576" spans="2:3">
      <c r="B576" s="412" t="s">
        <v>833</v>
      </c>
      <c r="C576" s="1110">
        <v>47.153661999999997</v>
      </c>
    </row>
    <row r="577" spans="2:3">
      <c r="B577" s="412" t="s">
        <v>834</v>
      </c>
      <c r="C577" s="1110">
        <v>47.153661999999997</v>
      </c>
    </row>
    <row r="578" spans="2:3">
      <c r="B578" s="412" t="s">
        <v>835</v>
      </c>
      <c r="C578" s="1110">
        <v>47.153661999999997</v>
      </c>
    </row>
    <row r="579" spans="2:3">
      <c r="B579" s="412" t="s">
        <v>836</v>
      </c>
      <c r="C579" s="1110">
        <v>47.153661999999997</v>
      </c>
    </row>
    <row r="580" spans="2:3">
      <c r="B580" s="412" t="s">
        <v>837</v>
      </c>
      <c r="C580" s="1110">
        <v>47.153661999999997</v>
      </c>
    </row>
    <row r="581" spans="2:3">
      <c r="B581" s="412" t="s">
        <v>838</v>
      </c>
      <c r="C581" s="1110">
        <v>47.153661999999997</v>
      </c>
    </row>
    <row r="582" spans="2:3">
      <c r="B582" s="412" t="s">
        <v>839</v>
      </c>
      <c r="C582" s="1110">
        <v>47.153661999999997</v>
      </c>
    </row>
    <row r="583" spans="2:3">
      <c r="B583" s="412" t="s">
        <v>840</v>
      </c>
      <c r="C583" s="1110">
        <v>47.153661999999997</v>
      </c>
    </row>
    <row r="584" spans="2:3">
      <c r="B584" s="412" t="s">
        <v>841</v>
      </c>
      <c r="C584" s="1110">
        <v>47.153661999999997</v>
      </c>
    </row>
    <row r="585" spans="2:3">
      <c r="B585" s="412" t="s">
        <v>842</v>
      </c>
      <c r="C585" s="1110">
        <v>47.153661999999997</v>
      </c>
    </row>
    <row r="586" spans="2:3">
      <c r="B586" s="412" t="s">
        <v>843</v>
      </c>
      <c r="C586" s="1110">
        <v>47.153661999999997</v>
      </c>
    </row>
    <row r="587" spans="2:3">
      <c r="B587" s="412" t="s">
        <v>844</v>
      </c>
      <c r="C587" s="1110">
        <v>47.153661999999997</v>
      </c>
    </row>
    <row r="588" spans="2:3">
      <c r="B588" s="412" t="s">
        <v>845</v>
      </c>
      <c r="C588" s="1110">
        <v>47.153661999999997</v>
      </c>
    </row>
    <row r="589" spans="2:3">
      <c r="B589" s="412" t="s">
        <v>846</v>
      </c>
      <c r="C589" s="1110">
        <v>47.153661999999997</v>
      </c>
    </row>
    <row r="590" spans="2:3">
      <c r="B590" s="412" t="s">
        <v>847</v>
      </c>
      <c r="C590" s="1110">
        <v>47.153661999999997</v>
      </c>
    </row>
    <row r="591" spans="2:3">
      <c r="B591" s="412" t="s">
        <v>848</v>
      </c>
      <c r="C591" s="1110">
        <v>40.877236000000003</v>
      </c>
    </row>
    <row r="592" spans="2:3">
      <c r="B592" s="412" t="s">
        <v>849</v>
      </c>
      <c r="C592" s="1110">
        <v>48.7719605526839</v>
      </c>
    </row>
    <row r="593" spans="2:3">
      <c r="B593" s="412" t="s">
        <v>850</v>
      </c>
      <c r="C593" s="1110">
        <v>48.764453490417139</v>
      </c>
    </row>
    <row r="594" spans="2:3">
      <c r="B594" s="412" t="s">
        <v>851</v>
      </c>
      <c r="C594" s="1110">
        <v>48.763002</v>
      </c>
    </row>
    <row r="595" spans="2:3">
      <c r="B595" s="412" t="s">
        <v>852</v>
      </c>
      <c r="C595" s="1110">
        <v>50.043010394202895</v>
      </c>
    </row>
    <row r="596" spans="2:3">
      <c r="B596" s="412" t="s">
        <v>853</v>
      </c>
      <c r="C596" s="1110">
        <v>40.934983676159483</v>
      </c>
    </row>
    <row r="597" spans="2:3">
      <c r="B597" s="412" t="s">
        <v>854</v>
      </c>
      <c r="C597" s="1110">
        <v>48.763002</v>
      </c>
    </row>
    <row r="598" spans="2:3">
      <c r="B598" s="412" t="s">
        <v>855</v>
      </c>
      <c r="C598" s="1110">
        <v>48.763002</v>
      </c>
    </row>
    <row r="599" spans="2:3">
      <c r="B599" s="412" t="s">
        <v>856</v>
      </c>
      <c r="C599" s="1110">
        <v>48.805141825436415</v>
      </c>
    </row>
    <row r="600" spans="2:3">
      <c r="B600" s="412" t="s">
        <v>857</v>
      </c>
      <c r="C600" s="1110">
        <v>41.324696561532797</v>
      </c>
    </row>
    <row r="601" spans="2:3">
      <c r="B601" s="412" t="s">
        <v>858</v>
      </c>
      <c r="C601" s="1110">
        <v>48.763002</v>
      </c>
    </row>
    <row r="602" spans="2:3">
      <c r="B602" s="412" t="s">
        <v>859</v>
      </c>
      <c r="C602" s="1110">
        <v>48.763002</v>
      </c>
    </row>
    <row r="603" spans="2:3">
      <c r="B603" s="412" t="s">
        <v>860</v>
      </c>
      <c r="C603" s="1110">
        <v>48.763002</v>
      </c>
    </row>
    <row r="604" spans="2:3">
      <c r="B604" s="412" t="s">
        <v>861</v>
      </c>
      <c r="C604" s="1110">
        <v>48.763002</v>
      </c>
    </row>
    <row r="605" spans="2:3">
      <c r="B605" s="412" t="s">
        <v>862</v>
      </c>
      <c r="C605" s="1110">
        <v>48.763002</v>
      </c>
    </row>
    <row r="606" spans="2:3">
      <c r="B606" s="412" t="s">
        <v>863</v>
      </c>
      <c r="C606" s="1110">
        <v>48.763002</v>
      </c>
    </row>
    <row r="607" spans="2:3">
      <c r="B607" s="412" t="s">
        <v>864</v>
      </c>
      <c r="C607" s="1110">
        <v>48.835910141239175</v>
      </c>
    </row>
    <row r="608" spans="2:3">
      <c r="B608" s="412" t="s">
        <v>865</v>
      </c>
      <c r="C608" s="1110">
        <v>40.985649622754494</v>
      </c>
    </row>
    <row r="609" spans="2:3">
      <c r="B609" s="412" t="s">
        <v>866</v>
      </c>
      <c r="C609" s="1110">
        <v>48.763002</v>
      </c>
    </row>
    <row r="610" spans="2:3">
      <c r="B610" s="412" t="s">
        <v>867</v>
      </c>
      <c r="C610" s="1110">
        <v>40.999886940248025</v>
      </c>
    </row>
    <row r="611" spans="2:3">
      <c r="B611" s="412" t="s">
        <v>868</v>
      </c>
      <c r="C611" s="1110">
        <v>41.088085358288772</v>
      </c>
    </row>
    <row r="612" spans="2:3">
      <c r="B612" s="412" t="s">
        <v>869</v>
      </c>
      <c r="C612" s="1110">
        <v>48.622493375174344</v>
      </c>
    </row>
    <row r="613" spans="2:3">
      <c r="B613" s="412" t="s">
        <v>870</v>
      </c>
      <c r="C613" s="1110">
        <v>48.752538150845254</v>
      </c>
    </row>
    <row r="614" spans="2:3">
      <c r="B614" s="412" t="s">
        <v>871</v>
      </c>
      <c r="C614" s="1110">
        <v>48.962579726443771</v>
      </c>
    </row>
    <row r="615" spans="2:3">
      <c r="B615" s="412" t="s">
        <v>872</v>
      </c>
      <c r="C615" s="1110">
        <v>48.441133999999998</v>
      </c>
    </row>
    <row r="616" spans="2:3">
      <c r="B616" s="412" t="s">
        <v>873</v>
      </c>
      <c r="C616" s="1110">
        <v>48.375446653061225</v>
      </c>
    </row>
    <row r="617" spans="2:3">
      <c r="B617" s="412" t="s">
        <v>874</v>
      </c>
      <c r="C617" s="1110">
        <v>48.441133999999998</v>
      </c>
    </row>
    <row r="618" spans="2:3">
      <c r="B618" s="412" t="s">
        <v>875</v>
      </c>
      <c r="C618" s="1110">
        <v>48.422017981725887</v>
      </c>
    </row>
    <row r="619" spans="2:3">
      <c r="B619" s="412" t="s">
        <v>876</v>
      </c>
      <c r="C619" s="1110">
        <v>48.418166373253491</v>
      </c>
    </row>
    <row r="620" spans="2:3">
      <c r="B620" s="412" t="s">
        <v>877</v>
      </c>
      <c r="C620" s="1110">
        <v>48.721712810495625</v>
      </c>
    </row>
    <row r="621" spans="2:3">
      <c r="B621" s="412" t="s">
        <v>878</v>
      </c>
      <c r="C621" s="1110">
        <v>48.419451275449099</v>
      </c>
    </row>
    <row r="622" spans="2:3">
      <c r="B622" s="412" t="s">
        <v>879</v>
      </c>
      <c r="C622" s="1110">
        <v>48.441133999999998</v>
      </c>
    </row>
    <row r="623" spans="2:3">
      <c r="B623" s="412" t="s">
        <v>880</v>
      </c>
      <c r="C623" s="1110">
        <v>48.06858512707182</v>
      </c>
    </row>
    <row r="624" spans="2:3">
      <c r="B624" s="412" t="s">
        <v>881</v>
      </c>
      <c r="C624" s="1110">
        <v>47.966974040572794</v>
      </c>
    </row>
    <row r="625" spans="2:3">
      <c r="B625" s="412" t="s">
        <v>882</v>
      </c>
      <c r="C625" s="1110">
        <v>47.958331999999999</v>
      </c>
    </row>
    <row r="626" spans="2:3">
      <c r="B626" s="412" t="s">
        <v>883</v>
      </c>
      <c r="C626" s="1110">
        <v>47.965412505957836</v>
      </c>
    </row>
    <row r="627" spans="2:3" ht="17" thickBot="1">
      <c r="B627" s="413" t="s">
        <v>884</v>
      </c>
      <c r="C627" s="655">
        <v>48.441133999999998</v>
      </c>
    </row>
    <row r="628" spans="2:3">
      <c r="B628" s="415" t="s">
        <v>885</v>
      </c>
      <c r="C628" s="1109">
        <v>44.100816233974363</v>
      </c>
    </row>
    <row r="629" spans="2:3">
      <c r="B629" s="412" t="s">
        <v>886</v>
      </c>
      <c r="C629" s="1110">
        <v>47.153661999999997</v>
      </c>
    </row>
    <row r="630" spans="2:3">
      <c r="B630" s="412" t="s">
        <v>887</v>
      </c>
      <c r="C630" s="1110">
        <v>47.153661999999997</v>
      </c>
    </row>
    <row r="631" spans="2:3">
      <c r="B631" s="412" t="s">
        <v>888</v>
      </c>
      <c r="C631" s="1110">
        <v>47.153661999999997</v>
      </c>
    </row>
    <row r="632" spans="2:3">
      <c r="B632" s="412" t="s">
        <v>889</v>
      </c>
      <c r="C632" s="1110">
        <v>47.153661999999997</v>
      </c>
    </row>
    <row r="633" spans="2:3">
      <c r="B633" s="412" t="s">
        <v>890</v>
      </c>
      <c r="C633" s="1110">
        <v>32.886062935672513</v>
      </c>
    </row>
    <row r="634" spans="2:3">
      <c r="B634" s="412" t="s">
        <v>891</v>
      </c>
      <c r="C634" s="1110">
        <v>32.746901007874015</v>
      </c>
    </row>
    <row r="635" spans="2:3">
      <c r="B635" s="412" t="s">
        <v>892</v>
      </c>
      <c r="C635" s="1110">
        <v>32.824269543362831</v>
      </c>
    </row>
    <row r="636" spans="2:3">
      <c r="B636" s="412" t="s">
        <v>893</v>
      </c>
      <c r="C636" s="1110">
        <v>33.199900280802296</v>
      </c>
    </row>
    <row r="637" spans="2:3">
      <c r="B637" s="412" t="s">
        <v>894</v>
      </c>
      <c r="C637" s="1110">
        <v>32.830536000000002</v>
      </c>
    </row>
    <row r="638" spans="2:3">
      <c r="B638" s="412" t="s">
        <v>895</v>
      </c>
      <c r="C638" s="1110">
        <v>47.153661999999997</v>
      </c>
    </row>
    <row r="639" spans="2:3">
      <c r="B639" s="412" t="s">
        <v>896</v>
      </c>
      <c r="C639" s="1110">
        <v>47.153661999999997</v>
      </c>
    </row>
    <row r="640" spans="2:3">
      <c r="B640" s="412" t="s">
        <v>897</v>
      </c>
      <c r="C640" s="1110">
        <v>47.153661999999997</v>
      </c>
    </row>
    <row r="641" spans="2:3">
      <c r="B641" s="412" t="s">
        <v>898</v>
      </c>
      <c r="C641" s="1110">
        <v>35.499845845454544</v>
      </c>
    </row>
    <row r="642" spans="2:3">
      <c r="B642" s="412" t="s">
        <v>899</v>
      </c>
      <c r="C642" s="1110">
        <v>32.830536000000002</v>
      </c>
    </row>
    <row r="643" spans="2:3">
      <c r="B643" s="412" t="s">
        <v>900</v>
      </c>
      <c r="C643" s="1110">
        <v>32.830536000000002</v>
      </c>
    </row>
    <row r="644" spans="2:3">
      <c r="B644" s="412" t="s">
        <v>901</v>
      </c>
      <c r="C644" s="1110">
        <v>32.830536000000002</v>
      </c>
    </row>
    <row r="645" spans="2:3">
      <c r="B645" s="412" t="s">
        <v>902</v>
      </c>
      <c r="C645" s="1110">
        <v>47.153661999999997</v>
      </c>
    </row>
    <row r="646" spans="2:3">
      <c r="B646" s="412" t="s">
        <v>903</v>
      </c>
      <c r="C646" s="1110">
        <v>37.089023564957849</v>
      </c>
    </row>
    <row r="647" spans="2:3">
      <c r="B647" s="412" t="s">
        <v>904</v>
      </c>
      <c r="C647" s="1110">
        <v>37.089023564957849</v>
      </c>
    </row>
    <row r="648" spans="2:3">
      <c r="B648" s="412" t="s">
        <v>905</v>
      </c>
      <c r="C648" s="1110">
        <v>37.089023564957849</v>
      </c>
    </row>
    <row r="649" spans="2:3">
      <c r="B649" s="412" t="s">
        <v>906</v>
      </c>
      <c r="C649" s="1110">
        <v>37.089023564957849</v>
      </c>
    </row>
    <row r="650" spans="2:3">
      <c r="B650" s="412" t="s">
        <v>907</v>
      </c>
      <c r="C650" s="1110">
        <v>37.089023564957849</v>
      </c>
    </row>
    <row r="651" spans="2:3">
      <c r="B651" s="412" t="s">
        <v>908</v>
      </c>
      <c r="C651" s="1110">
        <v>37.089023564957849</v>
      </c>
    </row>
    <row r="652" spans="2:3">
      <c r="B652" s="412" t="s">
        <v>909</v>
      </c>
      <c r="C652" s="1110">
        <v>37.089023564957849</v>
      </c>
    </row>
    <row r="653" spans="2:3">
      <c r="B653" s="412" t="s">
        <v>910</v>
      </c>
      <c r="C653" s="1110">
        <v>37.089023564957849</v>
      </c>
    </row>
    <row r="654" spans="2:3">
      <c r="B654" s="412" t="s">
        <v>911</v>
      </c>
      <c r="C654" s="1110">
        <v>37.089023564957849</v>
      </c>
    </row>
    <row r="655" spans="2:3">
      <c r="B655" s="412" t="s">
        <v>912</v>
      </c>
      <c r="C655" s="1110">
        <v>37.089023564957849</v>
      </c>
    </row>
    <row r="656" spans="2:3">
      <c r="B656" s="412" t="s">
        <v>913</v>
      </c>
      <c r="C656" s="1110">
        <v>37.089023564957849</v>
      </c>
    </row>
    <row r="657" spans="2:3">
      <c r="B657" s="412" t="s">
        <v>914</v>
      </c>
      <c r="C657" s="1110">
        <v>32.692967232592594</v>
      </c>
    </row>
    <row r="658" spans="2:3">
      <c r="B658" s="412" t="s">
        <v>915</v>
      </c>
      <c r="C658" s="1110">
        <v>48.529750558505405</v>
      </c>
    </row>
    <row r="659" spans="2:3">
      <c r="B659" s="412" t="s">
        <v>916</v>
      </c>
      <c r="C659" s="1110">
        <v>49.442242426763109</v>
      </c>
    </row>
    <row r="660" spans="2:3">
      <c r="B660" s="412" t="s">
        <v>917</v>
      </c>
      <c r="C660" s="1110">
        <v>46.351231980728059</v>
      </c>
    </row>
    <row r="661" spans="2:3">
      <c r="B661" s="412" t="s">
        <v>918</v>
      </c>
      <c r="C661" s="1110">
        <v>46.348992000000003</v>
      </c>
    </row>
    <row r="662" spans="2:3">
      <c r="B662" s="412" t="s">
        <v>919</v>
      </c>
      <c r="C662" s="1110">
        <v>46.78070384126984</v>
      </c>
    </row>
    <row r="663" spans="2:3">
      <c r="B663" s="412" t="s">
        <v>920</v>
      </c>
      <c r="C663" s="1110">
        <v>33.766752052173914</v>
      </c>
    </row>
    <row r="664" spans="2:3">
      <c r="B664" s="412" t="s">
        <v>921</v>
      </c>
      <c r="C664" s="1110">
        <v>33.503601803588289</v>
      </c>
    </row>
    <row r="665" spans="2:3">
      <c r="B665" s="412" t="s">
        <v>922</v>
      </c>
      <c r="C665" s="1110">
        <v>33.282939355555563</v>
      </c>
    </row>
    <row r="666" spans="2:3">
      <c r="B666" s="412" t="s">
        <v>923</v>
      </c>
      <c r="C666" s="1110">
        <v>34.828390599825632</v>
      </c>
    </row>
    <row r="667" spans="2:3">
      <c r="B667" s="412" t="s">
        <v>924</v>
      </c>
      <c r="C667" s="1110">
        <v>34.400623804878045</v>
      </c>
    </row>
    <row r="668" spans="2:3">
      <c r="B668" s="412" t="s">
        <v>925</v>
      </c>
      <c r="C668" s="1110">
        <v>48.441133999999998</v>
      </c>
    </row>
    <row r="669" spans="2:3">
      <c r="B669" s="412" t="s">
        <v>926</v>
      </c>
      <c r="C669" s="1110">
        <v>48.441133999999998</v>
      </c>
    </row>
    <row r="670" spans="2:3">
      <c r="B670" s="412" t="s">
        <v>927</v>
      </c>
      <c r="C670" s="1110">
        <v>48.441133999999998</v>
      </c>
    </row>
    <row r="671" spans="2:3">
      <c r="B671" s="412" t="s">
        <v>928</v>
      </c>
      <c r="C671" s="1110">
        <v>48.440860999151823</v>
      </c>
    </row>
    <row r="672" spans="2:3">
      <c r="B672" s="412" t="s">
        <v>929</v>
      </c>
      <c r="C672" s="1110">
        <v>48.441133999999998</v>
      </c>
    </row>
    <row r="673" spans="2:3">
      <c r="B673" s="412" t="s">
        <v>930</v>
      </c>
      <c r="C673" s="1110">
        <v>48.126337667110512</v>
      </c>
    </row>
    <row r="674" spans="2:3">
      <c r="B674" s="412" t="s">
        <v>931</v>
      </c>
      <c r="C674" s="1110">
        <v>48.441133999999998</v>
      </c>
    </row>
    <row r="675" spans="2:3">
      <c r="B675" s="412" t="s">
        <v>932</v>
      </c>
      <c r="C675" s="1110">
        <v>48.44000066197183</v>
      </c>
    </row>
    <row r="676" spans="2:3">
      <c r="B676" s="412" t="s">
        <v>933</v>
      </c>
      <c r="C676" s="1110">
        <v>48.381767235555557</v>
      </c>
    </row>
    <row r="677" spans="2:3">
      <c r="B677" s="412" t="s">
        <v>934</v>
      </c>
      <c r="C677" s="1110">
        <v>41.639923217391299</v>
      </c>
    </row>
    <row r="678" spans="2:3">
      <c r="B678" s="412" t="s">
        <v>935</v>
      </c>
      <c r="C678" s="1110">
        <v>49.75673038834951</v>
      </c>
    </row>
    <row r="679" spans="2:3">
      <c r="B679" s="412" t="s">
        <v>936</v>
      </c>
      <c r="C679" s="1110">
        <v>48.441133999999998</v>
      </c>
    </row>
    <row r="680" spans="2:3">
      <c r="B680" s="412" t="s">
        <v>937</v>
      </c>
      <c r="C680" s="1110">
        <v>32.669601999999998</v>
      </c>
    </row>
    <row r="681" spans="2:3">
      <c r="B681" s="412" t="s">
        <v>938</v>
      </c>
      <c r="C681" s="1110">
        <v>37.089023564957849</v>
      </c>
    </row>
    <row r="682" spans="2:3">
      <c r="B682" s="412" t="s">
        <v>939</v>
      </c>
      <c r="C682" s="1110">
        <v>37.089023564957849</v>
      </c>
    </row>
    <row r="683" spans="2:3">
      <c r="B683" s="412" t="s">
        <v>940</v>
      </c>
      <c r="C683" s="1110">
        <v>37.089023564957849</v>
      </c>
    </row>
    <row r="684" spans="2:3">
      <c r="B684" s="412" t="s">
        <v>941</v>
      </c>
      <c r="C684" s="1110">
        <v>37.089023564957849</v>
      </c>
    </row>
    <row r="685" spans="2:3">
      <c r="B685" s="412" t="s">
        <v>942</v>
      </c>
      <c r="C685" s="1110">
        <v>37.089023564957849</v>
      </c>
    </row>
    <row r="686" spans="2:3">
      <c r="B686" s="412" t="s">
        <v>943</v>
      </c>
      <c r="C686" s="1110">
        <v>37.089023564957849</v>
      </c>
    </row>
    <row r="687" spans="2:3">
      <c r="B687" s="412" t="s">
        <v>944</v>
      </c>
      <c r="C687" s="1110">
        <v>37.579154736217781</v>
      </c>
    </row>
    <row r="688" spans="2:3">
      <c r="B688" s="412" t="s">
        <v>945</v>
      </c>
      <c r="C688" s="1110">
        <v>37.089023564957849</v>
      </c>
    </row>
    <row r="689" spans="2:3">
      <c r="B689" s="412" t="s">
        <v>946</v>
      </c>
      <c r="C689" s="1110">
        <v>37.089023564957849</v>
      </c>
    </row>
    <row r="690" spans="2:3">
      <c r="B690" s="412" t="s">
        <v>947</v>
      </c>
      <c r="C690" s="1110">
        <v>37.089023564957849</v>
      </c>
    </row>
    <row r="691" spans="2:3">
      <c r="B691" s="412" t="s">
        <v>948</v>
      </c>
      <c r="C691" s="1110">
        <v>37.089023564957849</v>
      </c>
    </row>
    <row r="692" spans="2:3">
      <c r="B692" s="412" t="s">
        <v>949</v>
      </c>
      <c r="C692" s="1110">
        <v>37.089023564957849</v>
      </c>
    </row>
    <row r="693" spans="2:3">
      <c r="B693" s="412" t="s">
        <v>950</v>
      </c>
      <c r="C693" s="1110">
        <v>37.089023564957849</v>
      </c>
    </row>
    <row r="694" spans="2:3">
      <c r="B694" s="412" t="s">
        <v>951</v>
      </c>
      <c r="C694" s="1110">
        <v>37.089023564957849</v>
      </c>
    </row>
    <row r="695" spans="2:3">
      <c r="B695" s="412" t="s">
        <v>952</v>
      </c>
      <c r="C695" s="1110">
        <v>37.089023564957849</v>
      </c>
    </row>
    <row r="696" spans="2:3">
      <c r="B696" s="412" t="s">
        <v>953</v>
      </c>
      <c r="C696" s="1110">
        <v>54.556626000000001</v>
      </c>
    </row>
    <row r="697" spans="2:3">
      <c r="B697" s="412" t="s">
        <v>954</v>
      </c>
      <c r="C697" s="1110">
        <v>54.428521617689015</v>
      </c>
    </row>
    <row r="698" spans="2:3">
      <c r="B698" s="412" t="s">
        <v>955</v>
      </c>
      <c r="C698" s="1110">
        <v>47.679953997389035</v>
      </c>
    </row>
    <row r="699" spans="2:3">
      <c r="B699" s="412" t="s">
        <v>956</v>
      </c>
      <c r="C699" s="1110">
        <v>48.711787644198886</v>
      </c>
    </row>
    <row r="700" spans="2:3">
      <c r="B700" s="412" t="s">
        <v>957</v>
      </c>
      <c r="C700" s="1110">
        <v>47.502403229601512</v>
      </c>
    </row>
    <row r="701" spans="2:3">
      <c r="B701" s="412" t="s">
        <v>958</v>
      </c>
      <c r="C701" s="1110">
        <v>54.556626000000001</v>
      </c>
    </row>
    <row r="702" spans="2:3">
      <c r="B702" s="412" t="s">
        <v>959</v>
      </c>
      <c r="C702" s="1110">
        <v>54.556626000000001</v>
      </c>
    </row>
    <row r="703" spans="2:3">
      <c r="B703" s="412" t="s">
        <v>960</v>
      </c>
      <c r="C703" s="1110">
        <v>54.812969121765597</v>
      </c>
    </row>
    <row r="704" spans="2:3">
      <c r="B704" s="412" t="s">
        <v>961</v>
      </c>
      <c r="C704" s="1110">
        <v>54.519115067669169</v>
      </c>
    </row>
    <row r="705" spans="2:3">
      <c r="B705" s="412" t="s">
        <v>962</v>
      </c>
      <c r="C705" s="1110">
        <v>54.556626000000001</v>
      </c>
    </row>
    <row r="706" spans="2:3">
      <c r="B706" s="412" t="s">
        <v>963</v>
      </c>
      <c r="C706" s="1110">
        <v>44.578718000000002</v>
      </c>
    </row>
    <row r="707" spans="2:3">
      <c r="B707" s="412" t="s">
        <v>964</v>
      </c>
      <c r="C707" s="1110">
        <v>54.556626000000001</v>
      </c>
    </row>
    <row r="708" spans="2:3">
      <c r="B708" s="412" t="s">
        <v>965</v>
      </c>
      <c r="C708" s="1110">
        <v>45.730527577444683</v>
      </c>
    </row>
    <row r="709" spans="2:3">
      <c r="B709" s="412" t="s">
        <v>966</v>
      </c>
      <c r="C709" s="1110">
        <v>55.039428000000001</v>
      </c>
    </row>
    <row r="710" spans="2:3">
      <c r="B710" s="412" t="s">
        <v>967</v>
      </c>
      <c r="C710" s="1110">
        <v>55.004179181415928</v>
      </c>
    </row>
    <row r="711" spans="2:3">
      <c r="B711" s="412" t="s">
        <v>968</v>
      </c>
      <c r="C711" s="1110">
        <v>54.553748225584592</v>
      </c>
    </row>
    <row r="712" spans="2:3">
      <c r="B712" s="412" t="s">
        <v>969</v>
      </c>
      <c r="C712" s="1110">
        <v>54.556626000000001</v>
      </c>
    </row>
    <row r="713" spans="2:3">
      <c r="B713" s="412" t="s">
        <v>970</v>
      </c>
      <c r="C713" s="1110">
        <v>54.556626000000001</v>
      </c>
    </row>
    <row r="714" spans="2:3">
      <c r="B714" s="412" t="s">
        <v>971</v>
      </c>
      <c r="C714" s="1110">
        <v>54.556626000000001</v>
      </c>
    </row>
    <row r="715" spans="2:3">
      <c r="B715" s="412" t="s">
        <v>972</v>
      </c>
      <c r="C715" s="1110">
        <v>54.556626000000001</v>
      </c>
    </row>
    <row r="716" spans="2:3">
      <c r="B716" s="412" t="s">
        <v>973</v>
      </c>
      <c r="C716" s="1110">
        <v>54.556626000000001</v>
      </c>
    </row>
    <row r="717" spans="2:3">
      <c r="B717" s="412" t="s">
        <v>974</v>
      </c>
      <c r="C717" s="1110">
        <v>49.123535961038968</v>
      </c>
    </row>
    <row r="718" spans="2:3">
      <c r="B718" s="412" t="s">
        <v>975</v>
      </c>
      <c r="C718" s="1110">
        <v>45.705255999999999</v>
      </c>
    </row>
    <row r="719" spans="2:3">
      <c r="B719" s="412" t="s">
        <v>976</v>
      </c>
      <c r="C719" s="1110">
        <v>54.497616866666668</v>
      </c>
    </row>
    <row r="720" spans="2:3">
      <c r="B720" s="412" t="s">
        <v>977</v>
      </c>
      <c r="C720" s="1110">
        <v>53.771066912500004</v>
      </c>
    </row>
    <row r="721" spans="2:3">
      <c r="B721" s="412" t="s">
        <v>978</v>
      </c>
      <c r="C721" s="1110">
        <v>55.039428000000001</v>
      </c>
    </row>
    <row r="722" spans="2:3">
      <c r="B722" s="412" t="s">
        <v>979</v>
      </c>
      <c r="C722" s="1110">
        <v>55.039428000000001</v>
      </c>
    </row>
    <row r="723" spans="2:3">
      <c r="B723" s="412" t="s">
        <v>980</v>
      </c>
      <c r="C723" s="1110">
        <v>55.039428000000001</v>
      </c>
    </row>
    <row r="724" spans="2:3">
      <c r="B724" s="412" t="s">
        <v>981</v>
      </c>
      <c r="C724" s="1110">
        <v>55.039428000000001</v>
      </c>
    </row>
    <row r="725" spans="2:3">
      <c r="B725" s="412" t="s">
        <v>982</v>
      </c>
      <c r="C725" s="1110">
        <v>45.705255999999999</v>
      </c>
    </row>
    <row r="726" spans="2:3">
      <c r="B726" s="412" t="s">
        <v>983</v>
      </c>
      <c r="C726" s="1110">
        <v>44.417783999999997</v>
      </c>
    </row>
    <row r="727" spans="2:3">
      <c r="B727" s="412" t="s">
        <v>984</v>
      </c>
      <c r="C727" s="1110">
        <v>47.076413679999995</v>
      </c>
    </row>
    <row r="728" spans="2:3">
      <c r="B728" s="412" t="s">
        <v>985</v>
      </c>
      <c r="C728" s="1110">
        <v>45.550503843790004</v>
      </c>
    </row>
    <row r="729" spans="2:3">
      <c r="B729" s="412" t="s">
        <v>986</v>
      </c>
      <c r="C729" s="1110">
        <v>44.417783999999997</v>
      </c>
    </row>
    <row r="730" spans="2:3">
      <c r="B730" s="412" t="s">
        <v>987</v>
      </c>
      <c r="C730" s="1110">
        <v>57.578976547040511</v>
      </c>
    </row>
    <row r="731" spans="2:3">
      <c r="B731" s="412" t="s">
        <v>988</v>
      </c>
      <c r="C731" s="1110">
        <v>59.384645999999996</v>
      </c>
    </row>
    <row r="732" spans="2:3">
      <c r="B732" s="412" t="s">
        <v>989</v>
      </c>
      <c r="C732" s="1110">
        <v>59.384645999999996</v>
      </c>
    </row>
    <row r="733" spans="2:3">
      <c r="B733" s="412" t="s">
        <v>990</v>
      </c>
      <c r="C733" s="1110">
        <v>59.375358098635893</v>
      </c>
    </row>
    <row r="734" spans="2:3">
      <c r="B734" s="412" t="s">
        <v>991</v>
      </c>
      <c r="C734" s="1110">
        <v>59.384645999999996</v>
      </c>
    </row>
    <row r="735" spans="2:3">
      <c r="B735" s="412" t="s">
        <v>992</v>
      </c>
      <c r="C735" s="1110">
        <v>59.384645999999996</v>
      </c>
    </row>
    <row r="736" spans="2:3">
      <c r="B736" s="412" t="s">
        <v>993</v>
      </c>
      <c r="C736" s="1110">
        <v>44.417783999999997</v>
      </c>
    </row>
    <row r="737" spans="2:3">
      <c r="B737" s="412" t="s">
        <v>994</v>
      </c>
      <c r="C737" s="1110">
        <v>59.352507894099851</v>
      </c>
    </row>
    <row r="738" spans="2:3">
      <c r="B738" s="412" t="s">
        <v>995</v>
      </c>
      <c r="C738" s="1110">
        <v>57.787817637195133</v>
      </c>
    </row>
    <row r="739" spans="2:3">
      <c r="B739" s="412" t="s">
        <v>996</v>
      </c>
      <c r="C739" s="1110">
        <v>48.119266000000003</v>
      </c>
    </row>
    <row r="740" spans="2:3">
      <c r="B740" s="412" t="s">
        <v>997</v>
      </c>
      <c r="C740" s="1110">
        <v>44.417783999999997</v>
      </c>
    </row>
    <row r="741" spans="2:3">
      <c r="B741" s="412" t="s">
        <v>998</v>
      </c>
      <c r="C741" s="1110">
        <v>40.716301999999999</v>
      </c>
    </row>
    <row r="742" spans="2:3">
      <c r="B742" s="412" t="s">
        <v>999</v>
      </c>
      <c r="C742" s="1110">
        <v>40.716301999999999</v>
      </c>
    </row>
    <row r="743" spans="2:3">
      <c r="B743" s="412" t="s">
        <v>1000</v>
      </c>
      <c r="C743" s="1110">
        <v>40.716301999999999</v>
      </c>
    </row>
    <row r="744" spans="2:3">
      <c r="B744" s="412" t="s">
        <v>1001</v>
      </c>
      <c r="C744" s="1110">
        <v>40.716301999999999</v>
      </c>
    </row>
    <row r="745" spans="2:3">
      <c r="B745" s="412" t="s">
        <v>1002</v>
      </c>
      <c r="C745" s="1110">
        <v>40.716301999999999</v>
      </c>
    </row>
    <row r="746" spans="2:3">
      <c r="B746" s="412" t="s">
        <v>1003</v>
      </c>
      <c r="C746" s="1110">
        <v>48.253766396135262</v>
      </c>
    </row>
    <row r="747" spans="2:3">
      <c r="B747" s="412" t="s">
        <v>1004</v>
      </c>
      <c r="C747" s="1110">
        <v>41.812587383667179</v>
      </c>
    </row>
    <row r="748" spans="2:3">
      <c r="B748" s="412" t="s">
        <v>1005</v>
      </c>
      <c r="C748" s="1110">
        <v>58.679973825242712</v>
      </c>
    </row>
    <row r="749" spans="2:3">
      <c r="B749" s="412" t="s">
        <v>1006</v>
      </c>
      <c r="C749" s="1110">
        <v>59.368254574074072</v>
      </c>
    </row>
    <row r="750" spans="2:3">
      <c r="B750" s="412" t="s">
        <v>1007</v>
      </c>
      <c r="C750" s="1110">
        <v>44.417783999999997</v>
      </c>
    </row>
    <row r="751" spans="2:3">
      <c r="B751" s="412" t="s">
        <v>1008</v>
      </c>
      <c r="C751" s="1110">
        <v>44.977554434782611</v>
      </c>
    </row>
    <row r="752" spans="2:3">
      <c r="B752" s="412" t="s">
        <v>1009</v>
      </c>
      <c r="C752" s="1110">
        <v>45.792975390557942</v>
      </c>
    </row>
    <row r="753" spans="2:3">
      <c r="B753" s="412" t="s">
        <v>1010</v>
      </c>
      <c r="C753" s="1110">
        <v>44.415770227320124</v>
      </c>
    </row>
    <row r="754" spans="2:3">
      <c r="B754" s="412" t="s">
        <v>1011</v>
      </c>
      <c r="C754" s="1110">
        <v>44.417783999999997</v>
      </c>
    </row>
    <row r="755" spans="2:3">
      <c r="B755" s="412" t="s">
        <v>1012</v>
      </c>
      <c r="C755" s="1110">
        <v>44.711058684273702</v>
      </c>
    </row>
    <row r="756" spans="2:3">
      <c r="B756" s="412" t="s">
        <v>1013</v>
      </c>
      <c r="C756" s="1110">
        <v>44.417783999999997</v>
      </c>
    </row>
    <row r="757" spans="2:3">
      <c r="B757" s="412" t="s">
        <v>1014</v>
      </c>
      <c r="C757" s="1110">
        <v>44.877123342915809</v>
      </c>
    </row>
    <row r="758" spans="2:3">
      <c r="B758" s="412" t="s">
        <v>1015</v>
      </c>
      <c r="C758" s="1110">
        <v>54.205673542168675</v>
      </c>
    </row>
    <row r="759" spans="2:3">
      <c r="B759" s="412" t="s">
        <v>1016</v>
      </c>
      <c r="C759" s="1110">
        <v>55.683163999999998</v>
      </c>
    </row>
    <row r="760" spans="2:3">
      <c r="B760" s="412" t="s">
        <v>1017</v>
      </c>
      <c r="C760" s="1110">
        <v>55.66876274720358</v>
      </c>
    </row>
    <row r="761" spans="2:3">
      <c r="B761" s="412" t="s">
        <v>1018</v>
      </c>
      <c r="C761" s="1110">
        <v>55.683163999999998</v>
      </c>
    </row>
    <row r="762" spans="2:3">
      <c r="B762" s="412" t="s">
        <v>1019</v>
      </c>
      <c r="C762" s="1110">
        <v>55.683163999999998</v>
      </c>
    </row>
    <row r="763" spans="2:3">
      <c r="B763" s="412" t="s">
        <v>1020</v>
      </c>
      <c r="C763" s="1110">
        <v>55.683163999999998</v>
      </c>
    </row>
    <row r="764" spans="2:3">
      <c r="B764" s="412" t="s">
        <v>1021</v>
      </c>
      <c r="C764" s="1110">
        <v>55.683163999999998</v>
      </c>
    </row>
    <row r="765" spans="2:3">
      <c r="B765" s="412" t="s">
        <v>1022</v>
      </c>
      <c r="C765" s="1110">
        <v>55.683163999999998</v>
      </c>
    </row>
    <row r="766" spans="2:3">
      <c r="B766" s="412" t="s">
        <v>1023</v>
      </c>
      <c r="C766" s="1110">
        <v>55.683163999999998</v>
      </c>
    </row>
    <row r="767" spans="2:3">
      <c r="B767" s="412" t="s">
        <v>1024</v>
      </c>
      <c r="C767" s="1110">
        <v>55.107668565371021</v>
      </c>
    </row>
    <row r="768" spans="2:3">
      <c r="B768" s="412" t="s">
        <v>1025</v>
      </c>
      <c r="C768" s="1110">
        <v>55.655175478260873</v>
      </c>
    </row>
    <row r="769" spans="2:3">
      <c r="B769" s="412" t="s">
        <v>1026</v>
      </c>
      <c r="C769" s="1110">
        <v>54.586214762331835</v>
      </c>
    </row>
    <row r="770" spans="2:3">
      <c r="B770" s="412" t="s">
        <v>1027</v>
      </c>
      <c r="C770" s="1110">
        <v>31.543064000000001</v>
      </c>
    </row>
    <row r="771" spans="2:3">
      <c r="B771" s="412" t="s">
        <v>1028</v>
      </c>
      <c r="C771" s="1110">
        <v>51.482719263598327</v>
      </c>
    </row>
    <row r="772" spans="2:3">
      <c r="B772" s="412" t="s">
        <v>1029</v>
      </c>
      <c r="C772" s="1110">
        <v>51.473479812577054</v>
      </c>
    </row>
    <row r="773" spans="2:3">
      <c r="B773" s="412" t="s">
        <v>1030</v>
      </c>
      <c r="C773" s="1110">
        <v>52.49644252482269</v>
      </c>
    </row>
    <row r="774" spans="2:3">
      <c r="B774" s="412" t="s">
        <v>1031</v>
      </c>
      <c r="C774" s="1110">
        <v>51.49888</v>
      </c>
    </row>
    <row r="775" spans="2:3">
      <c r="B775" s="412" t="s">
        <v>1032</v>
      </c>
      <c r="C775" s="1110">
        <v>56.310806599999999</v>
      </c>
    </row>
    <row r="776" spans="2:3">
      <c r="B776" s="412" t="s">
        <v>1033</v>
      </c>
      <c r="C776" s="1110">
        <v>31.543064000000001</v>
      </c>
    </row>
    <row r="777" spans="2:3">
      <c r="B777" s="412" t="s">
        <v>1034</v>
      </c>
      <c r="C777" s="1110">
        <v>33.057514608158229</v>
      </c>
    </row>
    <row r="778" spans="2:3">
      <c r="B778" s="412" t="s">
        <v>1035</v>
      </c>
      <c r="C778" s="1110">
        <v>31.543064000000001</v>
      </c>
    </row>
    <row r="779" spans="2:3">
      <c r="B779" s="412" t="s">
        <v>1036</v>
      </c>
      <c r="C779" s="1110">
        <v>31.543064000000001</v>
      </c>
    </row>
    <row r="780" spans="2:3">
      <c r="B780" s="412" t="s">
        <v>1037</v>
      </c>
      <c r="C780" s="1110">
        <v>31.842779141700404</v>
      </c>
    </row>
    <row r="781" spans="2:3">
      <c r="B781" s="412" t="s">
        <v>1038</v>
      </c>
      <c r="C781" s="1110">
        <v>46.293596320474776</v>
      </c>
    </row>
    <row r="782" spans="2:3">
      <c r="B782" s="412" t="s">
        <v>1039</v>
      </c>
      <c r="C782" s="1110">
        <v>31.946608020033384</v>
      </c>
    </row>
    <row r="783" spans="2:3" ht="17" thickBot="1">
      <c r="B783" s="413" t="s">
        <v>1040</v>
      </c>
      <c r="C783" s="655">
        <v>39.629425459715641</v>
      </c>
    </row>
    <row r="784" spans="2:3">
      <c r="B784" s="415" t="s">
        <v>1041</v>
      </c>
      <c r="C784" s="1109">
        <v>20.513481145368491</v>
      </c>
    </row>
    <row r="785" spans="2:3">
      <c r="B785" s="412" t="s">
        <v>1042</v>
      </c>
      <c r="C785" s="1110">
        <v>23.979165999999999</v>
      </c>
    </row>
    <row r="786" spans="2:3">
      <c r="B786" s="412" t="s">
        <v>1043</v>
      </c>
      <c r="C786" s="1110">
        <v>25.670401408284025</v>
      </c>
    </row>
    <row r="787" spans="2:3">
      <c r="B787" s="412" t="s">
        <v>1044</v>
      </c>
      <c r="C787" s="1110">
        <v>25.962393070707073</v>
      </c>
    </row>
    <row r="788" spans="2:3">
      <c r="B788" s="412" t="s">
        <v>1045</v>
      </c>
      <c r="C788" s="1110">
        <v>25.588505999999999</v>
      </c>
    </row>
    <row r="789" spans="2:3">
      <c r="B789" s="412" t="s">
        <v>1046</v>
      </c>
      <c r="C789" s="1110">
        <v>20.760486</v>
      </c>
    </row>
    <row r="790" spans="2:3">
      <c r="B790" s="412" t="s">
        <v>1047</v>
      </c>
      <c r="C790" s="1110">
        <v>25.390867754385962</v>
      </c>
    </row>
    <row r="791" spans="2:3">
      <c r="B791" s="412" t="s">
        <v>1048</v>
      </c>
      <c r="C791" s="1110">
        <v>25.588505999999999</v>
      </c>
    </row>
    <row r="792" spans="2:3">
      <c r="B792" s="412" t="s">
        <v>1049</v>
      </c>
      <c r="C792" s="1110">
        <v>23.979165999999999</v>
      </c>
    </row>
    <row r="793" spans="2:3">
      <c r="B793" s="412" t="s">
        <v>1050</v>
      </c>
      <c r="C793" s="1110">
        <v>28.807186000000002</v>
      </c>
    </row>
    <row r="794" spans="2:3">
      <c r="B794" s="412" t="s">
        <v>1051</v>
      </c>
      <c r="C794" s="1110">
        <v>20.760486</v>
      </c>
    </row>
    <row r="795" spans="2:3">
      <c r="B795" s="412" t="s">
        <v>1052</v>
      </c>
      <c r="C795" s="1110">
        <v>19.949124357588357</v>
      </c>
    </row>
    <row r="796" spans="2:3">
      <c r="B796" s="412" t="s">
        <v>1053</v>
      </c>
      <c r="C796" s="1110">
        <v>25.127350093567248</v>
      </c>
    </row>
    <row r="797" spans="2:3">
      <c r="B797" s="412" t="s">
        <v>1054</v>
      </c>
      <c r="C797" s="1110">
        <v>20.795157597845602</v>
      </c>
    </row>
    <row r="798" spans="2:3">
      <c r="B798" s="412" t="s">
        <v>1055</v>
      </c>
      <c r="C798" s="1110">
        <v>24.759436868120453</v>
      </c>
    </row>
    <row r="799" spans="2:3">
      <c r="B799" s="412" t="s">
        <v>1056</v>
      </c>
      <c r="C799" s="1110">
        <v>16.798881093990754</v>
      </c>
    </row>
    <row r="800" spans="2:3">
      <c r="B800" s="412" t="s">
        <v>1057</v>
      </c>
      <c r="C800" s="1110">
        <v>25.588505999999999</v>
      </c>
    </row>
    <row r="801" spans="2:3">
      <c r="B801" s="412" t="s">
        <v>1058</v>
      </c>
      <c r="C801" s="1110">
        <v>25.480185038461538</v>
      </c>
    </row>
    <row r="802" spans="2:3">
      <c r="B802" s="412" t="s">
        <v>1059</v>
      </c>
      <c r="C802" s="1110">
        <v>16.878198909090905</v>
      </c>
    </row>
    <row r="803" spans="2:3">
      <c r="B803" s="412" t="s">
        <v>1060</v>
      </c>
      <c r="C803" s="1110">
        <v>16.978536999999999</v>
      </c>
    </row>
    <row r="804" spans="2:3">
      <c r="B804" s="412" t="s">
        <v>1061</v>
      </c>
      <c r="C804" s="1110">
        <v>20.760486</v>
      </c>
    </row>
    <row r="805" spans="2:3">
      <c r="B805" s="412" t="s">
        <v>1062</v>
      </c>
      <c r="C805" s="1110">
        <v>14.293184790697675</v>
      </c>
    </row>
    <row r="806" spans="2:3">
      <c r="B806" s="412" t="s">
        <v>1063</v>
      </c>
      <c r="C806" s="1110">
        <v>16.171243076086956</v>
      </c>
    </row>
    <row r="807" spans="2:3">
      <c r="B807" s="412" t="s">
        <v>1064</v>
      </c>
      <c r="C807" s="1110">
        <v>13.64064662962963</v>
      </c>
    </row>
    <row r="808" spans="2:3">
      <c r="B808" s="412" t="s">
        <v>1065</v>
      </c>
      <c r="C808" s="1110">
        <v>16.415268000000001</v>
      </c>
    </row>
    <row r="809" spans="2:3">
      <c r="B809" s="412" t="s">
        <v>1066</v>
      </c>
      <c r="C809" s="1110">
        <v>15.949155451851853</v>
      </c>
    </row>
    <row r="810" spans="2:3">
      <c r="B810" s="412" t="s">
        <v>1067</v>
      </c>
      <c r="C810" s="1110">
        <v>16.439822878350519</v>
      </c>
    </row>
    <row r="811" spans="2:3">
      <c r="B811" s="412" t="s">
        <v>1068</v>
      </c>
      <c r="C811" s="1110">
        <v>15.997358741935484</v>
      </c>
    </row>
    <row r="812" spans="2:3">
      <c r="B812" s="412" t="s">
        <v>1069</v>
      </c>
      <c r="C812" s="1110">
        <v>16.463321532394367</v>
      </c>
    </row>
    <row r="813" spans="2:3">
      <c r="B813" s="412" t="s">
        <v>1070</v>
      </c>
      <c r="C813" s="1110">
        <v>13.708731558011047</v>
      </c>
    </row>
    <row r="814" spans="2:3">
      <c r="B814" s="412" t="s">
        <v>1071</v>
      </c>
      <c r="C814" s="1110">
        <v>13.154236947368421</v>
      </c>
    </row>
    <row r="815" spans="2:3">
      <c r="B815" s="412" t="s">
        <v>1072</v>
      </c>
      <c r="C815" s="1110">
        <v>16.237393578947369</v>
      </c>
    </row>
    <row r="816" spans="2:3">
      <c r="B816" s="412" t="s">
        <v>1073</v>
      </c>
      <c r="C816" s="1110">
        <v>13.342891636363635</v>
      </c>
    </row>
    <row r="817" spans="2:3">
      <c r="B817" s="412" t="s">
        <v>1074</v>
      </c>
      <c r="C817" s="1110">
        <v>13.128670899082566</v>
      </c>
    </row>
    <row r="818" spans="2:3">
      <c r="B818" s="412" t="s">
        <v>1075</v>
      </c>
      <c r="C818" s="1110">
        <v>13.359234063829785</v>
      </c>
    </row>
    <row r="819" spans="2:3">
      <c r="B819" s="412" t="s">
        <v>1076</v>
      </c>
      <c r="C819" s="1110">
        <v>13.124591210526315</v>
      </c>
    </row>
    <row r="820" spans="2:3">
      <c r="B820" s="412" t="s">
        <v>1077</v>
      </c>
      <c r="C820" s="1110">
        <v>13.035653999999999</v>
      </c>
    </row>
    <row r="821" spans="2:3">
      <c r="B821" s="412" t="s">
        <v>1078</v>
      </c>
      <c r="C821" s="1110">
        <v>13.719623499999997</v>
      </c>
    </row>
    <row r="822" spans="2:3">
      <c r="B822" s="412" t="s">
        <v>1079</v>
      </c>
      <c r="C822" s="1110">
        <v>16.246287300000002</v>
      </c>
    </row>
    <row r="823" spans="2:3">
      <c r="B823" s="412" t="s">
        <v>1080</v>
      </c>
      <c r="C823" s="1110">
        <v>13.149573573033706</v>
      </c>
    </row>
    <row r="824" spans="2:3">
      <c r="B824" s="412" t="s">
        <v>1081</v>
      </c>
      <c r="C824" s="1110">
        <v>13.0758875</v>
      </c>
    </row>
    <row r="825" spans="2:3">
      <c r="B825" s="412" t="s">
        <v>1082</v>
      </c>
      <c r="C825" s="1110">
        <v>13.169998904347826</v>
      </c>
    </row>
    <row r="826" spans="2:3">
      <c r="B826" s="412" t="s">
        <v>1083</v>
      </c>
      <c r="C826" s="1110">
        <v>13.106062624999998</v>
      </c>
    </row>
    <row r="827" spans="2:3">
      <c r="B827" s="412" t="s">
        <v>1084</v>
      </c>
      <c r="C827" s="1110">
        <v>13.2609616</v>
      </c>
    </row>
    <row r="828" spans="2:3">
      <c r="B828" s="412" t="s">
        <v>1085</v>
      </c>
      <c r="C828" s="1110">
        <v>16.415268000000001</v>
      </c>
    </row>
    <row r="829" spans="2:3">
      <c r="B829" s="412" t="s">
        <v>1086</v>
      </c>
      <c r="C829" s="1110">
        <v>13.09105750819672</v>
      </c>
    </row>
    <row r="830" spans="2:3">
      <c r="B830" s="412" t="s">
        <v>1087</v>
      </c>
      <c r="C830" s="1110">
        <v>13.118083609756097</v>
      </c>
    </row>
    <row r="831" spans="2:3">
      <c r="B831" s="412" t="s">
        <v>1088</v>
      </c>
      <c r="C831" s="1110">
        <v>13.082146044444444</v>
      </c>
    </row>
    <row r="832" spans="2:3">
      <c r="B832" s="412" t="s">
        <v>1089</v>
      </c>
      <c r="C832" s="1110">
        <v>37.089023564957849</v>
      </c>
    </row>
    <row r="833" spans="2:3">
      <c r="B833" s="412" t="s">
        <v>1090</v>
      </c>
      <c r="C833" s="1110">
        <v>37.089023564957849</v>
      </c>
    </row>
    <row r="834" spans="2:3">
      <c r="B834" s="412" t="s">
        <v>1091</v>
      </c>
      <c r="C834" s="1110">
        <v>37.089023564957849</v>
      </c>
    </row>
    <row r="835" spans="2:3">
      <c r="B835" s="412" t="s">
        <v>1092</v>
      </c>
      <c r="C835" s="1110">
        <v>37.089023564957849</v>
      </c>
    </row>
    <row r="836" spans="2:3">
      <c r="B836" s="412" t="s">
        <v>1093</v>
      </c>
      <c r="C836" s="1110">
        <v>37.089023564957849</v>
      </c>
    </row>
    <row r="837" spans="2:3">
      <c r="B837" s="412" t="s">
        <v>1094</v>
      </c>
      <c r="C837" s="1110">
        <v>37.089023564957849</v>
      </c>
    </row>
    <row r="838" spans="2:3">
      <c r="B838" s="412" t="s">
        <v>1095</v>
      </c>
      <c r="C838" s="1110">
        <v>37.089023564957849</v>
      </c>
    </row>
    <row r="839" spans="2:3">
      <c r="B839" s="412" t="s">
        <v>1096</v>
      </c>
      <c r="C839" s="1110">
        <v>37.089023564957849</v>
      </c>
    </row>
    <row r="840" spans="2:3">
      <c r="B840" s="412" t="s">
        <v>1097</v>
      </c>
      <c r="C840" s="1110">
        <v>37.089023564957849</v>
      </c>
    </row>
    <row r="841" spans="2:3">
      <c r="B841" s="412" t="s">
        <v>1098</v>
      </c>
      <c r="C841" s="1110">
        <v>37.089023564957849</v>
      </c>
    </row>
    <row r="842" spans="2:3">
      <c r="B842" s="412" t="s">
        <v>1099</v>
      </c>
      <c r="C842" s="1110">
        <v>37.089023564957849</v>
      </c>
    </row>
    <row r="843" spans="2:3">
      <c r="B843" s="412" t="s">
        <v>1100</v>
      </c>
      <c r="C843" s="1110">
        <v>37.089023564957849</v>
      </c>
    </row>
    <row r="844" spans="2:3">
      <c r="B844" s="412" t="s">
        <v>1101</v>
      </c>
      <c r="C844" s="1110">
        <v>37.089023564957849</v>
      </c>
    </row>
    <row r="845" spans="2:3">
      <c r="B845" s="412" t="s">
        <v>1102</v>
      </c>
      <c r="C845" s="1110">
        <v>37.089023564957849</v>
      </c>
    </row>
    <row r="846" spans="2:3">
      <c r="B846" s="412" t="s">
        <v>1103</v>
      </c>
      <c r="C846" s="1110">
        <v>37.089023564957849</v>
      </c>
    </row>
    <row r="847" spans="2:3">
      <c r="B847" s="412" t="s">
        <v>1104</v>
      </c>
      <c r="C847" s="1110">
        <v>37.089023564957849</v>
      </c>
    </row>
    <row r="848" spans="2:3">
      <c r="B848" s="412" t="s">
        <v>1105</v>
      </c>
      <c r="C848" s="1110">
        <v>37.089023564957849</v>
      </c>
    </row>
    <row r="849" spans="2:3">
      <c r="B849" s="412" t="s">
        <v>1106</v>
      </c>
      <c r="C849" s="1110">
        <v>37.089023564957849</v>
      </c>
    </row>
    <row r="850" spans="2:3">
      <c r="B850" s="412" t="s">
        <v>1107</v>
      </c>
      <c r="C850" s="1110">
        <v>37.089023564957849</v>
      </c>
    </row>
    <row r="851" spans="2:3">
      <c r="B851" s="412" t="s">
        <v>1108</v>
      </c>
      <c r="C851" s="1110">
        <v>37.089023564957849</v>
      </c>
    </row>
    <row r="852" spans="2:3">
      <c r="B852" s="412" t="s">
        <v>1109</v>
      </c>
      <c r="C852" s="1110">
        <v>37.089023564957849</v>
      </c>
    </row>
    <row r="853" spans="2:3">
      <c r="B853" s="412" t="s">
        <v>1110</v>
      </c>
      <c r="C853" s="1110">
        <v>37.089023564957849</v>
      </c>
    </row>
    <row r="854" spans="2:3">
      <c r="B854" s="412" t="s">
        <v>1111</v>
      </c>
      <c r="C854" s="1110">
        <v>37.089023564957849</v>
      </c>
    </row>
    <row r="855" spans="2:3">
      <c r="B855" s="412" t="s">
        <v>1112</v>
      </c>
      <c r="C855" s="1110">
        <v>37.089023564957849</v>
      </c>
    </row>
    <row r="856" spans="2:3">
      <c r="B856" s="412" t="s">
        <v>1113</v>
      </c>
      <c r="C856" s="1110">
        <v>37.089023564957849</v>
      </c>
    </row>
    <row r="857" spans="2:3">
      <c r="B857" s="412" t="s">
        <v>1114</v>
      </c>
      <c r="C857" s="1110">
        <v>37.089023564957849</v>
      </c>
    </row>
    <row r="858" spans="2:3">
      <c r="B858" s="412" t="s">
        <v>1115</v>
      </c>
      <c r="C858" s="1110">
        <v>37.089023564957849</v>
      </c>
    </row>
    <row r="859" spans="2:3">
      <c r="B859" s="412" t="s">
        <v>1116</v>
      </c>
      <c r="C859" s="1110">
        <v>37.089023564957849</v>
      </c>
    </row>
    <row r="860" spans="2:3">
      <c r="B860" s="412" t="s">
        <v>1117</v>
      </c>
      <c r="C860" s="1110">
        <v>37.089023564957849</v>
      </c>
    </row>
    <row r="861" spans="2:3">
      <c r="B861" s="412" t="s">
        <v>1118</v>
      </c>
      <c r="C861" s="1110">
        <v>37.089023564957849</v>
      </c>
    </row>
    <row r="862" spans="2:3">
      <c r="B862" s="412" t="s">
        <v>1119</v>
      </c>
      <c r="C862" s="1110">
        <v>37.089023564957849</v>
      </c>
    </row>
    <row r="863" spans="2:3">
      <c r="B863" s="412" t="s">
        <v>1120</v>
      </c>
      <c r="C863" s="1110">
        <v>37.089023564957849</v>
      </c>
    </row>
    <row r="864" spans="2:3">
      <c r="B864" s="412" t="s">
        <v>1121</v>
      </c>
      <c r="C864" s="1110">
        <v>37.089023564957849</v>
      </c>
    </row>
    <row r="865" spans="2:3">
      <c r="B865" s="412" t="s">
        <v>1122</v>
      </c>
      <c r="C865" s="1110">
        <v>37.089023564957849</v>
      </c>
    </row>
    <row r="866" spans="2:3">
      <c r="B866" s="412" t="s">
        <v>1123</v>
      </c>
      <c r="C866" s="1110">
        <v>37.089023564957849</v>
      </c>
    </row>
    <row r="867" spans="2:3">
      <c r="B867" s="412" t="s">
        <v>1124</v>
      </c>
      <c r="C867" s="1110">
        <v>37.089023564957849</v>
      </c>
    </row>
    <row r="868" spans="2:3">
      <c r="B868" s="412" t="s">
        <v>1125</v>
      </c>
      <c r="C868" s="1110">
        <v>37.089023564957849</v>
      </c>
    </row>
    <row r="869" spans="2:3">
      <c r="B869" s="412" t="s">
        <v>1126</v>
      </c>
      <c r="C869" s="1110">
        <v>37.089023564957849</v>
      </c>
    </row>
    <row r="870" spans="2:3">
      <c r="B870" s="412" t="s">
        <v>1127</v>
      </c>
      <c r="C870" s="1110">
        <v>37.089023564957849</v>
      </c>
    </row>
    <row r="871" spans="2:3">
      <c r="B871" s="412" t="s">
        <v>1128</v>
      </c>
      <c r="C871" s="1110">
        <v>37.089023564957849</v>
      </c>
    </row>
    <row r="872" spans="2:3">
      <c r="B872" s="412" t="s">
        <v>1129</v>
      </c>
      <c r="C872" s="1110">
        <v>36.700742309454668</v>
      </c>
    </row>
    <row r="873" spans="2:3">
      <c r="B873" s="412" t="s">
        <v>1130</v>
      </c>
      <c r="C873" s="1110">
        <v>37.089023564957849</v>
      </c>
    </row>
    <row r="874" spans="2:3">
      <c r="B874" s="412" t="s">
        <v>1131</v>
      </c>
      <c r="C874" s="1110">
        <v>37.089023564957849</v>
      </c>
    </row>
    <row r="875" spans="2:3">
      <c r="B875" s="412" t="s">
        <v>1132</v>
      </c>
      <c r="C875" s="1110">
        <v>37.089023564957849</v>
      </c>
    </row>
    <row r="876" spans="2:3">
      <c r="B876" s="412" t="s">
        <v>1133</v>
      </c>
      <c r="C876" s="1110">
        <v>37.089023564957849</v>
      </c>
    </row>
    <row r="877" spans="2:3">
      <c r="B877" s="412" t="s">
        <v>1134</v>
      </c>
      <c r="C877" s="1110">
        <v>37.089023564957849</v>
      </c>
    </row>
    <row r="878" spans="2:3">
      <c r="B878" s="412" t="s">
        <v>1135</v>
      </c>
      <c r="C878" s="1110">
        <v>37.089023564957849</v>
      </c>
    </row>
    <row r="879" spans="2:3">
      <c r="B879" s="412" t="s">
        <v>1136</v>
      </c>
      <c r="C879" s="1110">
        <v>37.089023564957849</v>
      </c>
    </row>
    <row r="880" spans="2:3">
      <c r="B880" s="412" t="s">
        <v>1137</v>
      </c>
      <c r="C880" s="1110">
        <v>37.089023564957849</v>
      </c>
    </row>
    <row r="881" spans="2:3">
      <c r="B881" s="412" t="s">
        <v>1138</v>
      </c>
      <c r="C881" s="1110">
        <v>36.883462900279689</v>
      </c>
    </row>
    <row r="882" spans="2:3">
      <c r="B882" s="412" t="s">
        <v>1139</v>
      </c>
      <c r="C882" s="1110">
        <v>37.089023564957849</v>
      </c>
    </row>
    <row r="883" spans="2:3">
      <c r="B883" s="412" t="s">
        <v>1140</v>
      </c>
      <c r="C883" s="1110">
        <v>37.089023564957849</v>
      </c>
    </row>
    <row r="884" spans="2:3">
      <c r="B884" s="412" t="s">
        <v>1141</v>
      </c>
      <c r="C884" s="1110">
        <v>37.089023564957849</v>
      </c>
    </row>
    <row r="885" spans="2:3">
      <c r="B885" s="412" t="s">
        <v>1142</v>
      </c>
      <c r="C885" s="1110">
        <v>37.089023564957849</v>
      </c>
    </row>
    <row r="886" spans="2:3">
      <c r="B886" s="412" t="s">
        <v>1143</v>
      </c>
      <c r="C886" s="1110">
        <v>37.089023564957849</v>
      </c>
    </row>
    <row r="887" spans="2:3">
      <c r="B887" s="412" t="s">
        <v>1144</v>
      </c>
      <c r="C887" s="1110">
        <v>37.089023564957849</v>
      </c>
    </row>
    <row r="888" spans="2:3">
      <c r="B888" s="412" t="s">
        <v>1145</v>
      </c>
      <c r="C888" s="1110">
        <v>37.089023564957849</v>
      </c>
    </row>
    <row r="889" spans="2:3">
      <c r="B889" s="412" t="s">
        <v>1146</v>
      </c>
      <c r="C889" s="1110">
        <v>37.089023564957849</v>
      </c>
    </row>
    <row r="890" spans="2:3">
      <c r="B890" s="412" t="s">
        <v>1147</v>
      </c>
      <c r="C890" s="1110">
        <v>24.944769999999998</v>
      </c>
    </row>
    <row r="891" spans="2:3">
      <c r="B891" s="412" t="s">
        <v>1148</v>
      </c>
      <c r="C891" s="1110">
        <v>48.551752119331745</v>
      </c>
    </row>
    <row r="892" spans="2:3">
      <c r="B892" s="412" t="s">
        <v>1149</v>
      </c>
      <c r="C892" s="1110">
        <v>48.467669682442747</v>
      </c>
    </row>
    <row r="893" spans="2:3">
      <c r="B893" s="412" t="s">
        <v>1150</v>
      </c>
      <c r="C893" s="1110">
        <v>25.001524502415457</v>
      </c>
    </row>
    <row r="894" spans="2:3">
      <c r="B894" s="412" t="s">
        <v>1151</v>
      </c>
      <c r="C894" s="1110">
        <v>24.944769999999998</v>
      </c>
    </row>
    <row r="895" spans="2:3">
      <c r="B895" s="412" t="s">
        <v>1152</v>
      </c>
      <c r="C895" s="1110">
        <v>27.581859734061929</v>
      </c>
    </row>
    <row r="896" spans="2:3">
      <c r="B896" s="412" t="s">
        <v>1153</v>
      </c>
      <c r="C896" s="1110">
        <v>28.989818966292134</v>
      </c>
    </row>
    <row r="897" spans="2:3">
      <c r="B897" s="412" t="s">
        <v>1154</v>
      </c>
      <c r="C897" s="1110">
        <v>48.388094803611736</v>
      </c>
    </row>
    <row r="898" spans="2:3">
      <c r="B898" s="412" t="s">
        <v>1155</v>
      </c>
      <c r="C898" s="1110">
        <v>48.343840567287785</v>
      </c>
    </row>
    <row r="899" spans="2:3">
      <c r="B899" s="412" t="s">
        <v>1156</v>
      </c>
      <c r="C899" s="1110">
        <v>48.441133999999998</v>
      </c>
    </row>
    <row r="900" spans="2:3">
      <c r="B900" s="412" t="s">
        <v>1157</v>
      </c>
      <c r="C900" s="1110">
        <v>47.682296336569571</v>
      </c>
    </row>
    <row r="901" spans="2:3">
      <c r="B901" s="412" t="s">
        <v>1158</v>
      </c>
      <c r="C901" s="1110">
        <v>49.813848489614237</v>
      </c>
    </row>
    <row r="902" spans="2:3">
      <c r="B902" s="412" t="s">
        <v>1159</v>
      </c>
      <c r="C902" s="1110">
        <v>53.912889999999997</v>
      </c>
    </row>
    <row r="903" spans="2:3">
      <c r="B903" s="412" t="s">
        <v>1160</v>
      </c>
      <c r="C903" s="1110">
        <v>53.912889999999997</v>
      </c>
    </row>
    <row r="904" spans="2:3">
      <c r="B904" s="412" t="s">
        <v>1161</v>
      </c>
      <c r="C904" s="1110">
        <v>53.912889999999997</v>
      </c>
    </row>
    <row r="905" spans="2:3">
      <c r="B905" s="412" t="s">
        <v>1162</v>
      </c>
      <c r="C905" s="1110">
        <v>53.912889999999997</v>
      </c>
    </row>
    <row r="906" spans="2:3">
      <c r="B906" s="412" t="s">
        <v>1163</v>
      </c>
      <c r="C906" s="1110">
        <v>53.916906655574039</v>
      </c>
    </row>
    <row r="907" spans="2:3">
      <c r="B907" s="412" t="s">
        <v>1164</v>
      </c>
      <c r="C907" s="1110">
        <v>53.908018302713977</v>
      </c>
    </row>
    <row r="908" spans="2:3">
      <c r="B908" s="412" t="s">
        <v>1165</v>
      </c>
      <c r="C908" s="1110">
        <v>53.912889999999997</v>
      </c>
    </row>
    <row r="909" spans="2:3">
      <c r="B909" s="412" t="s">
        <v>1166</v>
      </c>
      <c r="C909" s="1110">
        <v>53.902338938960057</v>
      </c>
    </row>
    <row r="910" spans="2:3">
      <c r="B910" s="412" t="s">
        <v>1167</v>
      </c>
      <c r="C910" s="1110">
        <v>53.912889999999997</v>
      </c>
    </row>
    <row r="911" spans="2:3">
      <c r="B911" s="412" t="s">
        <v>1168</v>
      </c>
      <c r="C911" s="1110">
        <v>53.912889999999997</v>
      </c>
    </row>
    <row r="912" spans="2:3">
      <c r="B912" s="412" t="s">
        <v>1169</v>
      </c>
      <c r="C912" s="1110">
        <v>53.912889999999997</v>
      </c>
    </row>
    <row r="913" spans="2:3">
      <c r="B913" s="412" t="s">
        <v>1170</v>
      </c>
      <c r="C913" s="1110">
        <v>53.912889999999997</v>
      </c>
    </row>
    <row r="914" spans="2:3">
      <c r="B914" s="412" t="s">
        <v>1171</v>
      </c>
      <c r="C914" s="1110">
        <v>53.912889999999997</v>
      </c>
    </row>
    <row r="915" spans="2:3">
      <c r="B915" s="412" t="s">
        <v>1172</v>
      </c>
      <c r="C915" s="1110">
        <v>53.912889999999997</v>
      </c>
    </row>
    <row r="916" spans="2:3">
      <c r="B916" s="412" t="s">
        <v>1173</v>
      </c>
      <c r="C916" s="1110">
        <v>53.63358305785124</v>
      </c>
    </row>
    <row r="917" spans="2:3">
      <c r="B917" s="412" t="s">
        <v>1174</v>
      </c>
      <c r="C917" s="1110">
        <v>51.666539599999993</v>
      </c>
    </row>
    <row r="918" spans="2:3">
      <c r="B918" s="412" t="s">
        <v>1175</v>
      </c>
      <c r="C918" s="1110">
        <v>53.912889999999997</v>
      </c>
    </row>
    <row r="919" spans="2:3">
      <c r="B919" s="412" t="s">
        <v>1176</v>
      </c>
      <c r="C919" s="1110">
        <v>53.912889999999997</v>
      </c>
    </row>
    <row r="920" spans="2:3">
      <c r="B920" s="412" t="s">
        <v>1177</v>
      </c>
      <c r="C920" s="1110">
        <v>53.912889999999997</v>
      </c>
    </row>
    <row r="921" spans="2:3">
      <c r="B921" s="412" t="s">
        <v>1178</v>
      </c>
      <c r="C921" s="1110">
        <v>53.912889999999997</v>
      </c>
    </row>
    <row r="922" spans="2:3">
      <c r="B922" s="412" t="s">
        <v>1179</v>
      </c>
      <c r="C922" s="1110">
        <v>53.912889999999997</v>
      </c>
    </row>
    <row r="923" spans="2:3">
      <c r="B923" s="412" t="s">
        <v>1180</v>
      </c>
      <c r="C923" s="1110">
        <v>53.912889999999997</v>
      </c>
    </row>
    <row r="924" spans="2:3">
      <c r="B924" s="412" t="s">
        <v>1181</v>
      </c>
      <c r="C924" s="1110">
        <v>53.798125590163934</v>
      </c>
    </row>
    <row r="925" spans="2:3">
      <c r="B925" s="412" t="s">
        <v>1182</v>
      </c>
      <c r="C925" s="1110">
        <v>53.901074592405052</v>
      </c>
    </row>
    <row r="926" spans="2:3">
      <c r="B926" s="412" t="s">
        <v>1183</v>
      </c>
      <c r="C926" s="1110">
        <v>53.912889999999997</v>
      </c>
    </row>
    <row r="927" spans="2:3">
      <c r="B927" s="412" t="s">
        <v>1184</v>
      </c>
      <c r="C927" s="1110">
        <v>53.912889999999997</v>
      </c>
    </row>
    <row r="928" spans="2:3">
      <c r="B928" s="412" t="s">
        <v>1185</v>
      </c>
      <c r="C928" s="1110">
        <v>53.912889999999997</v>
      </c>
    </row>
    <row r="929" spans="2:3">
      <c r="B929" s="412" t="s">
        <v>1186</v>
      </c>
      <c r="C929" s="1110">
        <v>53.912889999999997</v>
      </c>
    </row>
    <row r="930" spans="2:3">
      <c r="B930" s="412" t="s">
        <v>1187</v>
      </c>
      <c r="C930" s="1110">
        <v>53.912889999999997</v>
      </c>
    </row>
    <row r="931" spans="2:3">
      <c r="B931" s="412" t="s">
        <v>1188</v>
      </c>
      <c r="C931" s="1110">
        <v>53.912889999999997</v>
      </c>
    </row>
    <row r="932" spans="2:3">
      <c r="B932" s="412" t="s">
        <v>1189</v>
      </c>
      <c r="C932" s="1110">
        <v>53.912889999999997</v>
      </c>
    </row>
    <row r="933" spans="2:3">
      <c r="B933" s="412" t="s">
        <v>1190</v>
      </c>
      <c r="C933" s="1110">
        <v>53.912889999999997</v>
      </c>
    </row>
    <row r="934" spans="2:3" ht="17" thickBot="1">
      <c r="B934" s="413" t="s">
        <v>1191</v>
      </c>
      <c r="C934" s="655">
        <v>53.912889999999997</v>
      </c>
    </row>
    <row r="935" spans="2:3">
      <c r="B935" s="415" t="s">
        <v>1192</v>
      </c>
      <c r="C935" s="1109">
        <v>37.089023564957849</v>
      </c>
    </row>
    <row r="936" spans="2:3">
      <c r="B936" s="412" t="s">
        <v>1193</v>
      </c>
      <c r="C936" s="1110">
        <v>37.089023564957849</v>
      </c>
    </row>
    <row r="937" spans="2:3">
      <c r="B937" s="412" t="s">
        <v>1194</v>
      </c>
      <c r="C937" s="1110">
        <v>37.089023564957849</v>
      </c>
    </row>
    <row r="938" spans="2:3">
      <c r="B938" s="412" t="s">
        <v>1195</v>
      </c>
      <c r="C938" s="1110">
        <v>37.089023564957849</v>
      </c>
    </row>
    <row r="939" spans="2:3">
      <c r="B939" s="412" t="s">
        <v>1196</v>
      </c>
      <c r="C939" s="1110">
        <v>37.089023564957849</v>
      </c>
    </row>
    <row r="940" spans="2:3">
      <c r="B940" s="412" t="s">
        <v>1197</v>
      </c>
      <c r="C940" s="1110">
        <v>37.089023564957849</v>
      </c>
    </row>
    <row r="941" spans="2:3">
      <c r="B941" s="412" t="s">
        <v>1198</v>
      </c>
      <c r="C941" s="1110">
        <v>37.089023564957849</v>
      </c>
    </row>
    <row r="942" spans="2:3">
      <c r="B942" s="412" t="s">
        <v>1199</v>
      </c>
      <c r="C942" s="1110">
        <v>37.089023564957849</v>
      </c>
    </row>
    <row r="943" spans="2:3">
      <c r="B943" s="412" t="s">
        <v>1200</v>
      </c>
      <c r="C943" s="1110">
        <v>37.089023564957849</v>
      </c>
    </row>
    <row r="944" spans="2:3">
      <c r="B944" s="412" t="s">
        <v>1201</v>
      </c>
      <c r="C944" s="1110">
        <v>37.089023564957849</v>
      </c>
    </row>
    <row r="945" spans="2:3">
      <c r="B945" s="412" t="s">
        <v>1202</v>
      </c>
      <c r="C945" s="1110">
        <v>37.089023564957849</v>
      </c>
    </row>
    <row r="946" spans="2:3">
      <c r="B946" s="412" t="s">
        <v>1203</v>
      </c>
      <c r="C946" s="1110">
        <v>37.089023564957849</v>
      </c>
    </row>
    <row r="947" spans="2:3">
      <c r="B947" s="412" t="s">
        <v>1204</v>
      </c>
      <c r="C947" s="1110">
        <v>37.089023564957849</v>
      </c>
    </row>
    <row r="948" spans="2:3">
      <c r="B948" s="412" t="s">
        <v>1205</v>
      </c>
      <c r="C948" s="1110">
        <v>37.089023564957849</v>
      </c>
    </row>
    <row r="949" spans="2:3">
      <c r="B949" s="412" t="s">
        <v>1206</v>
      </c>
      <c r="C949" s="1110">
        <v>37.089023564957849</v>
      </c>
    </row>
    <row r="950" spans="2:3">
      <c r="B950" s="412" t="s">
        <v>1207</v>
      </c>
      <c r="C950" s="1110">
        <v>37.089023564957849</v>
      </c>
    </row>
    <row r="951" spans="2:3">
      <c r="B951" s="412" t="s">
        <v>1208</v>
      </c>
      <c r="C951" s="1110">
        <v>37.089023564957849</v>
      </c>
    </row>
    <row r="952" spans="2:3">
      <c r="B952" s="412" t="s">
        <v>1209</v>
      </c>
      <c r="C952" s="1110">
        <v>37.089023564957849</v>
      </c>
    </row>
    <row r="953" spans="2:3">
      <c r="B953" s="412" t="s">
        <v>1210</v>
      </c>
      <c r="C953" s="1110">
        <v>37.089023564957849</v>
      </c>
    </row>
    <row r="954" spans="2:3">
      <c r="B954" s="412" t="s">
        <v>1211</v>
      </c>
      <c r="C954" s="1110">
        <v>37.089023564957849</v>
      </c>
    </row>
    <row r="955" spans="2:3">
      <c r="B955" s="412" t="s">
        <v>1212</v>
      </c>
      <c r="C955" s="1110">
        <v>37.089023564957849</v>
      </c>
    </row>
    <row r="956" spans="2:3">
      <c r="B956" s="412" t="s">
        <v>1213</v>
      </c>
      <c r="C956" s="1110">
        <v>28.485317999999999</v>
      </c>
    </row>
    <row r="957" spans="2:3">
      <c r="B957" s="412" t="s">
        <v>1214</v>
      </c>
      <c r="C957" s="1110">
        <v>28.485317999999999</v>
      </c>
    </row>
    <row r="958" spans="2:3">
      <c r="B958" s="412" t="s">
        <v>1215</v>
      </c>
      <c r="C958" s="1110">
        <v>30.208670066496165</v>
      </c>
    </row>
    <row r="959" spans="2:3">
      <c r="B959" s="412" t="s">
        <v>1216</v>
      </c>
      <c r="C959" s="1110">
        <v>29.397569674841055</v>
      </c>
    </row>
    <row r="960" spans="2:3">
      <c r="B960" s="412" t="s">
        <v>1217</v>
      </c>
      <c r="C960" s="1110">
        <v>38.28992327336244</v>
      </c>
    </row>
    <row r="961" spans="2:3">
      <c r="B961" s="412" t="s">
        <v>1218</v>
      </c>
      <c r="C961" s="1110">
        <v>41.135535069999996</v>
      </c>
    </row>
    <row r="962" spans="2:3">
      <c r="B962" s="412" t="s">
        <v>1219</v>
      </c>
      <c r="C962" s="1110">
        <v>41.199103999999998</v>
      </c>
    </row>
    <row r="963" spans="2:3" ht="17" thickBot="1">
      <c r="B963" s="413" t="s">
        <v>1220</v>
      </c>
      <c r="C963" s="655">
        <v>41.199103999999998</v>
      </c>
    </row>
    <row r="964" spans="2:3">
      <c r="B964" s="415" t="s">
        <v>1221</v>
      </c>
      <c r="C964" s="1109">
        <v>32.429648498919704</v>
      </c>
    </row>
    <row r="965" spans="2:3">
      <c r="B965" s="412" t="s">
        <v>1222</v>
      </c>
      <c r="C965" s="1110">
        <v>32.429648498919704</v>
      </c>
    </row>
    <row r="966" spans="2:3">
      <c r="B966" s="412" t="s">
        <v>1223</v>
      </c>
      <c r="C966" s="1110">
        <v>32.429648498919704</v>
      </c>
    </row>
    <row r="967" spans="2:3">
      <c r="B967" s="412" t="s">
        <v>1224</v>
      </c>
      <c r="C967" s="1110">
        <v>32.440522186355032</v>
      </c>
    </row>
    <row r="968" spans="2:3">
      <c r="B968" s="412" t="s">
        <v>1225</v>
      </c>
      <c r="C968" s="1110">
        <v>32.440742249076941</v>
      </c>
    </row>
    <row r="969" spans="2:3">
      <c r="B969" s="412" t="s">
        <v>1226</v>
      </c>
      <c r="C969" s="1110">
        <v>32.429648498919704</v>
      </c>
    </row>
    <row r="970" spans="2:3">
      <c r="B970" s="412" t="s">
        <v>1227</v>
      </c>
      <c r="C970" s="1110">
        <v>32.429648498919704</v>
      </c>
    </row>
    <row r="971" spans="2:3">
      <c r="B971" s="412" t="s">
        <v>1228</v>
      </c>
      <c r="C971" s="1110">
        <v>32.429648498919704</v>
      </c>
    </row>
    <row r="972" spans="2:3">
      <c r="B972" s="412" t="s">
        <v>1229</v>
      </c>
      <c r="C972" s="1110">
        <v>32.429648498919704</v>
      </c>
    </row>
    <row r="973" spans="2:3">
      <c r="B973" s="412" t="s">
        <v>1230</v>
      </c>
      <c r="C973" s="1110">
        <v>32.429648498919704</v>
      </c>
    </row>
    <row r="974" spans="2:3">
      <c r="B974" s="412" t="s">
        <v>1231</v>
      </c>
      <c r="C974" s="1110">
        <v>32.429648498919704</v>
      </c>
    </row>
    <row r="975" spans="2:3">
      <c r="B975" s="412" t="s">
        <v>1232</v>
      </c>
      <c r="C975" s="1110">
        <v>32.429648498919704</v>
      </c>
    </row>
    <row r="976" spans="2:3">
      <c r="B976" s="412" t="s">
        <v>1233</v>
      </c>
      <c r="C976" s="1110">
        <v>32.429648498919704</v>
      </c>
    </row>
    <row r="977" spans="2:3">
      <c r="B977" s="412" t="s">
        <v>1234</v>
      </c>
      <c r="C977" s="1110">
        <v>32.429648498919704</v>
      </c>
    </row>
    <row r="978" spans="2:3">
      <c r="B978" s="412" t="s">
        <v>1235</v>
      </c>
      <c r="C978" s="1110">
        <v>33.231636349388381</v>
      </c>
    </row>
    <row r="979" spans="2:3">
      <c r="B979" s="412" t="s">
        <v>1236</v>
      </c>
      <c r="C979" s="1110">
        <v>32.429648498919704</v>
      </c>
    </row>
    <row r="980" spans="2:3">
      <c r="B980" s="412" t="s">
        <v>1237</v>
      </c>
      <c r="C980" s="1110">
        <v>32.429648498919704</v>
      </c>
    </row>
    <row r="981" spans="2:3">
      <c r="B981" s="412" t="s">
        <v>1238</v>
      </c>
      <c r="C981" s="1110">
        <v>32.429648498919704</v>
      </c>
    </row>
    <row r="982" spans="2:3">
      <c r="B982" s="412" t="s">
        <v>1239</v>
      </c>
      <c r="C982" s="1110">
        <v>32.429648498919704</v>
      </c>
    </row>
    <row r="983" spans="2:3">
      <c r="B983" s="412" t="s">
        <v>1240</v>
      </c>
      <c r="C983" s="1110">
        <v>32.429648498919704</v>
      </c>
    </row>
    <row r="984" spans="2:3">
      <c r="B984" s="412" t="s">
        <v>1241</v>
      </c>
      <c r="C984" s="1110">
        <v>32.429648498919704</v>
      </c>
    </row>
    <row r="985" spans="2:3">
      <c r="B985" s="412" t="s">
        <v>1242</v>
      </c>
      <c r="C985" s="1110">
        <v>33.230359434981906</v>
      </c>
    </row>
    <row r="986" spans="2:3">
      <c r="B986" s="412" t="s">
        <v>1243</v>
      </c>
      <c r="C986" s="1110">
        <v>32.429648498919704</v>
      </c>
    </row>
    <row r="987" spans="2:3">
      <c r="B987" s="412" t="s">
        <v>1244</v>
      </c>
      <c r="C987" s="1110">
        <v>35.718211881338895</v>
      </c>
    </row>
    <row r="988" spans="2:3">
      <c r="B988" s="412" t="s">
        <v>1245</v>
      </c>
      <c r="C988" s="1110">
        <v>32.429648498919704</v>
      </c>
    </row>
    <row r="989" spans="2:3">
      <c r="B989" s="412" t="s">
        <v>1246</v>
      </c>
      <c r="C989" s="1110">
        <v>32.47847428553986</v>
      </c>
    </row>
    <row r="990" spans="2:3">
      <c r="B990" s="412" t="s">
        <v>1247</v>
      </c>
      <c r="C990" s="1110">
        <v>32.870482933551429</v>
      </c>
    </row>
    <row r="991" spans="2:3">
      <c r="B991" s="412" t="s">
        <v>1248</v>
      </c>
      <c r="C991" s="1110">
        <v>32.45517932119936</v>
      </c>
    </row>
    <row r="992" spans="2:3">
      <c r="B992" s="412" t="s">
        <v>1249</v>
      </c>
      <c r="C992" s="1110">
        <v>32.429648498919704</v>
      </c>
    </row>
    <row r="993" spans="2:3">
      <c r="B993" s="412" t="s">
        <v>1250</v>
      </c>
      <c r="C993" s="1110">
        <v>37.089023564957849</v>
      </c>
    </row>
    <row r="994" spans="2:3">
      <c r="B994" s="412" t="s">
        <v>1251</v>
      </c>
      <c r="C994" s="1110">
        <v>37.024554224421465</v>
      </c>
    </row>
    <row r="995" spans="2:3">
      <c r="B995" s="412" t="s">
        <v>1252</v>
      </c>
      <c r="C995" s="1110">
        <v>37.078669398144434</v>
      </c>
    </row>
    <row r="996" spans="2:3">
      <c r="B996" s="412" t="s">
        <v>1253</v>
      </c>
      <c r="C996" s="1110">
        <v>37.089023564957849</v>
      </c>
    </row>
    <row r="997" spans="2:3">
      <c r="B997" s="412" t="s">
        <v>1254</v>
      </c>
      <c r="C997" s="1110">
        <v>37.02167385966689</v>
      </c>
    </row>
    <row r="998" spans="2:3">
      <c r="B998" s="412" t="s">
        <v>1255</v>
      </c>
      <c r="C998" s="1110">
        <v>37.089023564957849</v>
      </c>
    </row>
    <row r="999" spans="2:3">
      <c r="B999" s="412" t="s">
        <v>1256</v>
      </c>
      <c r="C999" s="1110">
        <v>37.089023564957849</v>
      </c>
    </row>
    <row r="1000" spans="2:3">
      <c r="B1000" s="412" t="s">
        <v>1257</v>
      </c>
      <c r="C1000" s="1110">
        <v>37.089023564957849</v>
      </c>
    </row>
    <row r="1001" spans="2:3">
      <c r="B1001" s="412" t="s">
        <v>1258</v>
      </c>
      <c r="C1001" s="1110">
        <v>37.089023564957849</v>
      </c>
    </row>
    <row r="1002" spans="2:3">
      <c r="B1002" s="412" t="s">
        <v>1259</v>
      </c>
      <c r="C1002" s="1110">
        <v>34.96891043344467</v>
      </c>
    </row>
    <row r="1003" spans="2:3">
      <c r="B1003" s="412" t="s">
        <v>1260</v>
      </c>
      <c r="C1003" s="1110">
        <v>37.089023564957849</v>
      </c>
    </row>
    <row r="1004" spans="2:3">
      <c r="B1004" s="412" t="s">
        <v>1261</v>
      </c>
      <c r="C1004" s="1110">
        <v>34.464601085517224</v>
      </c>
    </row>
    <row r="1005" spans="2:3">
      <c r="B1005" s="412" t="s">
        <v>1262</v>
      </c>
      <c r="C1005" s="1110">
        <v>32.429648498919704</v>
      </c>
    </row>
    <row r="1006" spans="2:3">
      <c r="B1006" s="412" t="s">
        <v>1263</v>
      </c>
      <c r="C1006" s="1110">
        <v>32.429648498919704</v>
      </c>
    </row>
    <row r="1007" spans="2:3">
      <c r="B1007" s="412" t="s">
        <v>1264</v>
      </c>
      <c r="C1007" s="1110">
        <v>32.429648498919704</v>
      </c>
    </row>
    <row r="1008" spans="2:3">
      <c r="B1008" s="412" t="s">
        <v>1265</v>
      </c>
      <c r="C1008" s="1110">
        <v>32.429648498919704</v>
      </c>
    </row>
    <row r="1009" spans="2:3">
      <c r="B1009" s="412" t="s">
        <v>1266</v>
      </c>
      <c r="C1009" s="1110">
        <v>36.575450274931285</v>
      </c>
    </row>
    <row r="1010" spans="2:3">
      <c r="B1010" s="412" t="s">
        <v>1267</v>
      </c>
      <c r="C1010" s="1110">
        <v>37.089023564957849</v>
      </c>
    </row>
    <row r="1011" spans="2:3">
      <c r="B1011" s="412" t="s">
        <v>1268</v>
      </c>
      <c r="C1011" s="1110">
        <v>37.061735863253382</v>
      </c>
    </row>
    <row r="1012" spans="2:3">
      <c r="B1012" s="412" t="s">
        <v>1269</v>
      </c>
      <c r="C1012" s="1110">
        <v>32.429648498919704</v>
      </c>
    </row>
    <row r="1013" spans="2:3">
      <c r="B1013" s="412" t="s">
        <v>1270</v>
      </c>
      <c r="C1013" s="1110">
        <v>37.089023564957849</v>
      </c>
    </row>
    <row r="1014" spans="2:3">
      <c r="B1014" s="412" t="s">
        <v>1271</v>
      </c>
      <c r="C1014" s="1110">
        <v>37.089023564957849</v>
      </c>
    </row>
    <row r="1015" spans="2:3">
      <c r="B1015" s="412" t="s">
        <v>1272</v>
      </c>
      <c r="C1015" s="1110">
        <v>37.089023564957849</v>
      </c>
    </row>
    <row r="1016" spans="2:3">
      <c r="B1016" s="412" t="s">
        <v>1273</v>
      </c>
      <c r="C1016" s="1110">
        <v>37.089023564957849</v>
      </c>
    </row>
    <row r="1017" spans="2:3">
      <c r="B1017" s="412" t="s">
        <v>1274</v>
      </c>
      <c r="C1017" s="1110">
        <v>32.429648498919704</v>
      </c>
    </row>
    <row r="1018" spans="2:3">
      <c r="B1018" s="412" t="s">
        <v>1275</v>
      </c>
      <c r="C1018" s="1110">
        <v>32.429648498919704</v>
      </c>
    </row>
    <row r="1019" spans="2:3">
      <c r="B1019" s="412" t="s">
        <v>1276</v>
      </c>
      <c r="C1019" s="1110">
        <v>26.232241999999999</v>
      </c>
    </row>
    <row r="1020" spans="2:3">
      <c r="B1020" s="412" t="s">
        <v>1277</v>
      </c>
      <c r="C1020" s="1110">
        <v>47.153661999999997</v>
      </c>
    </row>
    <row r="1021" spans="2:3">
      <c r="B1021" s="412" t="s">
        <v>1278</v>
      </c>
      <c r="C1021" s="1110">
        <v>47.153661999999997</v>
      </c>
    </row>
    <row r="1022" spans="2:3">
      <c r="B1022" s="412" t="s">
        <v>1279</v>
      </c>
      <c r="C1022" s="1110">
        <v>47.153661999999997</v>
      </c>
    </row>
    <row r="1023" spans="2:3">
      <c r="B1023" s="412" t="s">
        <v>1280</v>
      </c>
      <c r="C1023" s="1110">
        <v>44.684595631578944</v>
      </c>
    </row>
    <row r="1024" spans="2:3">
      <c r="B1024" s="412" t="s">
        <v>1281</v>
      </c>
      <c r="C1024" s="1110">
        <v>46.90716815189873</v>
      </c>
    </row>
    <row r="1025" spans="2:3">
      <c r="B1025" s="412" t="s">
        <v>1282</v>
      </c>
      <c r="C1025" s="1110">
        <v>47.153661999999997</v>
      </c>
    </row>
    <row r="1026" spans="2:3">
      <c r="B1026" s="412" t="s">
        <v>1283</v>
      </c>
      <c r="C1026" s="1110">
        <v>47.153661999999997</v>
      </c>
    </row>
    <row r="1027" spans="2:3">
      <c r="B1027" s="412" t="s">
        <v>1284</v>
      </c>
      <c r="C1027" s="1110">
        <v>47.132694003260326</v>
      </c>
    </row>
    <row r="1028" spans="2:3">
      <c r="B1028" s="412" t="s">
        <v>1285</v>
      </c>
      <c r="C1028" s="1110">
        <v>47.211564179894182</v>
      </c>
    </row>
    <row r="1029" spans="2:3">
      <c r="B1029" s="412" t="s">
        <v>1286</v>
      </c>
      <c r="C1029" s="1110">
        <v>47.313550974025972</v>
      </c>
    </row>
    <row r="1030" spans="2:3">
      <c r="B1030" s="412" t="s">
        <v>1287</v>
      </c>
      <c r="C1030" s="1110">
        <v>47.718425082228116</v>
      </c>
    </row>
    <row r="1031" spans="2:3">
      <c r="B1031" s="412" t="s">
        <v>1288</v>
      </c>
      <c r="C1031" s="1110">
        <v>47.153661999999997</v>
      </c>
    </row>
    <row r="1032" spans="2:3">
      <c r="B1032" s="412" t="s">
        <v>1289</v>
      </c>
      <c r="C1032" s="1110">
        <v>47.990150376690949</v>
      </c>
    </row>
    <row r="1033" spans="2:3">
      <c r="B1033" s="412" t="s">
        <v>1290</v>
      </c>
      <c r="C1033" s="1110">
        <v>47.153661999999997</v>
      </c>
    </row>
    <row r="1034" spans="2:3">
      <c r="B1034" s="412" t="s">
        <v>1291</v>
      </c>
      <c r="C1034" s="1110">
        <v>47.153661999999997</v>
      </c>
    </row>
    <row r="1035" spans="2:3">
      <c r="B1035" s="412" t="s">
        <v>1292</v>
      </c>
      <c r="C1035" s="1110">
        <v>47.153661999999997</v>
      </c>
    </row>
    <row r="1036" spans="2:3">
      <c r="B1036" s="412" t="s">
        <v>1293</v>
      </c>
      <c r="C1036" s="1110">
        <v>47.153661999999997</v>
      </c>
    </row>
    <row r="1037" spans="2:3">
      <c r="B1037" s="412" t="s">
        <v>1294</v>
      </c>
      <c r="C1037" s="1110">
        <v>47.153661999999997</v>
      </c>
    </row>
    <row r="1038" spans="2:3">
      <c r="B1038" s="412" t="s">
        <v>1295</v>
      </c>
      <c r="C1038" s="1110">
        <v>47.153661999999997</v>
      </c>
    </row>
    <row r="1039" spans="2:3">
      <c r="B1039" s="412" t="s">
        <v>1296</v>
      </c>
      <c r="C1039" s="1110">
        <v>47.153661999999997</v>
      </c>
    </row>
    <row r="1040" spans="2:3">
      <c r="B1040" s="412" t="s">
        <v>1297</v>
      </c>
      <c r="C1040" s="1110">
        <v>47.153661999999997</v>
      </c>
    </row>
    <row r="1041" spans="2:3">
      <c r="B1041" s="412" t="s">
        <v>1298</v>
      </c>
      <c r="C1041" s="1110">
        <v>47.170367951557097</v>
      </c>
    </row>
    <row r="1042" spans="2:3">
      <c r="B1042" s="412" t="s">
        <v>1299</v>
      </c>
      <c r="C1042" s="1110">
        <v>47.422723531249993</v>
      </c>
    </row>
    <row r="1043" spans="2:3">
      <c r="B1043" s="412" t="s">
        <v>1300</v>
      </c>
      <c r="C1043" s="1110">
        <v>47.153661999999997</v>
      </c>
    </row>
    <row r="1044" spans="2:3">
      <c r="B1044" s="412" t="s">
        <v>1301</v>
      </c>
      <c r="C1044" s="1110">
        <v>47.347425756658588</v>
      </c>
    </row>
    <row r="1045" spans="2:3">
      <c r="B1045" s="412" t="s">
        <v>1302</v>
      </c>
      <c r="C1045" s="1110">
        <v>47.185274035714286</v>
      </c>
    </row>
    <row r="1046" spans="2:3">
      <c r="B1046" s="412" t="s">
        <v>1303</v>
      </c>
      <c r="C1046" s="1110">
        <v>42.65620913513515</v>
      </c>
    </row>
    <row r="1047" spans="2:3">
      <c r="B1047" s="412" t="s">
        <v>1304</v>
      </c>
      <c r="C1047" s="1110">
        <v>40.716301999999999</v>
      </c>
    </row>
    <row r="1048" spans="2:3">
      <c r="B1048" s="412" t="s">
        <v>1305</v>
      </c>
      <c r="C1048" s="1110">
        <v>43.455891266247384</v>
      </c>
    </row>
    <row r="1049" spans="2:3">
      <c r="B1049" s="412" t="s">
        <v>1306</v>
      </c>
      <c r="C1049" s="1110">
        <v>51.981681999999999</v>
      </c>
    </row>
    <row r="1050" spans="2:3">
      <c r="B1050" s="412" t="s">
        <v>1307</v>
      </c>
      <c r="C1050" s="1110">
        <v>45.010012571049138</v>
      </c>
    </row>
    <row r="1051" spans="2:3">
      <c r="B1051" s="412" t="s">
        <v>1308</v>
      </c>
      <c r="C1051" s="1110">
        <v>51.973355776792303</v>
      </c>
    </row>
    <row r="1052" spans="2:3">
      <c r="B1052" s="412" t="s">
        <v>1309</v>
      </c>
      <c r="C1052" s="1110">
        <v>40.791072221238935</v>
      </c>
    </row>
    <row r="1053" spans="2:3">
      <c r="B1053" s="412" t="s">
        <v>1310</v>
      </c>
      <c r="C1053" s="1110">
        <v>40.73613541549296</v>
      </c>
    </row>
    <row r="1054" spans="2:3">
      <c r="B1054" s="412" t="s">
        <v>1311</v>
      </c>
      <c r="C1054" s="1110">
        <v>51.981681999999999</v>
      </c>
    </row>
    <row r="1055" spans="2:3">
      <c r="B1055" s="412" t="s">
        <v>1312</v>
      </c>
      <c r="C1055" s="1110">
        <v>40.716301999999999</v>
      </c>
    </row>
    <row r="1056" spans="2:3">
      <c r="B1056" s="412" t="s">
        <v>1313</v>
      </c>
      <c r="C1056" s="1110">
        <v>40.75629743195266</v>
      </c>
    </row>
    <row r="1057" spans="2:3">
      <c r="B1057" s="412" t="s">
        <v>1314</v>
      </c>
      <c r="C1057" s="1110">
        <v>40.716301999999999</v>
      </c>
    </row>
    <row r="1058" spans="2:3">
      <c r="B1058" s="412" t="s">
        <v>1315</v>
      </c>
      <c r="C1058" s="1110">
        <v>40.716301999999999</v>
      </c>
    </row>
    <row r="1059" spans="2:3">
      <c r="B1059" s="412" t="s">
        <v>1316</v>
      </c>
      <c r="C1059" s="1110">
        <v>40.716301999999999</v>
      </c>
    </row>
    <row r="1060" spans="2:3">
      <c r="B1060" s="412" t="s">
        <v>1317</v>
      </c>
      <c r="C1060" s="1110">
        <v>40.716301999999999</v>
      </c>
    </row>
    <row r="1061" spans="2:3">
      <c r="B1061" s="412" t="s">
        <v>1318</v>
      </c>
      <c r="C1061" s="1110">
        <v>40.716301999999999</v>
      </c>
    </row>
    <row r="1062" spans="2:3">
      <c r="B1062" s="412" t="s">
        <v>1319</v>
      </c>
      <c r="C1062" s="1110">
        <v>40.716301999999999</v>
      </c>
    </row>
    <row r="1063" spans="2:3">
      <c r="B1063" s="412" t="s">
        <v>1320</v>
      </c>
      <c r="C1063" s="1110">
        <v>40.716301999999999</v>
      </c>
    </row>
    <row r="1064" spans="2:3">
      <c r="B1064" s="412" t="s">
        <v>1321</v>
      </c>
      <c r="C1064" s="1110">
        <v>45.280014335766424</v>
      </c>
    </row>
    <row r="1065" spans="2:3">
      <c r="B1065" s="412" t="s">
        <v>1322</v>
      </c>
      <c r="C1065" s="1110">
        <v>43.915711585760512</v>
      </c>
    </row>
    <row r="1066" spans="2:3">
      <c r="B1066" s="412" t="s">
        <v>1323</v>
      </c>
      <c r="C1066" s="1110">
        <v>50.694209999999998</v>
      </c>
    </row>
    <row r="1067" spans="2:3">
      <c r="B1067" s="412" t="s">
        <v>1324</v>
      </c>
      <c r="C1067" s="1110">
        <v>50.694209999999998</v>
      </c>
    </row>
    <row r="1068" spans="2:3">
      <c r="B1068" s="412" t="s">
        <v>1325</v>
      </c>
      <c r="C1068" s="1110">
        <v>40.716301999999999</v>
      </c>
    </row>
    <row r="1069" spans="2:3">
      <c r="B1069" s="412" t="s">
        <v>1326</v>
      </c>
      <c r="C1069" s="1110">
        <v>51.79030102702702</v>
      </c>
    </row>
    <row r="1070" spans="2:3">
      <c r="B1070" s="412" t="s">
        <v>1327</v>
      </c>
      <c r="C1070" s="1110">
        <v>51.491359719626168</v>
      </c>
    </row>
    <row r="1071" spans="2:3">
      <c r="B1071" s="412" t="s">
        <v>1328</v>
      </c>
      <c r="C1071" s="1110">
        <v>51.981681999999999</v>
      </c>
    </row>
    <row r="1072" spans="2:3">
      <c r="B1072" s="412" t="s">
        <v>1329</v>
      </c>
      <c r="C1072" s="1110">
        <v>51.865996110144927</v>
      </c>
    </row>
    <row r="1073" spans="2:3">
      <c r="B1073" s="412" t="s">
        <v>1330</v>
      </c>
      <c r="C1073" s="1110">
        <v>51.981681999999999</v>
      </c>
    </row>
    <row r="1074" spans="2:3">
      <c r="B1074" s="412" t="s">
        <v>1331</v>
      </c>
      <c r="C1074" s="1110">
        <v>51.981681999999999</v>
      </c>
    </row>
    <row r="1075" spans="2:3">
      <c r="B1075" s="412" t="s">
        <v>1332</v>
      </c>
      <c r="C1075" s="1110">
        <v>40.716301999999999</v>
      </c>
    </row>
    <row r="1076" spans="2:3">
      <c r="B1076" s="412" t="s">
        <v>1333</v>
      </c>
      <c r="C1076" s="1110">
        <v>51.968506116959055</v>
      </c>
    </row>
    <row r="1077" spans="2:3">
      <c r="B1077" s="412" t="s">
        <v>1334</v>
      </c>
      <c r="C1077" s="1110">
        <v>47.475529999999999</v>
      </c>
    </row>
    <row r="1078" spans="2:3">
      <c r="B1078" s="412" t="s">
        <v>1335</v>
      </c>
      <c r="C1078" s="1110">
        <v>40.716301999999999</v>
      </c>
    </row>
    <row r="1079" spans="2:3">
      <c r="B1079" s="412" t="s">
        <v>1336</v>
      </c>
      <c r="C1079" s="1110">
        <v>51.981681999999999</v>
      </c>
    </row>
    <row r="1080" spans="2:3">
      <c r="B1080" s="412" t="s">
        <v>1337</v>
      </c>
      <c r="C1080" s="1110">
        <v>51.981681999999999</v>
      </c>
    </row>
    <row r="1081" spans="2:3">
      <c r="B1081" s="412" t="s">
        <v>1338</v>
      </c>
      <c r="C1081" s="1110">
        <v>40.716301999999999</v>
      </c>
    </row>
    <row r="1082" spans="2:3">
      <c r="B1082" s="412" t="s">
        <v>1339</v>
      </c>
      <c r="C1082" s="1110">
        <v>40.716301999999999</v>
      </c>
    </row>
    <row r="1083" spans="2:3">
      <c r="B1083" s="412" t="s">
        <v>1340</v>
      </c>
      <c r="C1083" s="1110">
        <v>40.808547682588596</v>
      </c>
    </row>
    <row r="1084" spans="2:3">
      <c r="B1084" s="412" t="s">
        <v>1341</v>
      </c>
      <c r="C1084" s="1110">
        <v>40.716301999999999</v>
      </c>
    </row>
    <row r="1085" spans="2:3">
      <c r="B1085" s="412" t="s">
        <v>1342</v>
      </c>
      <c r="C1085" s="1110">
        <v>37.089023564957849</v>
      </c>
    </row>
    <row r="1086" spans="2:3">
      <c r="B1086" s="412" t="s">
        <v>1343</v>
      </c>
      <c r="C1086" s="1110">
        <v>37.089023564957849</v>
      </c>
    </row>
    <row r="1087" spans="2:3">
      <c r="B1087" s="412" t="s">
        <v>1344</v>
      </c>
      <c r="C1087" s="1110">
        <v>37.089023564957849</v>
      </c>
    </row>
    <row r="1088" spans="2:3">
      <c r="B1088" s="412" t="s">
        <v>1345</v>
      </c>
      <c r="C1088" s="1110">
        <v>37.089023564957849</v>
      </c>
    </row>
    <row r="1089" spans="2:3">
      <c r="B1089" s="412" t="s">
        <v>1346</v>
      </c>
      <c r="C1089" s="1110">
        <v>37.089023564957849</v>
      </c>
    </row>
    <row r="1090" spans="2:3">
      <c r="B1090" s="412" t="s">
        <v>1347</v>
      </c>
      <c r="C1090" s="1110">
        <v>37.089023564957849</v>
      </c>
    </row>
    <row r="1091" spans="2:3">
      <c r="B1091" s="412" t="s">
        <v>1348</v>
      </c>
      <c r="C1091" s="1110">
        <v>37.089023564957849</v>
      </c>
    </row>
    <row r="1092" spans="2:3">
      <c r="B1092" s="412" t="s">
        <v>1349</v>
      </c>
      <c r="C1092" s="1110">
        <v>37.089023564957849</v>
      </c>
    </row>
    <row r="1093" spans="2:3">
      <c r="B1093" s="412" t="s">
        <v>1350</v>
      </c>
      <c r="C1093" s="1110">
        <v>37.089023564957849</v>
      </c>
    </row>
    <row r="1094" spans="2:3" ht="17" thickBot="1">
      <c r="B1094" s="413" t="s">
        <v>1351</v>
      </c>
      <c r="C1094" s="655">
        <v>37.089023564957849</v>
      </c>
    </row>
    <row r="1095" spans="2:3">
      <c r="B1095" s="415" t="s">
        <v>1352</v>
      </c>
      <c r="C1095" s="1109">
        <v>25.834505114285712</v>
      </c>
    </row>
    <row r="1096" spans="2:3">
      <c r="B1096" s="412" t="s">
        <v>1353</v>
      </c>
      <c r="C1096" s="1110">
        <v>27.291302797399783</v>
      </c>
    </row>
    <row r="1097" spans="2:3">
      <c r="B1097" s="412" t="s">
        <v>1354</v>
      </c>
      <c r="C1097" s="1110">
        <v>27.358779999999999</v>
      </c>
    </row>
    <row r="1098" spans="2:3">
      <c r="B1098" s="412" t="s">
        <v>1355</v>
      </c>
      <c r="C1098" s="1110">
        <v>27.029648945368173</v>
      </c>
    </row>
    <row r="1099" spans="2:3">
      <c r="B1099" s="412" t="s">
        <v>1356</v>
      </c>
      <c r="C1099" s="1110">
        <v>38.103788041811846</v>
      </c>
    </row>
    <row r="1100" spans="2:3">
      <c r="B1100" s="412" t="s">
        <v>1357</v>
      </c>
      <c r="C1100" s="1110">
        <v>29.903964211849189</v>
      </c>
    </row>
    <row r="1101" spans="2:3">
      <c r="B1101" s="412" t="s">
        <v>1358</v>
      </c>
      <c r="C1101" s="1110">
        <v>40.876568224066389</v>
      </c>
    </row>
    <row r="1102" spans="2:3">
      <c r="B1102" s="412" t="s">
        <v>1359</v>
      </c>
      <c r="C1102" s="1110">
        <v>27.381528848130838</v>
      </c>
    </row>
    <row r="1103" spans="2:3">
      <c r="B1103" s="412" t="s">
        <v>1360</v>
      </c>
      <c r="C1103" s="1110">
        <v>28.056919431400285</v>
      </c>
    </row>
    <row r="1104" spans="2:3">
      <c r="B1104" s="412" t="s">
        <v>1361</v>
      </c>
      <c r="C1104" s="1110">
        <v>25.910374000000001</v>
      </c>
    </row>
    <row r="1105" spans="2:3">
      <c r="B1105" s="412" t="s">
        <v>1362</v>
      </c>
      <c r="C1105" s="1110">
        <v>33.313338000000002</v>
      </c>
    </row>
    <row r="1106" spans="2:3">
      <c r="B1106" s="412" t="s">
        <v>1363</v>
      </c>
      <c r="C1106" s="1110">
        <v>33.362976733766239</v>
      </c>
    </row>
    <row r="1107" spans="2:3">
      <c r="B1107" s="412" t="s">
        <v>1364</v>
      </c>
      <c r="C1107" s="1110">
        <v>33.424064178272985</v>
      </c>
    </row>
    <row r="1108" spans="2:3">
      <c r="B1108" s="412" t="s">
        <v>1365</v>
      </c>
      <c r="C1108" s="1110">
        <v>33.313338000000002</v>
      </c>
    </row>
    <row r="1109" spans="2:3">
      <c r="B1109" s="412" t="s">
        <v>1366</v>
      </c>
      <c r="C1109" s="1110">
        <v>33.317614567832166</v>
      </c>
    </row>
    <row r="1110" spans="2:3">
      <c r="B1110" s="412" t="s">
        <v>1367</v>
      </c>
      <c r="C1110" s="1110">
        <v>36.347411127741935</v>
      </c>
    </row>
    <row r="1111" spans="2:3">
      <c r="B1111" s="412" t="s">
        <v>1368</v>
      </c>
      <c r="C1111" s="1110">
        <v>33.313338000000002</v>
      </c>
    </row>
    <row r="1112" spans="2:3">
      <c r="B1112" s="412" t="s">
        <v>1369</v>
      </c>
      <c r="C1112" s="1110">
        <v>33.33486420382166</v>
      </c>
    </row>
    <row r="1113" spans="2:3">
      <c r="B1113" s="412" t="s">
        <v>1370</v>
      </c>
      <c r="C1113" s="1110">
        <v>33.390668150847461</v>
      </c>
    </row>
    <row r="1114" spans="2:3">
      <c r="B1114" s="412" t="s">
        <v>1371</v>
      </c>
      <c r="C1114" s="1110">
        <v>55.039428000000001</v>
      </c>
    </row>
    <row r="1115" spans="2:3">
      <c r="B1115" s="412" t="s">
        <v>1372</v>
      </c>
      <c r="C1115" s="1110">
        <v>55.039428000000001</v>
      </c>
    </row>
    <row r="1116" spans="2:3">
      <c r="B1116" s="412" t="s">
        <v>1373</v>
      </c>
      <c r="C1116" s="1110">
        <v>55.039428000000001</v>
      </c>
    </row>
    <row r="1117" spans="2:3">
      <c r="B1117" s="412" t="s">
        <v>1374</v>
      </c>
      <c r="C1117" s="1110">
        <v>55.039428000000001</v>
      </c>
    </row>
    <row r="1118" spans="2:3">
      <c r="B1118" s="412" t="s">
        <v>1375</v>
      </c>
      <c r="C1118" s="1110">
        <v>55.039428000000001</v>
      </c>
    </row>
    <row r="1119" spans="2:3">
      <c r="B1119" s="412" t="s">
        <v>1376</v>
      </c>
      <c r="C1119" s="1110">
        <v>48.441133999999998</v>
      </c>
    </row>
    <row r="1120" spans="2:3">
      <c r="B1120" s="412" t="s">
        <v>1377</v>
      </c>
      <c r="C1120" s="1110">
        <v>48.763002</v>
      </c>
    </row>
    <row r="1121" spans="2:3">
      <c r="B1121" s="412" t="s">
        <v>1378</v>
      </c>
      <c r="C1121" s="1110">
        <v>48.763002</v>
      </c>
    </row>
    <row r="1122" spans="2:3">
      <c r="B1122" s="412" t="s">
        <v>1379</v>
      </c>
      <c r="C1122" s="1110">
        <v>48.763002</v>
      </c>
    </row>
    <row r="1123" spans="2:3">
      <c r="B1123" s="412" t="s">
        <v>1380</v>
      </c>
      <c r="C1123" s="1110">
        <v>48.763002</v>
      </c>
    </row>
    <row r="1124" spans="2:3">
      <c r="B1124" s="412" t="s">
        <v>1381</v>
      </c>
      <c r="C1124" s="1110">
        <v>48.782398941619583</v>
      </c>
    </row>
    <row r="1125" spans="2:3">
      <c r="B1125" s="412" t="s">
        <v>1382</v>
      </c>
      <c r="C1125" s="1110">
        <v>48.763002</v>
      </c>
    </row>
    <row r="1126" spans="2:3">
      <c r="B1126" s="412" t="s">
        <v>1383</v>
      </c>
      <c r="C1126" s="1110">
        <v>48.763002</v>
      </c>
    </row>
    <row r="1127" spans="2:3">
      <c r="B1127" s="412" t="s">
        <v>1384</v>
      </c>
      <c r="C1127" s="1110">
        <v>48.763002</v>
      </c>
    </row>
    <row r="1128" spans="2:3">
      <c r="B1128" s="412" t="s">
        <v>1385</v>
      </c>
      <c r="C1128" s="1110">
        <v>48.797539251862894</v>
      </c>
    </row>
    <row r="1129" spans="2:3">
      <c r="B1129" s="412" t="s">
        <v>1386</v>
      </c>
      <c r="C1129" s="1110">
        <v>48.763002</v>
      </c>
    </row>
    <row r="1130" spans="2:3">
      <c r="B1130" s="412" t="s">
        <v>1387</v>
      </c>
      <c r="C1130" s="1110">
        <v>48.441133999999998</v>
      </c>
    </row>
    <row r="1131" spans="2:3">
      <c r="B1131" s="412" t="s">
        <v>1388</v>
      </c>
      <c r="C1131" s="1110">
        <v>48.763002</v>
      </c>
    </row>
    <row r="1132" spans="2:3">
      <c r="B1132" s="412" t="s">
        <v>1389</v>
      </c>
      <c r="C1132" s="1110">
        <v>48.763002</v>
      </c>
    </row>
    <row r="1133" spans="2:3">
      <c r="B1133" s="412" t="s">
        <v>1390</v>
      </c>
      <c r="C1133" s="1110">
        <v>48.763002</v>
      </c>
    </row>
    <row r="1134" spans="2:3">
      <c r="B1134" s="412" t="s">
        <v>1391</v>
      </c>
      <c r="C1134" s="1110">
        <v>48.478694897666067</v>
      </c>
    </row>
    <row r="1135" spans="2:3">
      <c r="B1135" s="412" t="s">
        <v>1392</v>
      </c>
      <c r="C1135" s="1110">
        <v>48.763002</v>
      </c>
    </row>
    <row r="1136" spans="2:3">
      <c r="B1136" s="412" t="s">
        <v>1393</v>
      </c>
      <c r="C1136" s="1110">
        <v>48.441133999999998</v>
      </c>
    </row>
    <row r="1137" spans="2:3">
      <c r="B1137" s="412" t="s">
        <v>1394</v>
      </c>
      <c r="C1137" s="1110">
        <v>48.455979516042774</v>
      </c>
    </row>
    <row r="1138" spans="2:3">
      <c r="B1138" s="412" t="s">
        <v>1395</v>
      </c>
      <c r="C1138" s="1110">
        <v>48.762117747252745</v>
      </c>
    </row>
    <row r="1139" spans="2:3">
      <c r="B1139" s="412" t="s">
        <v>1396</v>
      </c>
      <c r="C1139" s="1110">
        <v>48.763002</v>
      </c>
    </row>
    <row r="1140" spans="2:3">
      <c r="B1140" s="412" t="s">
        <v>1397</v>
      </c>
      <c r="C1140" s="1110">
        <v>48.763002</v>
      </c>
    </row>
    <row r="1141" spans="2:3">
      <c r="B1141" s="412" t="s">
        <v>1398</v>
      </c>
      <c r="C1141" s="1110">
        <v>48.761518737327194</v>
      </c>
    </row>
    <row r="1142" spans="2:3">
      <c r="B1142" s="412" t="s">
        <v>1399</v>
      </c>
      <c r="C1142" s="1110">
        <v>48.763002</v>
      </c>
    </row>
    <row r="1143" spans="2:3">
      <c r="B1143" s="412" t="s">
        <v>1400</v>
      </c>
      <c r="C1143" s="1110">
        <v>52.625418000000003</v>
      </c>
    </row>
    <row r="1144" spans="2:3">
      <c r="B1144" s="412" t="s">
        <v>1401</v>
      </c>
      <c r="C1144" s="1110">
        <v>52.625418000000003</v>
      </c>
    </row>
    <row r="1145" spans="2:3">
      <c r="B1145" s="412" t="s">
        <v>1402</v>
      </c>
      <c r="C1145" s="1110">
        <v>45.235717630664404</v>
      </c>
    </row>
    <row r="1146" spans="2:3">
      <c r="B1146" s="412" t="s">
        <v>1403</v>
      </c>
      <c r="C1146" s="1110">
        <v>52.625418000000003</v>
      </c>
    </row>
    <row r="1147" spans="2:3">
      <c r="B1147" s="412" t="s">
        <v>1404</v>
      </c>
      <c r="C1147" s="1110">
        <v>50.121618896832054</v>
      </c>
    </row>
    <row r="1148" spans="2:3">
      <c r="B1148" s="412" t="s">
        <v>1405</v>
      </c>
      <c r="C1148" s="1110">
        <v>52.625418000000003</v>
      </c>
    </row>
    <row r="1149" spans="2:3">
      <c r="B1149" s="412" t="s">
        <v>1406</v>
      </c>
      <c r="C1149" s="1110">
        <v>52.605009702898549</v>
      </c>
    </row>
    <row r="1150" spans="2:3">
      <c r="B1150" s="412" t="s">
        <v>1407</v>
      </c>
      <c r="C1150" s="1110">
        <v>52.338181367088609</v>
      </c>
    </row>
    <row r="1151" spans="2:3">
      <c r="B1151" s="412" t="s">
        <v>1408</v>
      </c>
      <c r="C1151" s="1110">
        <v>52.570631957446807</v>
      </c>
    </row>
    <row r="1152" spans="2:3">
      <c r="B1152" s="412" t="s">
        <v>1409</v>
      </c>
      <c r="C1152" s="1110">
        <v>37.089023564957849</v>
      </c>
    </row>
    <row r="1153" spans="2:3">
      <c r="B1153" s="412" t="s">
        <v>1410</v>
      </c>
      <c r="C1153" s="1110">
        <v>37.089023564957849</v>
      </c>
    </row>
    <row r="1154" spans="2:3">
      <c r="B1154" s="412" t="s">
        <v>1411</v>
      </c>
      <c r="C1154" s="1110">
        <v>37.089023564957849</v>
      </c>
    </row>
    <row r="1155" spans="2:3">
      <c r="B1155" s="412" t="s">
        <v>1412</v>
      </c>
      <c r="C1155" s="1110">
        <v>37.089023564957849</v>
      </c>
    </row>
    <row r="1156" spans="2:3">
      <c r="B1156" s="412" t="s">
        <v>1413</v>
      </c>
      <c r="C1156" s="1110">
        <v>37.089023564957849</v>
      </c>
    </row>
    <row r="1157" spans="2:3">
      <c r="B1157" s="412" t="s">
        <v>1414</v>
      </c>
      <c r="C1157" s="1110">
        <v>37.089023564957849</v>
      </c>
    </row>
    <row r="1158" spans="2:3">
      <c r="B1158" s="412" t="s">
        <v>1415</v>
      </c>
      <c r="C1158" s="1110">
        <v>37.089023564957849</v>
      </c>
    </row>
    <row r="1159" spans="2:3">
      <c r="B1159" s="412" t="s">
        <v>1416</v>
      </c>
      <c r="C1159" s="1110">
        <v>37.089023564957849</v>
      </c>
    </row>
    <row r="1160" spans="2:3">
      <c r="B1160" s="412" t="s">
        <v>1417</v>
      </c>
      <c r="C1160" s="1110">
        <v>37.089023564957849</v>
      </c>
    </row>
    <row r="1161" spans="2:3">
      <c r="B1161" s="412" t="s">
        <v>1418</v>
      </c>
      <c r="C1161" s="1110">
        <v>27.680648000000001</v>
      </c>
    </row>
    <row r="1162" spans="2:3">
      <c r="B1162" s="412" t="s">
        <v>1419</v>
      </c>
      <c r="C1162" s="1110">
        <v>58.579976000000002</v>
      </c>
    </row>
    <row r="1163" spans="2:3">
      <c r="B1163" s="412" t="s">
        <v>1420</v>
      </c>
      <c r="C1163" s="1110">
        <v>55.616011683453237</v>
      </c>
    </row>
    <row r="1164" spans="2:3">
      <c r="B1164" s="412" t="s">
        <v>1421</v>
      </c>
      <c r="C1164" s="1110">
        <v>58.498981693315862</v>
      </c>
    </row>
    <row r="1165" spans="2:3">
      <c r="B1165" s="412" t="s">
        <v>1422</v>
      </c>
      <c r="C1165" s="1110">
        <v>58.202233603911985</v>
      </c>
    </row>
    <row r="1166" spans="2:3">
      <c r="B1166" s="412" t="s">
        <v>1423</v>
      </c>
      <c r="C1166" s="1110">
        <v>58.579976000000002</v>
      </c>
    </row>
    <row r="1167" spans="2:3">
      <c r="B1167" s="412" t="s">
        <v>1424</v>
      </c>
      <c r="C1167" s="1110">
        <v>58.579976000000002</v>
      </c>
    </row>
    <row r="1168" spans="2:3">
      <c r="B1168" s="412" t="s">
        <v>1425</v>
      </c>
      <c r="C1168" s="1110">
        <v>58.579976000000002</v>
      </c>
    </row>
    <row r="1169" spans="2:3">
      <c r="B1169" s="412" t="s">
        <v>1426</v>
      </c>
      <c r="C1169" s="1110">
        <v>58.579976000000002</v>
      </c>
    </row>
    <row r="1170" spans="2:3">
      <c r="B1170" s="412" t="s">
        <v>1427</v>
      </c>
      <c r="C1170" s="1110">
        <v>58.579976000000002</v>
      </c>
    </row>
    <row r="1171" spans="2:3">
      <c r="B1171" s="412" t="s">
        <v>1428</v>
      </c>
      <c r="C1171" s="1110">
        <v>58.579976000000002</v>
      </c>
    </row>
    <row r="1172" spans="2:3">
      <c r="B1172" s="412" t="s">
        <v>1429</v>
      </c>
      <c r="C1172" s="1110">
        <v>27.680648000000001</v>
      </c>
    </row>
    <row r="1173" spans="2:3">
      <c r="B1173" s="412" t="s">
        <v>1430</v>
      </c>
      <c r="C1173" s="1110">
        <v>58.579976000000002</v>
      </c>
    </row>
    <row r="1174" spans="2:3">
      <c r="B1174" s="412" t="s">
        <v>1431</v>
      </c>
      <c r="C1174" s="1110">
        <v>27.680648000000001</v>
      </c>
    </row>
    <row r="1175" spans="2:3">
      <c r="B1175" s="412" t="s">
        <v>1432</v>
      </c>
      <c r="C1175" s="1110">
        <v>31.597464225352113</v>
      </c>
    </row>
    <row r="1176" spans="2:3">
      <c r="B1176" s="412" t="s">
        <v>1433</v>
      </c>
      <c r="C1176" s="1110">
        <v>29.480895381088825</v>
      </c>
    </row>
    <row r="1177" spans="2:3">
      <c r="B1177" s="412" t="s">
        <v>1434</v>
      </c>
      <c r="C1177" s="1110">
        <v>29.597247770045385</v>
      </c>
    </row>
    <row r="1178" spans="2:3">
      <c r="B1178" s="412" t="s">
        <v>1435</v>
      </c>
      <c r="C1178" s="1110">
        <v>28.744674446280996</v>
      </c>
    </row>
    <row r="1179" spans="2:3">
      <c r="B1179" s="412" t="s">
        <v>1436</v>
      </c>
      <c r="C1179" s="1110">
        <v>27.722068010723863</v>
      </c>
    </row>
    <row r="1180" spans="2:3">
      <c r="B1180" s="412" t="s">
        <v>1437</v>
      </c>
      <c r="C1180" s="1110">
        <v>27.680648000000001</v>
      </c>
    </row>
    <row r="1181" spans="2:3">
      <c r="B1181" s="412" t="s">
        <v>1438</v>
      </c>
      <c r="C1181" s="1110">
        <v>36.371084000000003</v>
      </c>
    </row>
    <row r="1182" spans="2:3">
      <c r="B1182" s="412" t="s">
        <v>1439</v>
      </c>
      <c r="C1182" s="1110">
        <v>36.371084000000003</v>
      </c>
    </row>
    <row r="1183" spans="2:3">
      <c r="B1183" s="412" t="s">
        <v>1440</v>
      </c>
      <c r="C1183" s="1110">
        <v>36.364288757213231</v>
      </c>
    </row>
    <row r="1184" spans="2:3">
      <c r="B1184" s="412" t="s">
        <v>1441</v>
      </c>
      <c r="C1184" s="1110">
        <v>36.349849652777777</v>
      </c>
    </row>
    <row r="1185" spans="2:3">
      <c r="B1185" s="412" t="s">
        <v>1442</v>
      </c>
      <c r="C1185" s="1110">
        <v>36.371084000000003</v>
      </c>
    </row>
    <row r="1186" spans="2:3">
      <c r="B1186" s="412" t="s">
        <v>1443</v>
      </c>
      <c r="C1186" s="1110">
        <v>36.371084000000003</v>
      </c>
    </row>
    <row r="1187" spans="2:3" ht="17" thickBot="1">
      <c r="B1187" s="413" t="s">
        <v>1444</v>
      </c>
      <c r="C1187" s="655">
        <v>36.371084000000003</v>
      </c>
    </row>
    <row r="1188" spans="2:3">
      <c r="B1188" s="415" t="s">
        <v>1445</v>
      </c>
      <c r="C1188" s="1109">
        <v>28.807186000000002</v>
      </c>
    </row>
    <row r="1189" spans="2:3">
      <c r="B1189" s="412" t="s">
        <v>1446</v>
      </c>
      <c r="C1189" s="1110">
        <v>49.889539999999997</v>
      </c>
    </row>
    <row r="1190" spans="2:3">
      <c r="B1190" s="412" t="s">
        <v>1447</v>
      </c>
      <c r="C1190" s="1110">
        <v>27.373378764578835</v>
      </c>
    </row>
    <row r="1191" spans="2:3">
      <c r="B1191" s="412" t="s">
        <v>1448</v>
      </c>
      <c r="C1191" s="1110">
        <v>28.807186000000002</v>
      </c>
    </row>
    <row r="1192" spans="2:3">
      <c r="B1192" s="412" t="s">
        <v>1449</v>
      </c>
      <c r="C1192" s="1110">
        <v>28.807186000000002</v>
      </c>
    </row>
    <row r="1193" spans="2:3">
      <c r="B1193" s="412" t="s">
        <v>1450</v>
      </c>
      <c r="C1193" s="1110">
        <v>28.807186000000002</v>
      </c>
    </row>
    <row r="1194" spans="2:3">
      <c r="B1194" s="412" t="s">
        <v>1451</v>
      </c>
      <c r="C1194" s="1110">
        <v>28.807186000000002</v>
      </c>
    </row>
    <row r="1195" spans="2:3">
      <c r="B1195" s="412" t="s">
        <v>1452</v>
      </c>
      <c r="C1195" s="1110">
        <v>28.807186000000002</v>
      </c>
    </row>
    <row r="1196" spans="2:3">
      <c r="B1196" s="412" t="s">
        <v>1453</v>
      </c>
      <c r="C1196" s="1110">
        <v>42.242866520491795</v>
      </c>
    </row>
    <row r="1197" spans="2:3">
      <c r="B1197" s="412" t="s">
        <v>1454</v>
      </c>
      <c r="C1197" s="1110">
        <v>30.170807258536581</v>
      </c>
    </row>
    <row r="1198" spans="2:3">
      <c r="B1198" s="412" t="s">
        <v>1455</v>
      </c>
      <c r="C1198" s="1110">
        <v>47.547056222222217</v>
      </c>
    </row>
    <row r="1199" spans="2:3">
      <c r="B1199" s="412" t="s">
        <v>1456</v>
      </c>
      <c r="C1199" s="1110">
        <v>37.089023564957849</v>
      </c>
    </row>
    <row r="1200" spans="2:3">
      <c r="B1200" s="412" t="s">
        <v>1457</v>
      </c>
      <c r="C1200" s="1110">
        <v>37.089023564957849</v>
      </c>
    </row>
    <row r="1201" spans="2:3">
      <c r="B1201" s="412" t="s">
        <v>1458</v>
      </c>
      <c r="C1201" s="1110">
        <v>37.089023564957849</v>
      </c>
    </row>
    <row r="1202" spans="2:3">
      <c r="B1202" s="412" t="s">
        <v>1459</v>
      </c>
      <c r="C1202" s="1110">
        <v>37.089023564957849</v>
      </c>
    </row>
    <row r="1203" spans="2:3">
      <c r="B1203" s="412" t="s">
        <v>1460</v>
      </c>
      <c r="C1203" s="1110">
        <v>37.089023564957849</v>
      </c>
    </row>
    <row r="1204" spans="2:3">
      <c r="B1204" s="412" t="s">
        <v>1461</v>
      </c>
      <c r="C1204" s="1110">
        <v>37.089023564957849</v>
      </c>
    </row>
    <row r="1205" spans="2:3">
      <c r="B1205" s="412" t="s">
        <v>1462</v>
      </c>
      <c r="C1205" s="1110">
        <v>37.089023564957849</v>
      </c>
    </row>
    <row r="1206" spans="2:3">
      <c r="B1206" s="412" t="s">
        <v>1463</v>
      </c>
      <c r="C1206" s="1110">
        <v>37.089023564957849</v>
      </c>
    </row>
    <row r="1207" spans="2:3">
      <c r="B1207" s="412" t="s">
        <v>1464</v>
      </c>
      <c r="C1207" s="1110">
        <v>37.089023564957849</v>
      </c>
    </row>
    <row r="1208" spans="2:3">
      <c r="B1208" s="412" t="s">
        <v>1465</v>
      </c>
      <c r="C1208" s="1110">
        <v>37.089023564957849</v>
      </c>
    </row>
    <row r="1209" spans="2:3">
      <c r="B1209" s="412" t="s">
        <v>1466</v>
      </c>
      <c r="C1209" s="1110">
        <v>49.245804</v>
      </c>
    </row>
    <row r="1210" spans="2:3">
      <c r="B1210" s="412" t="s">
        <v>1467</v>
      </c>
      <c r="C1210" s="1110">
        <v>49.245804</v>
      </c>
    </row>
    <row r="1211" spans="2:3">
      <c r="B1211" s="412" t="s">
        <v>1468</v>
      </c>
      <c r="C1211" s="1110">
        <v>49.245804</v>
      </c>
    </row>
    <row r="1212" spans="2:3">
      <c r="B1212" s="412" t="s">
        <v>1469</v>
      </c>
      <c r="C1212" s="1110">
        <v>49.245804</v>
      </c>
    </row>
    <row r="1213" spans="2:3">
      <c r="B1213" s="412" t="s">
        <v>1470</v>
      </c>
      <c r="C1213" s="1110">
        <v>49.245804</v>
      </c>
    </row>
    <row r="1214" spans="2:3">
      <c r="B1214" s="412" t="s">
        <v>1471</v>
      </c>
      <c r="C1214" s="1110">
        <v>49.245804</v>
      </c>
    </row>
    <row r="1215" spans="2:3">
      <c r="B1215" s="412" t="s">
        <v>1472</v>
      </c>
      <c r="C1215" s="1110">
        <v>49.245804</v>
      </c>
    </row>
    <row r="1216" spans="2:3">
      <c r="B1216" s="412" t="s">
        <v>1473</v>
      </c>
      <c r="C1216" s="1110">
        <v>49.245804</v>
      </c>
    </row>
    <row r="1217" spans="2:3">
      <c r="B1217" s="412" t="s">
        <v>1474</v>
      </c>
      <c r="C1217" s="1110">
        <v>49.245804</v>
      </c>
    </row>
    <row r="1218" spans="2:3">
      <c r="B1218" s="412" t="s">
        <v>1475</v>
      </c>
      <c r="C1218" s="1110">
        <v>49.245804</v>
      </c>
    </row>
    <row r="1219" spans="2:3">
      <c r="B1219" s="412" t="s">
        <v>1476</v>
      </c>
      <c r="C1219" s="1110">
        <v>49.245804</v>
      </c>
    </row>
    <row r="1220" spans="2:3">
      <c r="B1220" s="412" t="s">
        <v>1477</v>
      </c>
      <c r="C1220" s="1110">
        <v>49.245804</v>
      </c>
    </row>
    <row r="1221" spans="2:3">
      <c r="B1221" s="412" t="s">
        <v>1478</v>
      </c>
      <c r="C1221" s="1110">
        <v>52.566235819354837</v>
      </c>
    </row>
    <row r="1222" spans="2:3">
      <c r="B1222" s="412" t="s">
        <v>1479</v>
      </c>
      <c r="C1222" s="1110">
        <v>51.0563115</v>
      </c>
    </row>
    <row r="1223" spans="2:3">
      <c r="B1223" s="412" t="s">
        <v>1480</v>
      </c>
      <c r="C1223" s="1110">
        <v>52.036956060747663</v>
      </c>
    </row>
    <row r="1224" spans="2:3">
      <c r="B1224" s="412" t="s">
        <v>1481</v>
      </c>
      <c r="C1224" s="1110">
        <v>49.325758471337579</v>
      </c>
    </row>
    <row r="1225" spans="2:3">
      <c r="B1225" s="412" t="s">
        <v>1482</v>
      </c>
      <c r="C1225" s="1110">
        <v>53.007820807339456</v>
      </c>
    </row>
    <row r="1226" spans="2:3">
      <c r="B1226" s="412" t="s">
        <v>1483</v>
      </c>
      <c r="C1226" s="1110">
        <v>53.430087999999998</v>
      </c>
    </row>
    <row r="1227" spans="2:3">
      <c r="B1227" s="412" t="s">
        <v>1484</v>
      </c>
      <c r="C1227" s="1110">
        <v>53.430087999999998</v>
      </c>
    </row>
    <row r="1228" spans="2:3">
      <c r="B1228" s="412" t="s">
        <v>1485</v>
      </c>
      <c r="C1228" s="1110">
        <v>49.717272619718308</v>
      </c>
    </row>
    <row r="1229" spans="2:3">
      <c r="B1229" s="412" t="s">
        <v>1486</v>
      </c>
      <c r="C1229" s="1110">
        <v>49.249599887981326</v>
      </c>
    </row>
    <row r="1230" spans="2:3">
      <c r="B1230" s="412" t="s">
        <v>1487</v>
      </c>
      <c r="C1230" s="1110">
        <v>49.245804</v>
      </c>
    </row>
    <row r="1231" spans="2:3">
      <c r="B1231" s="412" t="s">
        <v>1488</v>
      </c>
      <c r="C1231" s="1110">
        <v>49.245804</v>
      </c>
    </row>
    <row r="1232" spans="2:3">
      <c r="B1232" s="412" t="s">
        <v>1489</v>
      </c>
      <c r="C1232" s="1110">
        <v>49.245804</v>
      </c>
    </row>
    <row r="1233" spans="2:3">
      <c r="B1233" s="412" t="s">
        <v>1490</v>
      </c>
      <c r="C1233" s="1110">
        <v>49.245804</v>
      </c>
    </row>
    <row r="1234" spans="2:3">
      <c r="B1234" s="412" t="s">
        <v>1491</v>
      </c>
      <c r="C1234" s="1110">
        <v>49.245804</v>
      </c>
    </row>
    <row r="1235" spans="2:3">
      <c r="B1235" s="412" t="s">
        <v>1492</v>
      </c>
      <c r="C1235" s="1110">
        <v>49.245804</v>
      </c>
    </row>
    <row r="1236" spans="2:3">
      <c r="B1236" s="412" t="s">
        <v>1493</v>
      </c>
      <c r="C1236" s="1110">
        <v>49.245804</v>
      </c>
    </row>
    <row r="1237" spans="2:3">
      <c r="B1237" s="412" t="s">
        <v>1494</v>
      </c>
      <c r="C1237" s="1110">
        <v>49.245804</v>
      </c>
    </row>
    <row r="1238" spans="2:3">
      <c r="B1238" s="412" t="s">
        <v>1495</v>
      </c>
      <c r="C1238" s="1110">
        <v>49.245804</v>
      </c>
    </row>
    <row r="1239" spans="2:3">
      <c r="B1239" s="412" t="s">
        <v>1496</v>
      </c>
      <c r="C1239" s="1110">
        <v>49.245804</v>
      </c>
    </row>
    <row r="1240" spans="2:3">
      <c r="B1240" s="412" t="s">
        <v>1497</v>
      </c>
      <c r="C1240" s="1110">
        <v>49.245804</v>
      </c>
    </row>
    <row r="1241" spans="2:3">
      <c r="B1241" s="412" t="s">
        <v>1498</v>
      </c>
      <c r="C1241" s="1110">
        <v>49.245804</v>
      </c>
    </row>
    <row r="1242" spans="2:3">
      <c r="B1242" s="412" t="s">
        <v>1499</v>
      </c>
      <c r="C1242" s="1110">
        <v>53.430087999999998</v>
      </c>
    </row>
    <row r="1243" spans="2:3">
      <c r="B1243" s="412" t="s">
        <v>1500</v>
      </c>
      <c r="C1243" s="1110">
        <v>37.089023564957849</v>
      </c>
    </row>
    <row r="1244" spans="2:3">
      <c r="B1244" s="412" t="s">
        <v>1501</v>
      </c>
      <c r="C1244" s="1110">
        <v>37.089023564957849</v>
      </c>
    </row>
    <row r="1245" spans="2:3">
      <c r="B1245" s="412" t="s">
        <v>1502</v>
      </c>
      <c r="C1245" s="1110">
        <v>37.089023564957849</v>
      </c>
    </row>
    <row r="1246" spans="2:3">
      <c r="B1246" s="412" t="s">
        <v>1503</v>
      </c>
      <c r="C1246" s="1110">
        <v>37.089023564957849</v>
      </c>
    </row>
    <row r="1247" spans="2:3">
      <c r="B1247" s="412" t="s">
        <v>1504</v>
      </c>
      <c r="C1247" s="1110">
        <v>37.089023564957849</v>
      </c>
    </row>
    <row r="1248" spans="2:3">
      <c r="B1248" s="412" t="s">
        <v>1505</v>
      </c>
      <c r="C1248" s="1110">
        <v>37.089023564957849</v>
      </c>
    </row>
    <row r="1249" spans="2:3">
      <c r="B1249" s="412" t="s">
        <v>1506</v>
      </c>
      <c r="C1249" s="1110">
        <v>37.089023564957849</v>
      </c>
    </row>
    <row r="1250" spans="2:3">
      <c r="B1250" s="412" t="s">
        <v>1507</v>
      </c>
      <c r="C1250" s="1110">
        <v>37.089023564957849</v>
      </c>
    </row>
    <row r="1251" spans="2:3">
      <c r="B1251" s="412" t="s">
        <v>1508</v>
      </c>
      <c r="C1251" s="1110">
        <v>37.089023564957849</v>
      </c>
    </row>
    <row r="1252" spans="2:3">
      <c r="B1252" s="412" t="s">
        <v>1509</v>
      </c>
      <c r="C1252" s="1110">
        <v>37.089023564957849</v>
      </c>
    </row>
    <row r="1253" spans="2:3">
      <c r="B1253" s="412" t="s">
        <v>1510</v>
      </c>
      <c r="C1253" s="1110">
        <v>37.089023564957849</v>
      </c>
    </row>
    <row r="1254" spans="2:3">
      <c r="B1254" s="412" t="s">
        <v>1511</v>
      </c>
      <c r="C1254" s="1110">
        <v>37.089023564957849</v>
      </c>
    </row>
    <row r="1255" spans="2:3">
      <c r="B1255" s="412" t="s">
        <v>1512</v>
      </c>
      <c r="C1255" s="1110">
        <v>37.089023564957849</v>
      </c>
    </row>
    <row r="1256" spans="2:3">
      <c r="B1256" s="412" t="s">
        <v>1513</v>
      </c>
      <c r="C1256" s="1110">
        <v>37.089023564957849</v>
      </c>
    </row>
    <row r="1257" spans="2:3">
      <c r="B1257" s="412" t="s">
        <v>1514</v>
      </c>
      <c r="C1257" s="1110">
        <v>37.089023564957849</v>
      </c>
    </row>
    <row r="1258" spans="2:3">
      <c r="B1258" s="412" t="s">
        <v>1515</v>
      </c>
      <c r="C1258" s="1110">
        <v>37.089023564957849</v>
      </c>
    </row>
    <row r="1259" spans="2:3">
      <c r="B1259" s="412" t="s">
        <v>1516</v>
      </c>
      <c r="C1259" s="1110">
        <v>37.089023564957849</v>
      </c>
    </row>
    <row r="1260" spans="2:3">
      <c r="B1260" s="412" t="s">
        <v>1517</v>
      </c>
      <c r="C1260" s="1110">
        <v>37.089023564957849</v>
      </c>
    </row>
    <row r="1261" spans="2:3">
      <c r="B1261" s="412" t="s">
        <v>1518</v>
      </c>
      <c r="C1261" s="1110">
        <v>37.089023564957849</v>
      </c>
    </row>
    <row r="1262" spans="2:3">
      <c r="B1262" s="412" t="s">
        <v>1519</v>
      </c>
      <c r="C1262" s="1110">
        <v>37.089023564957849</v>
      </c>
    </row>
    <row r="1263" spans="2:3">
      <c r="B1263" s="412" t="s">
        <v>1520</v>
      </c>
      <c r="C1263" s="1110">
        <v>37.089023564957849</v>
      </c>
    </row>
    <row r="1264" spans="2:3">
      <c r="B1264" s="412" t="s">
        <v>1521</v>
      </c>
      <c r="C1264" s="1110">
        <v>37.089023564957849</v>
      </c>
    </row>
    <row r="1265" spans="2:3">
      <c r="B1265" s="412" t="s">
        <v>1522</v>
      </c>
      <c r="C1265" s="1110">
        <v>37.089023564957849</v>
      </c>
    </row>
    <row r="1266" spans="2:3">
      <c r="B1266" s="412" t="s">
        <v>1523</v>
      </c>
      <c r="C1266" s="1110">
        <v>37.089023564957849</v>
      </c>
    </row>
    <row r="1267" spans="2:3">
      <c r="B1267" s="412" t="s">
        <v>1524</v>
      </c>
      <c r="C1267" s="1110">
        <v>37.089023564957849</v>
      </c>
    </row>
    <row r="1268" spans="2:3">
      <c r="B1268" s="412" t="s">
        <v>1525</v>
      </c>
      <c r="C1268" s="1110">
        <v>37.089023564957849</v>
      </c>
    </row>
    <row r="1269" spans="2:3">
      <c r="B1269" s="412" t="s">
        <v>1526</v>
      </c>
      <c r="C1269" s="1110">
        <v>37.089023564957849</v>
      </c>
    </row>
    <row r="1270" spans="2:3">
      <c r="B1270" s="412" t="s">
        <v>1527</v>
      </c>
      <c r="C1270" s="1110">
        <v>37.089023564957849</v>
      </c>
    </row>
    <row r="1271" spans="2:3">
      <c r="B1271" s="412" t="s">
        <v>1528</v>
      </c>
      <c r="C1271" s="1110">
        <v>37.089023564957849</v>
      </c>
    </row>
    <row r="1272" spans="2:3">
      <c r="B1272" s="412" t="s">
        <v>1529</v>
      </c>
      <c r="C1272" s="1110">
        <v>37.089023564957849</v>
      </c>
    </row>
    <row r="1273" spans="2:3">
      <c r="B1273" s="412" t="s">
        <v>1530</v>
      </c>
      <c r="C1273" s="1110">
        <v>37.089023564957849</v>
      </c>
    </row>
    <row r="1274" spans="2:3">
      <c r="B1274" s="412" t="s">
        <v>1531</v>
      </c>
      <c r="C1274" s="1110">
        <v>37.089023564957849</v>
      </c>
    </row>
    <row r="1275" spans="2:3">
      <c r="B1275" s="412" t="s">
        <v>1532</v>
      </c>
      <c r="C1275" s="1110">
        <v>37.089023564957849</v>
      </c>
    </row>
    <row r="1276" spans="2:3">
      <c r="B1276" s="412" t="s">
        <v>1533</v>
      </c>
      <c r="C1276" s="1110">
        <v>37.089023564957849</v>
      </c>
    </row>
    <row r="1277" spans="2:3">
      <c r="B1277" s="412" t="s">
        <v>1534</v>
      </c>
      <c r="C1277" s="1110">
        <v>37.089023564957849</v>
      </c>
    </row>
    <row r="1278" spans="2:3">
      <c r="B1278" s="412" t="s">
        <v>1535</v>
      </c>
      <c r="C1278" s="1110">
        <v>37.089023564957849</v>
      </c>
    </row>
    <row r="1279" spans="2:3">
      <c r="B1279" s="412" t="s">
        <v>1536</v>
      </c>
      <c r="C1279" s="1110">
        <v>37.089023564957849</v>
      </c>
    </row>
    <row r="1280" spans="2:3">
      <c r="B1280" s="412" t="s">
        <v>1537</v>
      </c>
      <c r="C1280" s="1110">
        <v>37.089023564957849</v>
      </c>
    </row>
    <row r="1281" spans="2:3">
      <c r="B1281" s="412" t="s">
        <v>1538</v>
      </c>
      <c r="C1281" s="1110">
        <v>37.089023564957849</v>
      </c>
    </row>
    <row r="1282" spans="2:3">
      <c r="B1282" s="412" t="s">
        <v>1539</v>
      </c>
      <c r="C1282" s="1110">
        <v>37.089023564957849</v>
      </c>
    </row>
    <row r="1283" spans="2:3">
      <c r="B1283" s="412" t="s">
        <v>1540</v>
      </c>
      <c r="C1283" s="1110">
        <v>37.089023564957849</v>
      </c>
    </row>
    <row r="1284" spans="2:3">
      <c r="B1284" s="412" t="s">
        <v>1541</v>
      </c>
      <c r="C1284" s="1110">
        <v>37.089023564957849</v>
      </c>
    </row>
    <row r="1285" spans="2:3">
      <c r="B1285" s="412" t="s">
        <v>1542</v>
      </c>
      <c r="C1285" s="1110">
        <v>37.089023564957849</v>
      </c>
    </row>
    <row r="1286" spans="2:3">
      <c r="B1286" s="412" t="s">
        <v>1543</v>
      </c>
      <c r="C1286" s="1110">
        <v>37.089023564957849</v>
      </c>
    </row>
    <row r="1287" spans="2:3">
      <c r="B1287" s="412" t="s">
        <v>1544</v>
      </c>
      <c r="C1287" s="1110">
        <v>37.089023564957849</v>
      </c>
    </row>
    <row r="1288" spans="2:3">
      <c r="B1288" s="412" t="s">
        <v>1545</v>
      </c>
      <c r="C1288" s="1110">
        <v>37.089023564957849</v>
      </c>
    </row>
    <row r="1289" spans="2:3">
      <c r="B1289" s="412" t="s">
        <v>1546</v>
      </c>
      <c r="C1289" s="1110">
        <v>37.089023564957849</v>
      </c>
    </row>
    <row r="1290" spans="2:3">
      <c r="B1290" s="412" t="s">
        <v>1547</v>
      </c>
      <c r="C1290" s="1110">
        <v>37.089023564957849</v>
      </c>
    </row>
    <row r="1291" spans="2:3">
      <c r="B1291" s="412" t="s">
        <v>1548</v>
      </c>
      <c r="C1291" s="1110">
        <v>37.089023564957849</v>
      </c>
    </row>
    <row r="1292" spans="2:3" ht="17" thickBot="1">
      <c r="B1292" s="413" t="s">
        <v>1549</v>
      </c>
      <c r="C1292" s="655">
        <v>37.089023564957849</v>
      </c>
    </row>
    <row r="1293" spans="2:3">
      <c r="B1293" s="415" t="s">
        <v>1550</v>
      </c>
      <c r="C1293" s="1109">
        <v>37.089023564957849</v>
      </c>
    </row>
    <row r="1294" spans="2:3">
      <c r="B1294" s="412" t="s">
        <v>1551</v>
      </c>
      <c r="C1294" s="1110">
        <v>37.089023564957849</v>
      </c>
    </row>
    <row r="1295" spans="2:3">
      <c r="B1295" s="412" t="s">
        <v>1552</v>
      </c>
      <c r="C1295" s="1110">
        <v>37.089023564957849</v>
      </c>
    </row>
    <row r="1296" spans="2:3" ht="17" thickBot="1">
      <c r="B1296" s="413" t="s">
        <v>1553</v>
      </c>
      <c r="C1296" s="655">
        <v>37.089023564957849</v>
      </c>
    </row>
    <row r="1297" spans="2:3">
      <c r="B1297" s="415" t="s">
        <v>1554</v>
      </c>
      <c r="C1297" s="1109">
        <v>37.089023564957849</v>
      </c>
    </row>
    <row r="1298" spans="2:3">
      <c r="B1298" s="412" t="s">
        <v>1555</v>
      </c>
      <c r="C1298" s="1110">
        <v>37.089023564957849</v>
      </c>
    </row>
    <row r="1299" spans="2:3">
      <c r="B1299" s="412" t="s">
        <v>1556</v>
      </c>
      <c r="C1299" s="1110">
        <v>37.089023564957849</v>
      </c>
    </row>
    <row r="1300" spans="2:3">
      <c r="B1300" s="412" t="s">
        <v>1557</v>
      </c>
      <c r="C1300" s="1110">
        <v>37.089023564957849</v>
      </c>
    </row>
    <row r="1301" spans="2:3">
      <c r="B1301" s="412" t="s">
        <v>1558</v>
      </c>
      <c r="C1301" s="1110">
        <v>37.089023564957849</v>
      </c>
    </row>
    <row r="1302" spans="2:3">
      <c r="B1302" s="412" t="s">
        <v>1559</v>
      </c>
      <c r="C1302" s="1110">
        <v>37.089023564957849</v>
      </c>
    </row>
    <row r="1303" spans="2:3">
      <c r="B1303" s="412" t="s">
        <v>1560</v>
      </c>
      <c r="C1303" s="1110">
        <v>37.089023564957849</v>
      </c>
    </row>
    <row r="1304" spans="2:3">
      <c r="B1304" s="412" t="s">
        <v>1561</v>
      </c>
      <c r="C1304" s="1110">
        <v>37.089023564957849</v>
      </c>
    </row>
    <row r="1305" spans="2:3">
      <c r="B1305" s="412" t="s">
        <v>1562</v>
      </c>
      <c r="C1305" s="1110">
        <v>37.089023564957849</v>
      </c>
    </row>
    <row r="1306" spans="2:3">
      <c r="B1306" s="412" t="s">
        <v>1563</v>
      </c>
      <c r="C1306" s="1110">
        <v>37.089023564957849</v>
      </c>
    </row>
    <row r="1307" spans="2:3">
      <c r="B1307" s="412" t="s">
        <v>1564</v>
      </c>
      <c r="C1307" s="1110">
        <v>37.089023564957849</v>
      </c>
    </row>
    <row r="1308" spans="2:3">
      <c r="B1308" s="412" t="s">
        <v>1565</v>
      </c>
      <c r="C1308" s="1110">
        <v>37.089023564957849</v>
      </c>
    </row>
    <row r="1309" spans="2:3">
      <c r="B1309" s="412" t="s">
        <v>1566</v>
      </c>
      <c r="C1309" s="1110">
        <v>37.089023564957849</v>
      </c>
    </row>
    <row r="1310" spans="2:3">
      <c r="B1310" s="412" t="s">
        <v>1567</v>
      </c>
      <c r="C1310" s="1110">
        <v>37.089023564957849</v>
      </c>
    </row>
    <row r="1311" spans="2:3">
      <c r="B1311" s="412" t="s">
        <v>1568</v>
      </c>
      <c r="C1311" s="1110">
        <v>37.089023564957849</v>
      </c>
    </row>
    <row r="1312" spans="2:3">
      <c r="B1312" s="412" t="s">
        <v>1569</v>
      </c>
      <c r="C1312" s="1110">
        <v>37.089023564957849</v>
      </c>
    </row>
    <row r="1313" spans="2:3">
      <c r="B1313" s="412" t="s">
        <v>1570</v>
      </c>
      <c r="C1313" s="1110">
        <v>37.089023564957849</v>
      </c>
    </row>
    <row r="1314" spans="2:3">
      <c r="B1314" s="412" t="s">
        <v>1571</v>
      </c>
      <c r="C1314" s="1110">
        <v>37.089023564957849</v>
      </c>
    </row>
    <row r="1315" spans="2:3">
      <c r="B1315" s="412" t="s">
        <v>1572</v>
      </c>
      <c r="C1315" s="1110">
        <v>37.089023564957849</v>
      </c>
    </row>
    <row r="1316" spans="2:3">
      <c r="B1316" s="412" t="s">
        <v>1573</v>
      </c>
      <c r="C1316" s="1110">
        <v>37.089023564957849</v>
      </c>
    </row>
    <row r="1317" spans="2:3">
      <c r="B1317" s="412" t="s">
        <v>1574</v>
      </c>
      <c r="C1317" s="1110">
        <v>37.089023564957849</v>
      </c>
    </row>
    <row r="1318" spans="2:3">
      <c r="B1318" s="412" t="s">
        <v>1575</v>
      </c>
      <c r="C1318" s="1110">
        <v>37.089023564957849</v>
      </c>
    </row>
    <row r="1319" spans="2:3">
      <c r="B1319" s="412" t="s">
        <v>1576</v>
      </c>
      <c r="C1319" s="1110">
        <v>37.089023564957849</v>
      </c>
    </row>
    <row r="1320" spans="2:3">
      <c r="B1320" s="412" t="s">
        <v>1577</v>
      </c>
      <c r="C1320" s="1110">
        <v>37.089023564957849</v>
      </c>
    </row>
    <row r="1321" spans="2:3">
      <c r="B1321" s="412" t="s">
        <v>1578</v>
      </c>
      <c r="C1321" s="1110">
        <v>37.089023564957849</v>
      </c>
    </row>
    <row r="1322" spans="2:3">
      <c r="B1322" s="412" t="s">
        <v>1579</v>
      </c>
      <c r="C1322" s="1110">
        <v>37.089023564957849</v>
      </c>
    </row>
    <row r="1323" spans="2:3">
      <c r="B1323" s="412" t="s">
        <v>1580</v>
      </c>
      <c r="C1323" s="1110">
        <v>37.089023564957849</v>
      </c>
    </row>
    <row r="1324" spans="2:3">
      <c r="B1324" s="412" t="s">
        <v>1581</v>
      </c>
      <c r="C1324" s="1110">
        <v>37.089023564957849</v>
      </c>
    </row>
    <row r="1325" spans="2:3">
      <c r="B1325" s="412" t="s">
        <v>1582</v>
      </c>
      <c r="C1325" s="1110">
        <v>37.089023564957849</v>
      </c>
    </row>
    <row r="1326" spans="2:3">
      <c r="B1326" s="412" t="s">
        <v>1583</v>
      </c>
      <c r="C1326" s="1110">
        <v>37.089023564957849</v>
      </c>
    </row>
    <row r="1327" spans="2:3">
      <c r="B1327" s="412" t="s">
        <v>1584</v>
      </c>
      <c r="C1327" s="1110">
        <v>28.390856739130435</v>
      </c>
    </row>
    <row r="1328" spans="2:3">
      <c r="B1328" s="412" t="s">
        <v>1585</v>
      </c>
      <c r="C1328" s="1110">
        <v>40.716301999999999</v>
      </c>
    </row>
    <row r="1329" spans="2:3">
      <c r="B1329" s="412" t="s">
        <v>1586</v>
      </c>
      <c r="C1329" s="1110">
        <v>40.716301999999999</v>
      </c>
    </row>
    <row r="1330" spans="2:3">
      <c r="B1330" s="412" t="s">
        <v>1587</v>
      </c>
      <c r="C1330" s="1110">
        <v>40.716301999999999</v>
      </c>
    </row>
    <row r="1331" spans="2:3">
      <c r="B1331" s="412" t="s">
        <v>1588</v>
      </c>
      <c r="C1331" s="1110">
        <v>40.716301999999999</v>
      </c>
    </row>
    <row r="1332" spans="2:3">
      <c r="B1332" s="412" t="s">
        <v>1589</v>
      </c>
      <c r="C1332" s="1110">
        <v>40.716301999999999</v>
      </c>
    </row>
    <row r="1333" spans="2:3">
      <c r="B1333" s="412" t="s">
        <v>1590</v>
      </c>
      <c r="C1333" s="1110">
        <v>40.716301999999999</v>
      </c>
    </row>
    <row r="1334" spans="2:3">
      <c r="B1334" s="412" t="s">
        <v>1591</v>
      </c>
      <c r="C1334" s="1110">
        <v>40.716301999999999</v>
      </c>
    </row>
    <row r="1335" spans="2:3">
      <c r="B1335" s="412" t="s">
        <v>1592</v>
      </c>
      <c r="C1335" s="1110">
        <v>40.577864150537629</v>
      </c>
    </row>
    <row r="1336" spans="2:3">
      <c r="B1336" s="412" t="s">
        <v>1593</v>
      </c>
      <c r="C1336" s="1110">
        <v>40.693175657480317</v>
      </c>
    </row>
    <row r="1337" spans="2:3">
      <c r="B1337" s="412" t="s">
        <v>1594</v>
      </c>
      <c r="C1337" s="1110">
        <v>40.667283159944368</v>
      </c>
    </row>
    <row r="1338" spans="2:3">
      <c r="B1338" s="412" t="s">
        <v>1595</v>
      </c>
      <c r="C1338" s="1110">
        <v>28.865988807692304</v>
      </c>
    </row>
    <row r="1339" spans="2:3">
      <c r="B1339" s="412" t="s">
        <v>1596</v>
      </c>
      <c r="C1339" s="1110">
        <v>40.716301999999999</v>
      </c>
    </row>
    <row r="1340" spans="2:3">
      <c r="B1340" s="412" t="s">
        <v>1597</v>
      </c>
      <c r="C1340" s="1110">
        <v>40.716301999999999</v>
      </c>
    </row>
    <row r="1341" spans="2:3">
      <c r="B1341" s="412" t="s">
        <v>1598</v>
      </c>
      <c r="C1341" s="1110">
        <v>40.703306223451328</v>
      </c>
    </row>
    <row r="1342" spans="2:3">
      <c r="B1342" s="412" t="s">
        <v>1599</v>
      </c>
      <c r="C1342" s="1110">
        <v>40.716301999999999</v>
      </c>
    </row>
    <row r="1343" spans="2:3">
      <c r="B1343" s="412" t="s">
        <v>1600</v>
      </c>
      <c r="C1343" s="1110">
        <v>40.716301999999999</v>
      </c>
    </row>
    <row r="1344" spans="2:3">
      <c r="B1344" s="412" t="s">
        <v>1601</v>
      </c>
      <c r="C1344" s="1110">
        <v>27.967189024390247</v>
      </c>
    </row>
    <row r="1345" spans="2:3">
      <c r="B1345" s="412" t="s">
        <v>1602</v>
      </c>
      <c r="C1345" s="1110">
        <v>31.017039725714287</v>
      </c>
    </row>
    <row r="1346" spans="2:3">
      <c r="B1346" s="412" t="s">
        <v>1603</v>
      </c>
      <c r="C1346" s="1110">
        <v>28.968119999999999</v>
      </c>
    </row>
    <row r="1347" spans="2:3">
      <c r="B1347" s="412" t="s">
        <v>1604</v>
      </c>
      <c r="C1347" s="1110">
        <v>30.432663013550137</v>
      </c>
    </row>
    <row r="1348" spans="2:3">
      <c r="B1348" s="412" t="s">
        <v>1605</v>
      </c>
      <c r="C1348" s="1110">
        <v>40.531291259842519</v>
      </c>
    </row>
    <row r="1349" spans="2:3">
      <c r="B1349" s="412" t="s">
        <v>1606</v>
      </c>
      <c r="C1349" s="1110">
        <v>39.981333573696141</v>
      </c>
    </row>
    <row r="1350" spans="2:3">
      <c r="B1350" s="412" t="s">
        <v>1607</v>
      </c>
      <c r="C1350" s="1110">
        <v>29.084727265508683</v>
      </c>
    </row>
    <row r="1351" spans="2:3">
      <c r="B1351" s="412" t="s">
        <v>1608</v>
      </c>
      <c r="C1351" s="1110">
        <v>37.089023564957849</v>
      </c>
    </row>
    <row r="1352" spans="2:3">
      <c r="B1352" s="412" t="s">
        <v>1609</v>
      </c>
      <c r="C1352" s="1110">
        <v>37.089023564957849</v>
      </c>
    </row>
    <row r="1353" spans="2:3">
      <c r="B1353" s="412" t="s">
        <v>1610</v>
      </c>
      <c r="C1353" s="1110">
        <v>37.089023564957849</v>
      </c>
    </row>
    <row r="1354" spans="2:3">
      <c r="B1354" s="412" t="s">
        <v>1611</v>
      </c>
      <c r="C1354" s="1110">
        <v>37.089023564957849</v>
      </c>
    </row>
    <row r="1355" spans="2:3">
      <c r="B1355" s="412" t="s">
        <v>1612</v>
      </c>
      <c r="C1355" s="1110">
        <v>37.089023564957849</v>
      </c>
    </row>
    <row r="1356" spans="2:3">
      <c r="B1356" s="412" t="s">
        <v>1613</v>
      </c>
      <c r="C1356" s="1110">
        <v>37.089023564957849</v>
      </c>
    </row>
    <row r="1357" spans="2:3">
      <c r="B1357" s="412" t="s">
        <v>1614</v>
      </c>
      <c r="C1357" s="1110">
        <v>46.826459704738603</v>
      </c>
    </row>
    <row r="1358" spans="2:3">
      <c r="B1358" s="412" t="s">
        <v>1615</v>
      </c>
      <c r="C1358" s="1110">
        <v>46.826459704738603</v>
      </c>
    </row>
    <row r="1359" spans="2:3">
      <c r="B1359" s="412" t="s">
        <v>1616</v>
      </c>
      <c r="C1359" s="1110">
        <v>46.826459704738603</v>
      </c>
    </row>
    <row r="1360" spans="2:3">
      <c r="B1360" s="412" t="s">
        <v>1617</v>
      </c>
      <c r="C1360" s="1110">
        <v>37.089023564957849</v>
      </c>
    </row>
    <row r="1361" spans="2:3">
      <c r="B1361" s="412" t="s">
        <v>1618</v>
      </c>
      <c r="C1361" s="1110">
        <v>37.089023564957849</v>
      </c>
    </row>
    <row r="1362" spans="2:3">
      <c r="B1362" s="412" t="s">
        <v>1619</v>
      </c>
      <c r="C1362" s="1110">
        <v>37.089023564957849</v>
      </c>
    </row>
    <row r="1363" spans="2:3">
      <c r="B1363" s="412" t="s">
        <v>1620</v>
      </c>
      <c r="C1363" s="1110">
        <v>37.089023564957849</v>
      </c>
    </row>
    <row r="1364" spans="2:3">
      <c r="B1364" s="412" t="s">
        <v>1621</v>
      </c>
      <c r="C1364" s="1110">
        <v>37.089023564957849</v>
      </c>
    </row>
    <row r="1365" spans="2:3">
      <c r="B1365" s="412" t="s">
        <v>1622</v>
      </c>
      <c r="C1365" s="1110">
        <v>37.089023564957849</v>
      </c>
    </row>
    <row r="1366" spans="2:3">
      <c r="B1366" s="412" t="s">
        <v>1623</v>
      </c>
      <c r="C1366" s="1110">
        <v>37.089023564957849</v>
      </c>
    </row>
    <row r="1367" spans="2:3">
      <c r="B1367" s="412" t="s">
        <v>1624</v>
      </c>
      <c r="C1367" s="1110">
        <v>37.089023564957849</v>
      </c>
    </row>
    <row r="1368" spans="2:3">
      <c r="B1368" s="412" t="s">
        <v>1625</v>
      </c>
      <c r="C1368" s="1110">
        <v>37.089023564957849</v>
      </c>
    </row>
    <row r="1369" spans="2:3">
      <c r="B1369" s="412" t="s">
        <v>1626</v>
      </c>
      <c r="C1369" s="1110">
        <v>37.089023564957849</v>
      </c>
    </row>
    <row r="1370" spans="2:3">
      <c r="B1370" s="412" t="s">
        <v>1627</v>
      </c>
      <c r="C1370" s="1110">
        <v>37.089023564957849</v>
      </c>
    </row>
    <row r="1371" spans="2:3">
      <c r="B1371" s="412" t="s">
        <v>1628</v>
      </c>
      <c r="C1371" s="1110">
        <v>37.089023564957849</v>
      </c>
    </row>
    <row r="1372" spans="2:3">
      <c r="B1372" s="412" t="s">
        <v>1629</v>
      </c>
      <c r="C1372" s="1110">
        <v>37.089023564957849</v>
      </c>
    </row>
    <row r="1373" spans="2:3">
      <c r="B1373" s="412" t="s">
        <v>1630</v>
      </c>
      <c r="C1373" s="1110">
        <v>37.089023564957849</v>
      </c>
    </row>
    <row r="1374" spans="2:3">
      <c r="B1374" s="412" t="s">
        <v>1631</v>
      </c>
      <c r="C1374" s="1110">
        <v>37.089023564957849</v>
      </c>
    </row>
    <row r="1375" spans="2:3">
      <c r="B1375" s="412" t="s">
        <v>1632</v>
      </c>
      <c r="C1375" s="1110">
        <v>37.089023564957849</v>
      </c>
    </row>
    <row r="1376" spans="2:3">
      <c r="B1376" s="412" t="s">
        <v>1633</v>
      </c>
      <c r="C1376" s="1110">
        <v>37.089023564957849</v>
      </c>
    </row>
    <row r="1377" spans="2:3">
      <c r="B1377" s="412" t="s">
        <v>1634</v>
      </c>
      <c r="C1377" s="1110">
        <v>37.089023564957849</v>
      </c>
    </row>
    <row r="1378" spans="2:3">
      <c r="B1378" s="412" t="s">
        <v>1635</v>
      </c>
      <c r="C1378" s="1110">
        <v>37.089023564957849</v>
      </c>
    </row>
    <row r="1379" spans="2:3">
      <c r="B1379" s="412" t="s">
        <v>1636</v>
      </c>
      <c r="C1379" s="1110">
        <v>37.089023564957849</v>
      </c>
    </row>
    <row r="1380" spans="2:3">
      <c r="B1380" s="412" t="s">
        <v>1637</v>
      </c>
      <c r="C1380" s="1110">
        <v>37.089023564957849</v>
      </c>
    </row>
    <row r="1381" spans="2:3">
      <c r="B1381" s="412" t="s">
        <v>1638</v>
      </c>
      <c r="C1381" s="1110">
        <v>37.089023564957849</v>
      </c>
    </row>
    <row r="1382" spans="2:3">
      <c r="B1382" s="412" t="s">
        <v>1639</v>
      </c>
      <c r="C1382" s="1110">
        <v>37.089023564957849</v>
      </c>
    </row>
    <row r="1383" spans="2:3" ht="17" thickBot="1">
      <c r="B1383" s="413" t="s">
        <v>1640</v>
      </c>
      <c r="C1383" s="655">
        <v>37.089023564957849</v>
      </c>
    </row>
    <row r="1384" spans="2:3">
      <c r="B1384" s="415" t="s">
        <v>1641</v>
      </c>
      <c r="C1384" s="1109">
        <v>26.232241999999999</v>
      </c>
    </row>
    <row r="1385" spans="2:3">
      <c r="B1385" s="412" t="s">
        <v>1642</v>
      </c>
      <c r="C1385" s="1110">
        <v>35.518813802816901</v>
      </c>
    </row>
    <row r="1386" spans="2:3">
      <c r="B1386" s="412" t="s">
        <v>1643</v>
      </c>
      <c r="C1386" s="1110">
        <v>26.232241999999999</v>
      </c>
    </row>
    <row r="1387" spans="2:3">
      <c r="B1387" s="412" t="s">
        <v>1644</v>
      </c>
      <c r="C1387" s="1110">
        <v>26.232241999999999</v>
      </c>
    </row>
    <row r="1388" spans="2:3">
      <c r="B1388" s="412" t="s">
        <v>1645</v>
      </c>
      <c r="C1388" s="1110">
        <v>26.232241999999999</v>
      </c>
    </row>
    <row r="1389" spans="2:3">
      <c r="B1389" s="412" t="s">
        <v>1646</v>
      </c>
      <c r="C1389" s="1110">
        <v>33.788196905579404</v>
      </c>
    </row>
    <row r="1390" spans="2:3">
      <c r="B1390" s="412" t="s">
        <v>1647</v>
      </c>
      <c r="C1390" s="1110">
        <v>26.232241999999999</v>
      </c>
    </row>
    <row r="1391" spans="2:3">
      <c r="B1391" s="412" t="s">
        <v>1648</v>
      </c>
      <c r="C1391" s="1110">
        <v>28.967460434426229</v>
      </c>
    </row>
    <row r="1392" spans="2:3">
      <c r="B1392" s="412" t="s">
        <v>1649</v>
      </c>
      <c r="C1392" s="1110">
        <v>26.232241999999999</v>
      </c>
    </row>
    <row r="1393" spans="2:3">
      <c r="B1393" s="412" t="s">
        <v>1650</v>
      </c>
      <c r="C1393" s="1110">
        <v>26.232241999999999</v>
      </c>
    </row>
    <row r="1394" spans="2:3">
      <c r="B1394" s="412" t="s">
        <v>1651</v>
      </c>
      <c r="C1394" s="1110">
        <v>26.232241999999999</v>
      </c>
    </row>
    <row r="1395" spans="2:3">
      <c r="B1395" s="412" t="s">
        <v>1652</v>
      </c>
      <c r="C1395" s="1110">
        <v>26.232241999999999</v>
      </c>
    </row>
    <row r="1396" spans="2:3">
      <c r="B1396" s="412" t="s">
        <v>1653</v>
      </c>
      <c r="C1396" s="1110">
        <v>35.244224132000006</v>
      </c>
    </row>
    <row r="1397" spans="2:3">
      <c r="B1397" s="412" t="s">
        <v>1654</v>
      </c>
      <c r="C1397" s="1110">
        <v>36.049216000000001</v>
      </c>
    </row>
    <row r="1398" spans="2:3">
      <c r="B1398" s="412" t="s">
        <v>1655</v>
      </c>
      <c r="C1398" s="1110">
        <v>36.049216000000001</v>
      </c>
    </row>
    <row r="1399" spans="2:3">
      <c r="B1399" s="412" t="s">
        <v>1656</v>
      </c>
      <c r="C1399" s="1110">
        <v>36.049216000000001</v>
      </c>
    </row>
    <row r="1400" spans="2:3">
      <c r="B1400" s="412" t="s">
        <v>1657</v>
      </c>
      <c r="C1400" s="1110">
        <v>32.495728582914573</v>
      </c>
    </row>
    <row r="1401" spans="2:3">
      <c r="B1401" s="412" t="s">
        <v>1658</v>
      </c>
      <c r="C1401" s="1110">
        <v>29.11915036923077</v>
      </c>
    </row>
    <row r="1402" spans="2:3">
      <c r="B1402" s="412" t="s">
        <v>1659</v>
      </c>
      <c r="C1402" s="1110">
        <v>49.031391931677014</v>
      </c>
    </row>
    <row r="1403" spans="2:3">
      <c r="B1403" s="412" t="s">
        <v>1660</v>
      </c>
      <c r="C1403" s="1110">
        <v>26.232241999999999</v>
      </c>
    </row>
    <row r="1404" spans="2:3">
      <c r="B1404" s="412" t="s">
        <v>1661</v>
      </c>
      <c r="C1404" s="1110">
        <v>45.043327460869563</v>
      </c>
    </row>
    <row r="1405" spans="2:3">
      <c r="B1405" s="412" t="s">
        <v>1662</v>
      </c>
      <c r="C1405" s="1110">
        <v>36.049216000000001</v>
      </c>
    </row>
    <row r="1406" spans="2:3">
      <c r="B1406" s="412" t="s">
        <v>1663</v>
      </c>
      <c r="C1406" s="1110">
        <v>26.232241999999999</v>
      </c>
    </row>
    <row r="1407" spans="2:3">
      <c r="B1407" s="412" t="s">
        <v>1664</v>
      </c>
      <c r="C1407" s="1110">
        <v>36.049216000000001</v>
      </c>
    </row>
    <row r="1408" spans="2:3">
      <c r="B1408" s="412" t="s">
        <v>1665</v>
      </c>
      <c r="C1408" s="1110">
        <v>36.235942071523176</v>
      </c>
    </row>
    <row r="1409" spans="2:3">
      <c r="B1409" s="412" t="s">
        <v>1666</v>
      </c>
      <c r="C1409" s="1110">
        <v>49.245804</v>
      </c>
    </row>
    <row r="1410" spans="2:3">
      <c r="B1410" s="412" t="s">
        <v>1667</v>
      </c>
      <c r="C1410" s="1110">
        <v>49.019349028142592</v>
      </c>
    </row>
    <row r="1411" spans="2:3">
      <c r="B1411" s="412" t="s">
        <v>1668</v>
      </c>
      <c r="C1411" s="1110">
        <v>48.067767119999999</v>
      </c>
    </row>
    <row r="1412" spans="2:3">
      <c r="B1412" s="412" t="s">
        <v>1669</v>
      </c>
      <c r="C1412" s="1110">
        <v>45.052149752547308</v>
      </c>
    </row>
    <row r="1413" spans="2:3">
      <c r="B1413" s="412" t="s">
        <v>1670</v>
      </c>
      <c r="C1413" s="1110">
        <v>49.221856484911548</v>
      </c>
    </row>
    <row r="1414" spans="2:3">
      <c r="B1414" s="412" t="s">
        <v>1671</v>
      </c>
      <c r="C1414" s="1110">
        <v>36.181065542168675</v>
      </c>
    </row>
    <row r="1415" spans="2:3">
      <c r="B1415" s="412" t="s">
        <v>1672</v>
      </c>
      <c r="C1415" s="1110">
        <v>36.049216000000001</v>
      </c>
    </row>
    <row r="1416" spans="2:3">
      <c r="B1416" s="412" t="s">
        <v>1673</v>
      </c>
      <c r="C1416" s="1110">
        <v>41.199103999999998</v>
      </c>
    </row>
    <row r="1417" spans="2:3">
      <c r="B1417" s="412" t="s">
        <v>1674</v>
      </c>
      <c r="C1417" s="1110">
        <v>26.232241999999999</v>
      </c>
    </row>
    <row r="1418" spans="2:3">
      <c r="B1418" s="412" t="s">
        <v>1675</v>
      </c>
      <c r="C1418" s="1110">
        <v>41.199103999999998</v>
      </c>
    </row>
    <row r="1419" spans="2:3">
      <c r="B1419" s="412" t="s">
        <v>1676</v>
      </c>
      <c r="C1419" s="1110">
        <v>26.232241999999999</v>
      </c>
    </row>
    <row r="1420" spans="2:3">
      <c r="B1420" s="412" t="s">
        <v>1677</v>
      </c>
      <c r="C1420" s="1110">
        <v>26.232241999999999</v>
      </c>
    </row>
    <row r="1421" spans="2:3">
      <c r="B1421" s="412" t="s">
        <v>1678</v>
      </c>
      <c r="C1421" s="1110">
        <v>26.232241999999999</v>
      </c>
    </row>
    <row r="1422" spans="2:3">
      <c r="B1422" s="412" t="s">
        <v>1679</v>
      </c>
      <c r="C1422" s="1110">
        <v>36.049216000000001</v>
      </c>
    </row>
    <row r="1423" spans="2:3">
      <c r="B1423" s="412" t="s">
        <v>1680</v>
      </c>
      <c r="C1423" s="1110">
        <v>26.532761612244897</v>
      </c>
    </row>
    <row r="1424" spans="2:3">
      <c r="B1424" s="412" t="s">
        <v>1681</v>
      </c>
      <c r="C1424" s="1110">
        <v>26.232241999999999</v>
      </c>
    </row>
    <row r="1425" spans="2:3">
      <c r="B1425" s="412" t="s">
        <v>1682</v>
      </c>
      <c r="C1425" s="1110">
        <v>29.955181866666667</v>
      </c>
    </row>
    <row r="1426" spans="2:3">
      <c r="B1426" s="412" t="s">
        <v>1683</v>
      </c>
      <c r="C1426" s="1110">
        <v>32.273456769230769</v>
      </c>
    </row>
    <row r="1427" spans="2:3">
      <c r="B1427" s="412" t="s">
        <v>1684</v>
      </c>
      <c r="C1427" s="1110">
        <v>36.049216000000001</v>
      </c>
    </row>
    <row r="1428" spans="2:3">
      <c r="B1428" s="412" t="s">
        <v>1685</v>
      </c>
      <c r="C1428" s="1110">
        <v>26.232241999999999</v>
      </c>
    </row>
    <row r="1429" spans="2:3">
      <c r="B1429" s="412" t="s">
        <v>1686</v>
      </c>
      <c r="C1429" s="1110">
        <v>33.199126774193545</v>
      </c>
    </row>
    <row r="1430" spans="2:3">
      <c r="B1430" s="412" t="s">
        <v>1687</v>
      </c>
      <c r="C1430" s="1110">
        <v>26.232241999999999</v>
      </c>
    </row>
    <row r="1431" spans="2:3">
      <c r="B1431" s="412" t="s">
        <v>1688</v>
      </c>
      <c r="C1431" s="1110">
        <v>36.049216000000001</v>
      </c>
    </row>
    <row r="1432" spans="2:3">
      <c r="B1432" s="412" t="s">
        <v>1689</v>
      </c>
      <c r="C1432" s="1110">
        <v>26.667860497622822</v>
      </c>
    </row>
    <row r="1433" spans="2:3">
      <c r="B1433" s="412" t="s">
        <v>1690</v>
      </c>
      <c r="C1433" s="1110">
        <v>41.199103999999998</v>
      </c>
    </row>
    <row r="1434" spans="2:3">
      <c r="B1434" s="412" t="s">
        <v>1691</v>
      </c>
      <c r="C1434" s="1110">
        <v>51.56296231674208</v>
      </c>
    </row>
    <row r="1435" spans="2:3">
      <c r="B1435" s="412" t="s">
        <v>1692</v>
      </c>
      <c r="C1435" s="1110">
        <v>51.49888</v>
      </c>
    </row>
    <row r="1436" spans="2:3">
      <c r="B1436" s="412" t="s">
        <v>1693</v>
      </c>
      <c r="C1436" s="1110">
        <v>51.49888</v>
      </c>
    </row>
    <row r="1437" spans="2:3">
      <c r="B1437" s="412" t="s">
        <v>1694</v>
      </c>
      <c r="C1437" s="1110">
        <v>51.49888</v>
      </c>
    </row>
    <row r="1438" spans="2:3">
      <c r="B1438" s="412" t="s">
        <v>1695</v>
      </c>
      <c r="C1438" s="1110">
        <v>51.49888</v>
      </c>
    </row>
    <row r="1439" spans="2:3">
      <c r="B1439" s="412" t="s">
        <v>1696</v>
      </c>
      <c r="C1439" s="1110">
        <v>51.49888</v>
      </c>
    </row>
    <row r="1440" spans="2:3">
      <c r="B1440" s="412" t="s">
        <v>1697</v>
      </c>
      <c r="C1440" s="1110">
        <v>51.49888</v>
      </c>
    </row>
    <row r="1441" spans="2:3">
      <c r="B1441" s="412" t="s">
        <v>1698</v>
      </c>
      <c r="C1441" s="1110">
        <v>51.49888</v>
      </c>
    </row>
    <row r="1442" spans="2:3">
      <c r="B1442" s="412" t="s">
        <v>1699</v>
      </c>
      <c r="C1442" s="1110">
        <v>51.49888</v>
      </c>
    </row>
    <row r="1443" spans="2:3">
      <c r="B1443" s="412" t="s">
        <v>1700</v>
      </c>
      <c r="C1443" s="1110">
        <v>51.49888</v>
      </c>
    </row>
    <row r="1444" spans="2:3">
      <c r="B1444" s="412" t="s">
        <v>1701</v>
      </c>
      <c r="C1444" s="1110">
        <v>44.673482855371894</v>
      </c>
    </row>
    <row r="1445" spans="2:3">
      <c r="B1445" s="412" t="s">
        <v>1702</v>
      </c>
      <c r="C1445" s="1110">
        <v>51.49888</v>
      </c>
    </row>
    <row r="1446" spans="2:3">
      <c r="B1446" s="412" t="s">
        <v>1703</v>
      </c>
      <c r="C1446" s="1110">
        <v>51.49888</v>
      </c>
    </row>
    <row r="1447" spans="2:3">
      <c r="B1447" s="412" t="s">
        <v>1704</v>
      </c>
      <c r="C1447" s="1110">
        <v>51.49888</v>
      </c>
    </row>
    <row r="1448" spans="2:3">
      <c r="B1448" s="412" t="s">
        <v>1705</v>
      </c>
      <c r="C1448" s="1110">
        <v>51.49888</v>
      </c>
    </row>
    <row r="1449" spans="2:3">
      <c r="B1449" s="412" t="s">
        <v>1706</v>
      </c>
      <c r="C1449" s="1110">
        <v>41.199103999999998</v>
      </c>
    </row>
    <row r="1450" spans="2:3">
      <c r="B1450" s="412" t="s">
        <v>1707</v>
      </c>
      <c r="C1450" s="1110">
        <v>41.199103999999998</v>
      </c>
    </row>
    <row r="1451" spans="2:3">
      <c r="B1451" s="412" t="s">
        <v>1708</v>
      </c>
      <c r="C1451" s="1110">
        <v>43.010443917241382</v>
      </c>
    </row>
    <row r="1452" spans="2:3">
      <c r="B1452" s="412" t="s">
        <v>1709</v>
      </c>
      <c r="C1452" s="1110">
        <v>49.580681634730539</v>
      </c>
    </row>
    <row r="1453" spans="2:3">
      <c r="B1453" s="412" t="s">
        <v>1710</v>
      </c>
      <c r="C1453" s="1110">
        <v>51.450296150943394</v>
      </c>
    </row>
    <row r="1454" spans="2:3">
      <c r="B1454" s="412" t="s">
        <v>1711</v>
      </c>
      <c r="C1454" s="1110">
        <v>51.49888</v>
      </c>
    </row>
    <row r="1455" spans="2:3">
      <c r="B1455" s="412" t="s">
        <v>1712</v>
      </c>
      <c r="C1455" s="1110">
        <v>51.49888</v>
      </c>
    </row>
    <row r="1456" spans="2:3">
      <c r="B1456" s="412" t="s">
        <v>1713</v>
      </c>
      <c r="C1456" s="1110">
        <v>37.089023564957849</v>
      </c>
    </row>
    <row r="1457" spans="2:3">
      <c r="B1457" s="412" t="s">
        <v>1714</v>
      </c>
      <c r="C1457" s="1110">
        <v>37.089023564957849</v>
      </c>
    </row>
    <row r="1458" spans="2:3">
      <c r="B1458" s="412" t="s">
        <v>1715</v>
      </c>
      <c r="C1458" s="1110">
        <v>37.089023564957849</v>
      </c>
    </row>
    <row r="1459" spans="2:3">
      <c r="B1459" s="412" t="s">
        <v>1716</v>
      </c>
      <c r="C1459" s="1110">
        <v>37.089023564957849</v>
      </c>
    </row>
    <row r="1460" spans="2:3">
      <c r="B1460" s="412" t="s">
        <v>1717</v>
      </c>
      <c r="C1460" s="1110">
        <v>37.089023564957849</v>
      </c>
    </row>
    <row r="1461" spans="2:3">
      <c r="B1461" s="412" t="s">
        <v>1718</v>
      </c>
      <c r="C1461" s="1110">
        <v>37.089023564957849</v>
      </c>
    </row>
    <row r="1462" spans="2:3">
      <c r="B1462" s="412" t="s">
        <v>1719</v>
      </c>
      <c r="C1462" s="1110">
        <v>39.524973055165603</v>
      </c>
    </row>
    <row r="1463" spans="2:3">
      <c r="B1463" s="412" t="s">
        <v>1720</v>
      </c>
      <c r="C1463" s="1110">
        <v>39.285267804466422</v>
      </c>
    </row>
    <row r="1464" spans="2:3">
      <c r="B1464" s="412" t="s">
        <v>1721</v>
      </c>
      <c r="C1464" s="1110">
        <v>27.79415366809728</v>
      </c>
    </row>
    <row r="1465" spans="2:3">
      <c r="B1465" s="412" t="s">
        <v>1722</v>
      </c>
      <c r="C1465" s="1110">
        <v>50.001044271428576</v>
      </c>
    </row>
    <row r="1466" spans="2:3">
      <c r="B1466" s="412" t="s">
        <v>1723</v>
      </c>
      <c r="C1466" s="1110">
        <v>50.050474000000001</v>
      </c>
    </row>
    <row r="1467" spans="2:3">
      <c r="B1467" s="412" t="s">
        <v>1724</v>
      </c>
      <c r="C1467" s="1110">
        <v>49.689017957219257</v>
      </c>
    </row>
    <row r="1468" spans="2:3">
      <c r="B1468" s="412" t="s">
        <v>1725</v>
      </c>
      <c r="C1468" s="1110">
        <v>50.050474000000001</v>
      </c>
    </row>
    <row r="1469" spans="2:3">
      <c r="B1469" s="412" t="s">
        <v>1726</v>
      </c>
      <c r="C1469" s="1110">
        <v>49.953306301886791</v>
      </c>
    </row>
    <row r="1470" spans="2:3">
      <c r="B1470" s="412" t="s">
        <v>1727</v>
      </c>
      <c r="C1470" s="1110">
        <v>65.81454451454546</v>
      </c>
    </row>
    <row r="1471" spans="2:3">
      <c r="B1471" s="412" t="s">
        <v>1728</v>
      </c>
      <c r="C1471" s="1110">
        <v>50.040798609218449</v>
      </c>
    </row>
    <row r="1472" spans="2:3">
      <c r="B1472" s="412" t="s">
        <v>1729</v>
      </c>
      <c r="C1472" s="1110">
        <v>50.041384017971758</v>
      </c>
    </row>
    <row r="1473" spans="2:3">
      <c r="B1473" s="412" t="s">
        <v>1730</v>
      </c>
      <c r="C1473" s="1110">
        <v>50.050474000000001</v>
      </c>
    </row>
    <row r="1474" spans="2:3">
      <c r="B1474" s="412" t="s">
        <v>1731</v>
      </c>
      <c r="C1474" s="1110">
        <v>50.050474000000001</v>
      </c>
    </row>
    <row r="1475" spans="2:3">
      <c r="B1475" s="412" t="s">
        <v>1732</v>
      </c>
      <c r="C1475" s="1110">
        <v>33.694286029368577</v>
      </c>
    </row>
    <row r="1476" spans="2:3">
      <c r="B1476" s="412" t="s">
        <v>1733</v>
      </c>
      <c r="C1476" s="1110">
        <v>31.351954875000004</v>
      </c>
    </row>
    <row r="1477" spans="2:3">
      <c r="B1477" s="412" t="s">
        <v>1734</v>
      </c>
      <c r="C1477" s="1110">
        <v>35.625766175303198</v>
      </c>
    </row>
    <row r="1478" spans="2:3">
      <c r="B1478" s="412" t="s">
        <v>1735</v>
      </c>
      <c r="C1478" s="1110">
        <v>33.737698318429665</v>
      </c>
    </row>
    <row r="1479" spans="2:3">
      <c r="B1479" s="412" t="s">
        <v>1736</v>
      </c>
      <c r="C1479" s="1110">
        <v>50.050474000000001</v>
      </c>
    </row>
    <row r="1480" spans="2:3">
      <c r="B1480" s="412" t="s">
        <v>1737</v>
      </c>
      <c r="C1480" s="1110">
        <v>27.816762994467496</v>
      </c>
    </row>
    <row r="1481" spans="2:3">
      <c r="B1481" s="412" t="s">
        <v>1738</v>
      </c>
      <c r="C1481" s="1110">
        <v>27.036912000000001</v>
      </c>
    </row>
    <row r="1482" spans="2:3">
      <c r="B1482" s="412" t="s">
        <v>1739</v>
      </c>
      <c r="C1482" s="1110">
        <v>50.050474000000001</v>
      </c>
    </row>
    <row r="1483" spans="2:3">
      <c r="B1483" s="412" t="s">
        <v>1740</v>
      </c>
      <c r="C1483" s="1110">
        <v>50.012968194915253</v>
      </c>
    </row>
    <row r="1484" spans="2:3">
      <c r="B1484" s="412" t="s">
        <v>1741</v>
      </c>
      <c r="C1484" s="1110">
        <v>50.050474000000001</v>
      </c>
    </row>
    <row r="1485" spans="2:3">
      <c r="B1485" s="412" t="s">
        <v>1742</v>
      </c>
      <c r="C1485" s="1110">
        <v>49.913837075487699</v>
      </c>
    </row>
    <row r="1486" spans="2:3">
      <c r="B1486" s="412" t="s">
        <v>1743</v>
      </c>
      <c r="C1486" s="1110">
        <v>50.050474000000001</v>
      </c>
    </row>
    <row r="1487" spans="2:3">
      <c r="B1487" s="412" t="s">
        <v>1744</v>
      </c>
      <c r="C1487" s="1110">
        <v>29.843443951219513</v>
      </c>
    </row>
    <row r="1488" spans="2:3">
      <c r="B1488" s="412" t="s">
        <v>1745</v>
      </c>
      <c r="C1488" s="1110">
        <v>50.050474000000001</v>
      </c>
    </row>
    <row r="1489" spans="2:3">
      <c r="B1489" s="412" t="s">
        <v>1746</v>
      </c>
      <c r="C1489" s="1110">
        <v>50.050474000000001</v>
      </c>
    </row>
    <row r="1490" spans="2:3">
      <c r="B1490" s="412" t="s">
        <v>1747</v>
      </c>
      <c r="C1490" s="1110">
        <v>50.050474000000001</v>
      </c>
    </row>
    <row r="1491" spans="2:3">
      <c r="B1491" s="412" t="s">
        <v>1748</v>
      </c>
      <c r="C1491" s="1110">
        <v>37.089023564957849</v>
      </c>
    </row>
    <row r="1492" spans="2:3">
      <c r="B1492" s="412" t="s">
        <v>1749</v>
      </c>
      <c r="C1492" s="1110">
        <v>37.089023564957849</v>
      </c>
    </row>
    <row r="1493" spans="2:3">
      <c r="B1493" s="412" t="s">
        <v>1750</v>
      </c>
      <c r="C1493" s="1110">
        <v>37.089023564957849</v>
      </c>
    </row>
    <row r="1494" spans="2:3">
      <c r="B1494" s="412" t="s">
        <v>1751</v>
      </c>
      <c r="C1494" s="1110">
        <v>37.682569699244709</v>
      </c>
    </row>
    <row r="1495" spans="2:3">
      <c r="B1495" s="412" t="s">
        <v>1752</v>
      </c>
      <c r="C1495" s="1110">
        <v>37.089023564957849</v>
      </c>
    </row>
    <row r="1496" spans="2:3">
      <c r="B1496" s="412" t="s">
        <v>1753</v>
      </c>
      <c r="C1496" s="1110">
        <v>37.089023564957849</v>
      </c>
    </row>
    <row r="1497" spans="2:3">
      <c r="B1497" s="412" t="s">
        <v>1754</v>
      </c>
      <c r="C1497" s="1110">
        <v>37.089023564957849</v>
      </c>
    </row>
    <row r="1498" spans="2:3">
      <c r="B1498" s="412" t="s">
        <v>1755</v>
      </c>
      <c r="C1498" s="1110">
        <v>37.089023564957849</v>
      </c>
    </row>
    <row r="1499" spans="2:3">
      <c r="B1499" s="412" t="s">
        <v>1756</v>
      </c>
      <c r="C1499" s="1110">
        <v>37.089023564957849</v>
      </c>
    </row>
    <row r="1500" spans="2:3">
      <c r="B1500" s="412" t="s">
        <v>1757</v>
      </c>
      <c r="C1500" s="1110">
        <v>37.089023564957849</v>
      </c>
    </row>
    <row r="1501" spans="2:3">
      <c r="B1501" s="412" t="s">
        <v>1758</v>
      </c>
      <c r="C1501" s="1110">
        <v>37.089023564957849</v>
      </c>
    </row>
    <row r="1502" spans="2:3">
      <c r="B1502" s="412" t="s">
        <v>1759</v>
      </c>
      <c r="C1502" s="1110">
        <v>37.089023564957849</v>
      </c>
    </row>
    <row r="1503" spans="2:3">
      <c r="B1503" s="412" t="s">
        <v>1760</v>
      </c>
      <c r="C1503" s="1110">
        <v>37.089023564957849</v>
      </c>
    </row>
    <row r="1504" spans="2:3">
      <c r="B1504" s="412" t="s">
        <v>1761</v>
      </c>
      <c r="C1504" s="1110">
        <v>37.089023564957849</v>
      </c>
    </row>
    <row r="1505" spans="2:3">
      <c r="B1505" s="412" t="s">
        <v>1762</v>
      </c>
      <c r="C1505" s="1110">
        <v>37.089023564957849</v>
      </c>
    </row>
    <row r="1506" spans="2:3">
      <c r="B1506" s="412" t="s">
        <v>1763</v>
      </c>
      <c r="C1506" s="1110">
        <v>37.089023564957849</v>
      </c>
    </row>
    <row r="1507" spans="2:3">
      <c r="B1507" s="412" t="s">
        <v>1764</v>
      </c>
      <c r="C1507" s="1110">
        <v>37.089023564957849</v>
      </c>
    </row>
    <row r="1508" spans="2:3">
      <c r="B1508" s="412" t="s">
        <v>1765</v>
      </c>
      <c r="C1508" s="1110">
        <v>37.089023564957849</v>
      </c>
    </row>
    <row r="1509" spans="2:3">
      <c r="B1509" s="412" t="s">
        <v>1766</v>
      </c>
      <c r="C1509" s="1110">
        <v>37.089023564957849</v>
      </c>
    </row>
    <row r="1510" spans="2:3">
      <c r="B1510" s="412" t="s">
        <v>1767</v>
      </c>
      <c r="C1510" s="1110">
        <v>37.089023564957849</v>
      </c>
    </row>
    <row r="1511" spans="2:3">
      <c r="B1511" s="412" t="s">
        <v>1768</v>
      </c>
      <c r="C1511" s="1110">
        <v>37.089023564957849</v>
      </c>
    </row>
    <row r="1512" spans="2:3">
      <c r="B1512" s="412" t="s">
        <v>1769</v>
      </c>
      <c r="C1512" s="1110">
        <v>37.089023564957849</v>
      </c>
    </row>
    <row r="1513" spans="2:3">
      <c r="B1513" s="412" t="s">
        <v>1770</v>
      </c>
      <c r="C1513" s="1110">
        <v>37.089023564957849</v>
      </c>
    </row>
    <row r="1514" spans="2:3">
      <c r="B1514" s="412" t="s">
        <v>1771</v>
      </c>
      <c r="C1514" s="1110">
        <v>37.089023564957849</v>
      </c>
    </row>
    <row r="1515" spans="2:3">
      <c r="B1515" s="412" t="s">
        <v>1772</v>
      </c>
      <c r="C1515" s="1110">
        <v>37.089023564957849</v>
      </c>
    </row>
    <row r="1516" spans="2:3">
      <c r="B1516" s="412" t="s">
        <v>1773</v>
      </c>
      <c r="C1516" s="1110">
        <v>37.089023564957849</v>
      </c>
    </row>
    <row r="1517" spans="2:3">
      <c r="B1517" s="412" t="s">
        <v>1774</v>
      </c>
      <c r="C1517" s="1110">
        <v>37.089023564957849</v>
      </c>
    </row>
    <row r="1518" spans="2:3">
      <c r="B1518" s="412" t="s">
        <v>1775</v>
      </c>
      <c r="C1518" s="1110">
        <v>37.089023564957849</v>
      </c>
    </row>
    <row r="1519" spans="2:3">
      <c r="B1519" s="412" t="s">
        <v>1776</v>
      </c>
      <c r="C1519" s="1110">
        <v>37.089023564957849</v>
      </c>
    </row>
    <row r="1520" spans="2:3">
      <c r="B1520" s="412" t="s">
        <v>1777</v>
      </c>
      <c r="C1520" s="1110">
        <v>37.089023564957849</v>
      </c>
    </row>
    <row r="1521" spans="2:3">
      <c r="B1521" s="412" t="s">
        <v>1778</v>
      </c>
      <c r="C1521" s="1110">
        <v>37.089023564957849</v>
      </c>
    </row>
    <row r="1522" spans="2:3">
      <c r="B1522" s="412" t="s">
        <v>1779</v>
      </c>
      <c r="C1522" s="1110">
        <v>37.089023564957849</v>
      </c>
    </row>
    <row r="1523" spans="2:3">
      <c r="B1523" s="412" t="s">
        <v>1780</v>
      </c>
      <c r="C1523" s="1110">
        <v>37.089023564957849</v>
      </c>
    </row>
    <row r="1524" spans="2:3">
      <c r="B1524" s="412" t="s">
        <v>1781</v>
      </c>
      <c r="C1524" s="1110">
        <v>37.089023564957849</v>
      </c>
    </row>
    <row r="1525" spans="2:3">
      <c r="B1525" s="412" t="s">
        <v>1782</v>
      </c>
      <c r="C1525" s="1110">
        <v>37.089023564957849</v>
      </c>
    </row>
    <row r="1526" spans="2:3">
      <c r="B1526" s="412" t="s">
        <v>1783</v>
      </c>
      <c r="C1526" s="1110">
        <v>37.089023564957849</v>
      </c>
    </row>
    <row r="1527" spans="2:3">
      <c r="B1527" s="412" t="s">
        <v>1784</v>
      </c>
      <c r="C1527" s="1110">
        <v>37.089023564957849</v>
      </c>
    </row>
    <row r="1528" spans="2:3">
      <c r="B1528" s="412" t="s">
        <v>1785</v>
      </c>
      <c r="C1528" s="1110">
        <v>37.089023564957849</v>
      </c>
    </row>
    <row r="1529" spans="2:3">
      <c r="B1529" s="412" t="s">
        <v>1786</v>
      </c>
      <c r="C1529" s="1110">
        <v>37.089023564957849</v>
      </c>
    </row>
    <row r="1530" spans="2:3">
      <c r="B1530" s="412" t="s">
        <v>1787</v>
      </c>
      <c r="C1530" s="1110">
        <v>37.089023564957849</v>
      </c>
    </row>
    <row r="1531" spans="2:3">
      <c r="B1531" s="412" t="s">
        <v>1788</v>
      </c>
      <c r="C1531" s="1110">
        <v>37.089023564957849</v>
      </c>
    </row>
    <row r="1532" spans="2:3">
      <c r="B1532" s="412" t="s">
        <v>1789</v>
      </c>
      <c r="C1532" s="1110">
        <v>37.089023564957849</v>
      </c>
    </row>
    <row r="1533" spans="2:3">
      <c r="B1533" s="412" t="s">
        <v>1790</v>
      </c>
      <c r="C1533" s="1110">
        <v>37.089023564957849</v>
      </c>
    </row>
    <row r="1534" spans="2:3">
      <c r="B1534" s="412" t="s">
        <v>1791</v>
      </c>
      <c r="C1534" s="1110">
        <v>37.089023564957849</v>
      </c>
    </row>
    <row r="1535" spans="2:3">
      <c r="B1535" s="412" t="s">
        <v>1792</v>
      </c>
      <c r="C1535" s="1110">
        <v>37.089023564957849</v>
      </c>
    </row>
    <row r="1536" spans="2:3">
      <c r="B1536" s="412" t="s">
        <v>1793</v>
      </c>
      <c r="C1536" s="1110">
        <v>37.089023564957849</v>
      </c>
    </row>
    <row r="1537" spans="2:3">
      <c r="B1537" s="412" t="s">
        <v>1794</v>
      </c>
      <c r="C1537" s="1110">
        <v>37.089023564957849</v>
      </c>
    </row>
    <row r="1538" spans="2:3">
      <c r="B1538" s="412" t="s">
        <v>1795</v>
      </c>
      <c r="C1538" s="1110">
        <v>37.089023564957849</v>
      </c>
    </row>
    <row r="1539" spans="2:3">
      <c r="B1539" s="412" t="s">
        <v>1796</v>
      </c>
      <c r="C1539" s="1110">
        <v>37.089023564957849</v>
      </c>
    </row>
    <row r="1540" spans="2:3">
      <c r="B1540" s="412" t="s">
        <v>1797</v>
      </c>
      <c r="C1540" s="1110">
        <v>37.089023564957849</v>
      </c>
    </row>
    <row r="1541" spans="2:3">
      <c r="B1541" s="412" t="s">
        <v>1798</v>
      </c>
      <c r="C1541" s="1110">
        <v>37.089023564957849</v>
      </c>
    </row>
    <row r="1542" spans="2:3">
      <c r="B1542" s="412" t="s">
        <v>1799</v>
      </c>
      <c r="C1542" s="1110">
        <v>37.089023564957849</v>
      </c>
    </row>
    <row r="1543" spans="2:3">
      <c r="B1543" s="412" t="s">
        <v>1800</v>
      </c>
      <c r="C1543" s="1110">
        <v>37.089023564957849</v>
      </c>
    </row>
    <row r="1544" spans="2:3">
      <c r="B1544" s="412" t="s">
        <v>1801</v>
      </c>
      <c r="C1544" s="1110">
        <v>37.089023564957849</v>
      </c>
    </row>
    <row r="1545" spans="2:3">
      <c r="B1545" s="412" t="s">
        <v>1802</v>
      </c>
      <c r="C1545" s="1110">
        <v>37.089023564957849</v>
      </c>
    </row>
    <row r="1546" spans="2:3">
      <c r="B1546" s="412" t="s">
        <v>1803</v>
      </c>
      <c r="C1546" s="1110">
        <v>37.089023564957849</v>
      </c>
    </row>
    <row r="1547" spans="2:3">
      <c r="B1547" s="412" t="s">
        <v>1804</v>
      </c>
      <c r="C1547" s="1110">
        <v>37.089023564957849</v>
      </c>
    </row>
    <row r="1548" spans="2:3">
      <c r="B1548" s="412" t="s">
        <v>1805</v>
      </c>
      <c r="C1548" s="1110">
        <v>37.089023564957849</v>
      </c>
    </row>
    <row r="1549" spans="2:3">
      <c r="B1549" s="412" t="s">
        <v>1806</v>
      </c>
      <c r="C1549" s="1110">
        <v>37.089023564957849</v>
      </c>
    </row>
    <row r="1550" spans="2:3">
      <c r="B1550" s="412" t="s">
        <v>1807</v>
      </c>
      <c r="C1550" s="1110">
        <v>37.089023564957849</v>
      </c>
    </row>
    <row r="1551" spans="2:3">
      <c r="B1551" s="412" t="s">
        <v>1808</v>
      </c>
      <c r="C1551" s="1110">
        <v>37.089023564957849</v>
      </c>
    </row>
    <row r="1552" spans="2:3">
      <c r="B1552" s="412" t="s">
        <v>1809</v>
      </c>
      <c r="C1552" s="1110">
        <v>37.089023564957849</v>
      </c>
    </row>
    <row r="1553" spans="2:3">
      <c r="B1553" s="412" t="s">
        <v>1810</v>
      </c>
      <c r="C1553" s="1110">
        <v>37.089023564957849</v>
      </c>
    </row>
    <row r="1554" spans="2:3">
      <c r="B1554" s="412" t="s">
        <v>1811</v>
      </c>
      <c r="C1554" s="1110">
        <v>37.089023564957849</v>
      </c>
    </row>
    <row r="1555" spans="2:3">
      <c r="B1555" s="412" t="s">
        <v>1812</v>
      </c>
      <c r="C1555" s="1110">
        <v>37.089023564957849</v>
      </c>
    </row>
    <row r="1556" spans="2:3">
      <c r="B1556" s="412" t="s">
        <v>1813</v>
      </c>
      <c r="C1556" s="1110">
        <v>37.089023564957849</v>
      </c>
    </row>
    <row r="1557" spans="2:3">
      <c r="B1557" s="412" t="s">
        <v>1814</v>
      </c>
      <c r="C1557" s="1110">
        <v>37.089023564957849</v>
      </c>
    </row>
    <row r="1558" spans="2:3">
      <c r="B1558" s="412" t="s">
        <v>1815</v>
      </c>
      <c r="C1558" s="1110">
        <v>57.603891750551874</v>
      </c>
    </row>
    <row r="1559" spans="2:3">
      <c r="B1559" s="412" t="s">
        <v>1816</v>
      </c>
      <c r="C1559" s="1110">
        <v>57.614372000000003</v>
      </c>
    </row>
    <row r="1560" spans="2:3">
      <c r="B1560" s="412" t="s">
        <v>1817</v>
      </c>
      <c r="C1560" s="1110">
        <v>57.614372000000003</v>
      </c>
    </row>
    <row r="1561" spans="2:3">
      <c r="B1561" s="412" t="s">
        <v>1818</v>
      </c>
      <c r="C1561" s="1110">
        <v>57.614372000000003</v>
      </c>
    </row>
    <row r="1562" spans="2:3">
      <c r="B1562" s="412" t="s">
        <v>1819</v>
      </c>
      <c r="C1562" s="1110">
        <v>57.614372000000003</v>
      </c>
    </row>
    <row r="1563" spans="2:3">
      <c r="B1563" s="412" t="s">
        <v>1820</v>
      </c>
      <c r="C1563" s="1110">
        <v>57.614372000000003</v>
      </c>
    </row>
    <row r="1564" spans="2:3">
      <c r="B1564" s="412" t="s">
        <v>1821</v>
      </c>
      <c r="C1564" s="1110">
        <v>57.614372000000003</v>
      </c>
    </row>
    <row r="1565" spans="2:3">
      <c r="B1565" s="412" t="s">
        <v>1822</v>
      </c>
      <c r="C1565" s="1110">
        <v>57.614372000000003</v>
      </c>
    </row>
    <row r="1566" spans="2:3">
      <c r="B1566" s="412" t="s">
        <v>1823</v>
      </c>
      <c r="C1566" s="1110">
        <v>57.614372000000003</v>
      </c>
    </row>
    <row r="1567" spans="2:3">
      <c r="B1567" s="412" t="s">
        <v>1824</v>
      </c>
      <c r="C1567" s="1110">
        <v>57.607787321775305</v>
      </c>
    </row>
    <row r="1568" spans="2:3">
      <c r="B1568" s="412" t="s">
        <v>1825</v>
      </c>
      <c r="C1568" s="1110">
        <v>57.610643799227809</v>
      </c>
    </row>
    <row r="1569" spans="2:3">
      <c r="B1569" s="412" t="s">
        <v>1826</v>
      </c>
      <c r="C1569" s="1110">
        <v>57.588334912172577</v>
      </c>
    </row>
    <row r="1570" spans="2:3">
      <c r="B1570" s="412" t="s">
        <v>1827</v>
      </c>
      <c r="C1570" s="1110">
        <v>57.614372000000003</v>
      </c>
    </row>
    <row r="1571" spans="2:3">
      <c r="B1571" s="412" t="s">
        <v>1828</v>
      </c>
      <c r="C1571" s="1110">
        <v>38.141357999999997</v>
      </c>
    </row>
    <row r="1572" spans="2:3">
      <c r="B1572" s="412" t="s">
        <v>1829</v>
      </c>
      <c r="C1572" s="1110">
        <v>38.141357999999997</v>
      </c>
    </row>
    <row r="1573" spans="2:3">
      <c r="B1573" s="412" t="s">
        <v>1830</v>
      </c>
      <c r="C1573" s="1110">
        <v>38.141357999999997</v>
      </c>
    </row>
    <row r="1574" spans="2:3">
      <c r="B1574" s="412" t="s">
        <v>1831</v>
      </c>
      <c r="C1574" s="1110">
        <v>38.141357999999997</v>
      </c>
    </row>
    <row r="1575" spans="2:3">
      <c r="B1575" s="412" t="s">
        <v>1832</v>
      </c>
      <c r="C1575" s="1110">
        <v>38.141357999999997</v>
      </c>
    </row>
    <row r="1576" spans="2:3">
      <c r="B1576" s="412" t="s">
        <v>1833</v>
      </c>
      <c r="C1576" s="1110">
        <v>38.141357999999997</v>
      </c>
    </row>
    <row r="1577" spans="2:3">
      <c r="B1577" s="412" t="s">
        <v>1834</v>
      </c>
      <c r="C1577" s="1110">
        <v>38.141357999999997</v>
      </c>
    </row>
    <row r="1578" spans="2:3">
      <c r="B1578" s="412" t="s">
        <v>1835</v>
      </c>
      <c r="C1578" s="1110">
        <v>38.141357999999997</v>
      </c>
    </row>
    <row r="1579" spans="2:3">
      <c r="B1579" s="412" t="s">
        <v>1836</v>
      </c>
      <c r="C1579" s="1110">
        <v>39.341694464088398</v>
      </c>
    </row>
    <row r="1580" spans="2:3">
      <c r="B1580" s="412" t="s">
        <v>1837</v>
      </c>
      <c r="C1580" s="1110">
        <v>38.141357999999997</v>
      </c>
    </row>
    <row r="1581" spans="2:3">
      <c r="B1581" s="412" t="s">
        <v>1838</v>
      </c>
      <c r="C1581" s="1110">
        <v>38.089389729166662</v>
      </c>
    </row>
    <row r="1582" spans="2:3">
      <c r="B1582" s="412" t="s">
        <v>1839</v>
      </c>
      <c r="C1582" s="1110">
        <v>38.141357999999997</v>
      </c>
    </row>
    <row r="1583" spans="2:3">
      <c r="B1583" s="412" t="s">
        <v>1840</v>
      </c>
      <c r="C1583" s="1110">
        <v>38.127304608450707</v>
      </c>
    </row>
    <row r="1584" spans="2:3">
      <c r="B1584" s="412" t="s">
        <v>1841</v>
      </c>
      <c r="C1584" s="1110">
        <v>41.492233785714284</v>
      </c>
    </row>
    <row r="1585" spans="2:3">
      <c r="B1585" s="412" t="s">
        <v>1842</v>
      </c>
      <c r="C1585" s="1110">
        <v>41.425435208480565</v>
      </c>
    </row>
    <row r="1586" spans="2:3">
      <c r="B1586" s="412" t="s">
        <v>1843</v>
      </c>
      <c r="C1586" s="1110">
        <v>38.141357999999997</v>
      </c>
    </row>
    <row r="1587" spans="2:3">
      <c r="B1587" s="412" t="s">
        <v>1844</v>
      </c>
      <c r="C1587" s="1110">
        <v>54.705638962962958</v>
      </c>
    </row>
    <row r="1588" spans="2:3">
      <c r="B1588" s="412" t="s">
        <v>1845</v>
      </c>
      <c r="C1588" s="1110">
        <v>44.096754197916667</v>
      </c>
    </row>
    <row r="1589" spans="2:3">
      <c r="B1589" s="412" t="s">
        <v>1846</v>
      </c>
      <c r="C1589" s="1110">
        <v>38.177750110552765</v>
      </c>
    </row>
    <row r="1590" spans="2:3">
      <c r="B1590" s="412" t="s">
        <v>1847</v>
      </c>
      <c r="C1590" s="1110">
        <v>38.141357999999997</v>
      </c>
    </row>
    <row r="1591" spans="2:3">
      <c r="B1591" s="412" t="s">
        <v>1848</v>
      </c>
      <c r="C1591" s="1110">
        <v>38.141357999999997</v>
      </c>
    </row>
    <row r="1592" spans="2:3">
      <c r="B1592" s="412" t="s">
        <v>1849</v>
      </c>
      <c r="C1592" s="1110">
        <v>34.215636841493776</v>
      </c>
    </row>
    <row r="1593" spans="2:3">
      <c r="B1593" s="412" t="s">
        <v>1850</v>
      </c>
      <c r="C1593" s="1110">
        <v>38.141357999999997</v>
      </c>
    </row>
    <row r="1594" spans="2:3">
      <c r="B1594" s="412" t="s">
        <v>1851</v>
      </c>
      <c r="C1594" s="1110">
        <v>38.141357999999997</v>
      </c>
    </row>
    <row r="1595" spans="2:3">
      <c r="B1595" s="412" t="s">
        <v>1852</v>
      </c>
      <c r="C1595" s="1110">
        <v>38.141357999999997</v>
      </c>
    </row>
    <row r="1596" spans="2:3">
      <c r="B1596" s="412" t="s">
        <v>1853</v>
      </c>
      <c r="C1596" s="1110">
        <v>38.141357999999997</v>
      </c>
    </row>
    <row r="1597" spans="2:3">
      <c r="B1597" s="412" t="s">
        <v>1854</v>
      </c>
      <c r="C1597" s="1110">
        <v>38.141357999999997</v>
      </c>
    </row>
    <row r="1598" spans="2:3">
      <c r="B1598" s="412" t="s">
        <v>1855</v>
      </c>
      <c r="C1598" s="1110">
        <v>38.141357999999997</v>
      </c>
    </row>
    <row r="1599" spans="2:3">
      <c r="B1599" s="412" t="s">
        <v>1856</v>
      </c>
      <c r="C1599" s="1110">
        <v>38.141357999999997</v>
      </c>
    </row>
    <row r="1600" spans="2:3">
      <c r="B1600" s="412" t="s">
        <v>1857</v>
      </c>
      <c r="C1600" s="1110">
        <v>38.141357999999997</v>
      </c>
    </row>
    <row r="1601" spans="2:3">
      <c r="B1601" s="412" t="s">
        <v>1858</v>
      </c>
      <c r="C1601" s="1110">
        <v>38.141357999999997</v>
      </c>
    </row>
    <row r="1602" spans="2:3">
      <c r="B1602" s="412" t="s">
        <v>1859</v>
      </c>
      <c r="C1602" s="1110">
        <v>38.141357999999997</v>
      </c>
    </row>
    <row r="1603" spans="2:3">
      <c r="B1603" s="412" t="s">
        <v>1860</v>
      </c>
      <c r="C1603" s="1110">
        <v>36.23714538064516</v>
      </c>
    </row>
    <row r="1604" spans="2:3">
      <c r="B1604" s="412" t="s">
        <v>1861</v>
      </c>
      <c r="C1604" s="1110">
        <v>34.95367758196722</v>
      </c>
    </row>
    <row r="1605" spans="2:3">
      <c r="B1605" s="412" t="s">
        <v>1862</v>
      </c>
      <c r="C1605" s="1110">
        <v>33.873066834720575</v>
      </c>
    </row>
    <row r="1606" spans="2:3">
      <c r="B1606" s="412" t="s">
        <v>1863</v>
      </c>
      <c r="C1606" s="1110">
        <v>33.700771703703708</v>
      </c>
    </row>
    <row r="1607" spans="2:3">
      <c r="B1607" s="412" t="s">
        <v>1864</v>
      </c>
      <c r="C1607" s="1110">
        <v>52.142615999999997</v>
      </c>
    </row>
    <row r="1608" spans="2:3">
      <c r="B1608" s="412" t="s">
        <v>1865</v>
      </c>
      <c r="C1608" s="1110">
        <v>51.832371011111114</v>
      </c>
    </row>
    <row r="1609" spans="2:3" ht="17" thickBot="1">
      <c r="B1609" s="413" t="s">
        <v>1866</v>
      </c>
      <c r="C1609" s="655">
        <v>51.20857706389301</v>
      </c>
    </row>
    <row r="1610" spans="2:3">
      <c r="B1610" s="415" t="s">
        <v>1867</v>
      </c>
      <c r="C1610" s="1109">
        <v>24.461967999999999</v>
      </c>
    </row>
    <row r="1611" spans="2:3">
      <c r="B1611" s="412" t="s">
        <v>1868</v>
      </c>
      <c r="C1611" s="1110">
        <v>24.46761480701754</v>
      </c>
    </row>
    <row r="1612" spans="2:3">
      <c r="B1612" s="412" t="s">
        <v>1869</v>
      </c>
      <c r="C1612" s="1110">
        <v>24.461967999999999</v>
      </c>
    </row>
    <row r="1613" spans="2:3">
      <c r="B1613" s="412" t="s">
        <v>1870</v>
      </c>
      <c r="C1613" s="1110">
        <v>24.461967999999999</v>
      </c>
    </row>
    <row r="1614" spans="2:3">
      <c r="B1614" s="412" t="s">
        <v>1871</v>
      </c>
      <c r="C1614" s="1110">
        <v>24.461967999999999</v>
      </c>
    </row>
    <row r="1615" spans="2:3">
      <c r="B1615" s="412" t="s">
        <v>1872</v>
      </c>
      <c r="C1615" s="1110">
        <v>25.037184694096602</v>
      </c>
    </row>
    <row r="1616" spans="2:3">
      <c r="B1616" s="412" t="s">
        <v>1873</v>
      </c>
      <c r="C1616" s="1110">
        <v>27.607902110982661</v>
      </c>
    </row>
    <row r="1617" spans="2:3">
      <c r="B1617" s="412" t="s">
        <v>1874</v>
      </c>
      <c r="C1617" s="1110">
        <v>30.390030768292679</v>
      </c>
    </row>
    <row r="1618" spans="2:3">
      <c r="B1618" s="412" t="s">
        <v>1875</v>
      </c>
      <c r="C1618" s="1110">
        <v>24.461967999999999</v>
      </c>
    </row>
    <row r="1619" spans="2:3">
      <c r="B1619" s="412" t="s">
        <v>1876</v>
      </c>
      <c r="C1619" s="1110">
        <v>24.578630193308552</v>
      </c>
    </row>
    <row r="1620" spans="2:3">
      <c r="B1620" s="412" t="s">
        <v>1877</v>
      </c>
      <c r="C1620" s="1110">
        <v>24.461967999999999</v>
      </c>
    </row>
    <row r="1621" spans="2:3">
      <c r="B1621" s="412" t="s">
        <v>1878</v>
      </c>
      <c r="C1621" s="1110">
        <v>24.461967999999999</v>
      </c>
    </row>
    <row r="1622" spans="2:3">
      <c r="B1622" s="412" t="s">
        <v>1879</v>
      </c>
      <c r="C1622" s="1110">
        <v>24.470169870523414</v>
      </c>
    </row>
    <row r="1623" spans="2:3">
      <c r="B1623" s="412" t="s">
        <v>1880</v>
      </c>
      <c r="C1623" s="1110">
        <v>24.486910779884585</v>
      </c>
    </row>
    <row r="1624" spans="2:3">
      <c r="B1624" s="412" t="s">
        <v>1881</v>
      </c>
      <c r="C1624" s="1110">
        <v>24.527885616236162</v>
      </c>
    </row>
    <row r="1625" spans="2:3">
      <c r="B1625" s="412" t="s">
        <v>1882</v>
      </c>
      <c r="C1625" s="1110">
        <v>31.059741599029909</v>
      </c>
    </row>
    <row r="1626" spans="2:3">
      <c r="B1626" s="412" t="s">
        <v>1883</v>
      </c>
      <c r="C1626" s="1110">
        <v>31.05182428388747</v>
      </c>
    </row>
    <row r="1627" spans="2:3">
      <c r="B1627" s="412" t="s">
        <v>1884</v>
      </c>
      <c r="C1627" s="1110">
        <v>31.447759113475179</v>
      </c>
    </row>
    <row r="1628" spans="2:3">
      <c r="B1628" s="412" t="s">
        <v>1885</v>
      </c>
      <c r="C1628" s="1110">
        <v>28.968119999999999</v>
      </c>
    </row>
    <row r="1629" spans="2:3">
      <c r="B1629" s="412" t="s">
        <v>1886</v>
      </c>
      <c r="C1629" s="1110">
        <v>29.218262540389969</v>
      </c>
    </row>
    <row r="1630" spans="2:3">
      <c r="B1630" s="412" t="s">
        <v>1887</v>
      </c>
      <c r="C1630" s="1110">
        <v>33.297983872791519</v>
      </c>
    </row>
    <row r="1631" spans="2:3">
      <c r="B1631" s="412" t="s">
        <v>1888</v>
      </c>
      <c r="C1631" s="1110">
        <v>26.771980938628158</v>
      </c>
    </row>
    <row r="1632" spans="2:3">
      <c r="B1632" s="412" t="s">
        <v>1889</v>
      </c>
      <c r="C1632" s="1110">
        <v>28.968119999999999</v>
      </c>
    </row>
    <row r="1633" spans="2:3">
      <c r="B1633" s="412" t="s">
        <v>1890</v>
      </c>
      <c r="C1633" s="1110">
        <v>30.416526000000001</v>
      </c>
    </row>
    <row r="1634" spans="2:3">
      <c r="B1634" s="412" t="s">
        <v>1891</v>
      </c>
      <c r="C1634" s="1110">
        <v>30.416526000000001</v>
      </c>
    </row>
    <row r="1635" spans="2:3">
      <c r="B1635" s="412" t="s">
        <v>1892</v>
      </c>
      <c r="C1635" s="1110">
        <v>30.340185512820515</v>
      </c>
    </row>
    <row r="1636" spans="2:3">
      <c r="B1636" s="412" t="s">
        <v>1893</v>
      </c>
      <c r="C1636" s="1110">
        <v>26.554110000000001</v>
      </c>
    </row>
    <row r="1637" spans="2:3">
      <c r="B1637" s="412" t="s">
        <v>1894</v>
      </c>
      <c r="C1637" s="1110">
        <v>31.368898332695988</v>
      </c>
    </row>
    <row r="1638" spans="2:3">
      <c r="B1638" s="412" t="s">
        <v>1895</v>
      </c>
      <c r="C1638" s="1110">
        <v>28.968119999999999</v>
      </c>
    </row>
    <row r="1639" spans="2:3">
      <c r="B1639" s="412" t="s">
        <v>1896</v>
      </c>
      <c r="C1639" s="1110">
        <v>24.461967999999999</v>
      </c>
    </row>
    <row r="1640" spans="2:3">
      <c r="B1640" s="412" t="s">
        <v>1897</v>
      </c>
      <c r="C1640" s="1110">
        <v>24.487132225454541</v>
      </c>
    </row>
    <row r="1641" spans="2:3">
      <c r="B1641" s="412" t="s">
        <v>1898</v>
      </c>
      <c r="C1641" s="1110">
        <v>30.416526000000001</v>
      </c>
    </row>
    <row r="1642" spans="2:3">
      <c r="B1642" s="412" t="s">
        <v>1899</v>
      </c>
      <c r="C1642" s="1110">
        <v>26.522832129568108</v>
      </c>
    </row>
    <row r="1643" spans="2:3">
      <c r="B1643" s="412" t="s">
        <v>1900</v>
      </c>
      <c r="C1643" s="1110">
        <v>28.968119999999999</v>
      </c>
    </row>
    <row r="1644" spans="2:3">
      <c r="B1644" s="412" t="s">
        <v>1901</v>
      </c>
      <c r="C1644" s="1110">
        <v>31.060262000000002</v>
      </c>
    </row>
    <row r="1645" spans="2:3">
      <c r="B1645" s="412" t="s">
        <v>1902</v>
      </c>
      <c r="C1645" s="1110">
        <v>33.360605328671333</v>
      </c>
    </row>
    <row r="1646" spans="2:3">
      <c r="B1646" s="412" t="s">
        <v>1903</v>
      </c>
      <c r="C1646" s="1110">
        <v>28.968119999999999</v>
      </c>
    </row>
    <row r="1647" spans="2:3">
      <c r="B1647" s="412" t="s">
        <v>1904</v>
      </c>
      <c r="C1647" s="1110">
        <v>28.968119999999999</v>
      </c>
    </row>
    <row r="1648" spans="2:3">
      <c r="B1648" s="412" t="s">
        <v>1905</v>
      </c>
      <c r="C1648" s="1110">
        <v>28.968119999999999</v>
      </c>
    </row>
    <row r="1649" spans="2:3">
      <c r="B1649" s="412" t="s">
        <v>1906</v>
      </c>
      <c r="C1649" s="1110">
        <v>24.579010909090908</v>
      </c>
    </row>
    <row r="1650" spans="2:3">
      <c r="B1650" s="412" t="s">
        <v>1907</v>
      </c>
      <c r="C1650" s="1110">
        <v>24.461967999999999</v>
      </c>
    </row>
    <row r="1651" spans="2:3">
      <c r="B1651" s="412" t="s">
        <v>1908</v>
      </c>
      <c r="C1651" s="1110">
        <v>28.751309045513654</v>
      </c>
    </row>
    <row r="1652" spans="2:3">
      <c r="B1652" s="412" t="s">
        <v>1909</v>
      </c>
      <c r="C1652" s="1110">
        <v>24.559215806532659</v>
      </c>
    </row>
    <row r="1653" spans="2:3">
      <c r="B1653" s="412" t="s">
        <v>1910</v>
      </c>
      <c r="C1653" s="1110">
        <v>24.461967999999999</v>
      </c>
    </row>
    <row r="1654" spans="2:3">
      <c r="B1654" s="412" t="s">
        <v>1911</v>
      </c>
      <c r="C1654" s="1110">
        <v>24.461967999999999</v>
      </c>
    </row>
    <row r="1655" spans="2:3">
      <c r="B1655" s="412" t="s">
        <v>1912</v>
      </c>
      <c r="C1655" s="1110">
        <v>24.461967999999999</v>
      </c>
    </row>
    <row r="1656" spans="2:3">
      <c r="B1656" s="412" t="s">
        <v>1913</v>
      </c>
      <c r="C1656" s="1110">
        <v>42.884268673076917</v>
      </c>
    </row>
    <row r="1657" spans="2:3">
      <c r="B1657" s="412" t="s">
        <v>1914</v>
      </c>
      <c r="C1657" s="1110">
        <v>47.153661999999997</v>
      </c>
    </row>
    <row r="1658" spans="2:3">
      <c r="B1658" s="412" t="s">
        <v>1915</v>
      </c>
      <c r="C1658" s="1110">
        <v>47.153661999999997</v>
      </c>
    </row>
    <row r="1659" spans="2:3">
      <c r="B1659" s="412" t="s">
        <v>1916</v>
      </c>
      <c r="C1659" s="1110">
        <v>47.153661999999997</v>
      </c>
    </row>
    <row r="1660" spans="2:3">
      <c r="B1660" s="412" t="s">
        <v>1917</v>
      </c>
      <c r="C1660" s="1110">
        <v>47.153661999999997</v>
      </c>
    </row>
    <row r="1661" spans="2:3">
      <c r="B1661" s="412" t="s">
        <v>1918</v>
      </c>
      <c r="C1661" s="1110">
        <v>47.153661999999997</v>
      </c>
    </row>
    <row r="1662" spans="2:3">
      <c r="B1662" s="412" t="s">
        <v>1919</v>
      </c>
      <c r="C1662" s="1110">
        <v>47.153661999999997</v>
      </c>
    </row>
    <row r="1663" spans="2:3">
      <c r="B1663" s="412" t="s">
        <v>1920</v>
      </c>
      <c r="C1663" s="1110">
        <v>47.153661999999997</v>
      </c>
    </row>
    <row r="1664" spans="2:3">
      <c r="B1664" s="412" t="s">
        <v>1921</v>
      </c>
      <c r="C1664" s="1110">
        <v>47.153661999999997</v>
      </c>
    </row>
    <row r="1665" spans="2:3">
      <c r="B1665" s="412" t="s">
        <v>1922</v>
      </c>
      <c r="C1665" s="1110">
        <v>47.153661999999997</v>
      </c>
    </row>
    <row r="1666" spans="2:3">
      <c r="B1666" s="412" t="s">
        <v>1923</v>
      </c>
      <c r="C1666" s="1110">
        <v>47.153661999999997</v>
      </c>
    </row>
    <row r="1667" spans="2:3">
      <c r="B1667" s="412" t="s">
        <v>1924</v>
      </c>
      <c r="C1667" s="1110">
        <v>42.21783850053248</v>
      </c>
    </row>
    <row r="1668" spans="2:3">
      <c r="B1668" s="412" t="s">
        <v>1925</v>
      </c>
      <c r="C1668" s="1110">
        <v>47.153661999999997</v>
      </c>
    </row>
    <row r="1669" spans="2:3">
      <c r="B1669" s="412" t="s">
        <v>1926</v>
      </c>
      <c r="C1669" s="1110">
        <v>42.934570889428919</v>
      </c>
    </row>
    <row r="1670" spans="2:3">
      <c r="B1670" s="412" t="s">
        <v>1927</v>
      </c>
      <c r="C1670" s="1110">
        <v>42.164707999999997</v>
      </c>
    </row>
    <row r="1671" spans="2:3">
      <c r="B1671" s="412" t="s">
        <v>1928</v>
      </c>
      <c r="C1671" s="1110">
        <v>42.936928985743378</v>
      </c>
    </row>
    <row r="1672" spans="2:3">
      <c r="B1672" s="412" t="s">
        <v>1929</v>
      </c>
      <c r="C1672" s="1110">
        <v>47.153661999999997</v>
      </c>
    </row>
    <row r="1673" spans="2:3">
      <c r="B1673" s="412" t="s">
        <v>1930</v>
      </c>
      <c r="C1673" s="1110">
        <v>42.28698628431372</v>
      </c>
    </row>
    <row r="1674" spans="2:3">
      <c r="B1674" s="412" t="s">
        <v>1931</v>
      </c>
      <c r="C1674" s="1110">
        <v>42.285084906166219</v>
      </c>
    </row>
    <row r="1675" spans="2:3">
      <c r="B1675" s="412" t="s">
        <v>1932</v>
      </c>
      <c r="C1675" s="1110">
        <v>47.14196456975381</v>
      </c>
    </row>
    <row r="1676" spans="2:3">
      <c r="B1676" s="412" t="s">
        <v>1933</v>
      </c>
      <c r="C1676" s="1110">
        <v>47.153661999999997</v>
      </c>
    </row>
    <row r="1677" spans="2:3">
      <c r="B1677" s="412" t="s">
        <v>1934</v>
      </c>
      <c r="C1677" s="1110">
        <v>56.648767999999997</v>
      </c>
    </row>
    <row r="1678" spans="2:3">
      <c r="B1678" s="412" t="s">
        <v>1935</v>
      </c>
      <c r="C1678" s="1110">
        <v>56.648767999999997</v>
      </c>
    </row>
    <row r="1679" spans="2:3">
      <c r="B1679" s="412" t="s">
        <v>1936</v>
      </c>
      <c r="C1679" s="1110">
        <v>56.648767999999997</v>
      </c>
    </row>
    <row r="1680" spans="2:3">
      <c r="B1680" s="412" t="s">
        <v>1937</v>
      </c>
      <c r="C1680" s="1110">
        <v>56.648767999999997</v>
      </c>
    </row>
    <row r="1681" spans="2:3">
      <c r="B1681" s="412" t="s">
        <v>1938</v>
      </c>
      <c r="C1681" s="1110">
        <v>56.648767999999997</v>
      </c>
    </row>
    <row r="1682" spans="2:3">
      <c r="B1682" s="412" t="s">
        <v>1939</v>
      </c>
      <c r="C1682" s="1110">
        <v>56.648767999999997</v>
      </c>
    </row>
    <row r="1683" spans="2:3">
      <c r="B1683" s="412" t="s">
        <v>1940</v>
      </c>
      <c r="C1683" s="1110">
        <v>56.648767999999997</v>
      </c>
    </row>
    <row r="1684" spans="2:3">
      <c r="B1684" s="412" t="s">
        <v>1941</v>
      </c>
      <c r="C1684" s="1110">
        <v>56.609304184347828</v>
      </c>
    </row>
    <row r="1685" spans="2:3">
      <c r="B1685" s="412" t="s">
        <v>1942</v>
      </c>
      <c r="C1685" s="1110">
        <v>52.472965656756756</v>
      </c>
    </row>
    <row r="1686" spans="2:3">
      <c r="B1686" s="412" t="s">
        <v>1943</v>
      </c>
      <c r="C1686" s="1110">
        <v>48.807107892332787</v>
      </c>
    </row>
    <row r="1687" spans="2:3">
      <c r="B1687" s="412" t="s">
        <v>1944</v>
      </c>
      <c r="C1687" s="1110">
        <v>52.489170041297939</v>
      </c>
    </row>
    <row r="1688" spans="2:3">
      <c r="B1688" s="412" t="s">
        <v>1945</v>
      </c>
      <c r="C1688" s="1110">
        <v>56.627455118918917</v>
      </c>
    </row>
    <row r="1689" spans="2:3">
      <c r="B1689" s="412" t="s">
        <v>1946</v>
      </c>
      <c r="C1689" s="1110">
        <v>56.403105507788162</v>
      </c>
    </row>
    <row r="1690" spans="2:3">
      <c r="B1690" s="412" t="s">
        <v>1947</v>
      </c>
      <c r="C1690" s="1110">
        <v>56.648767999999997</v>
      </c>
    </row>
    <row r="1691" spans="2:3">
      <c r="B1691" s="412" t="s">
        <v>1948</v>
      </c>
      <c r="C1691" s="1110">
        <v>41.360038000000003</v>
      </c>
    </row>
    <row r="1692" spans="2:3">
      <c r="B1692" s="412" t="s">
        <v>1949</v>
      </c>
      <c r="C1692" s="1110">
        <v>41.360038000000003</v>
      </c>
    </row>
    <row r="1693" spans="2:3">
      <c r="B1693" s="412" t="s">
        <v>1950</v>
      </c>
      <c r="C1693" s="1110">
        <v>41.360038000000003</v>
      </c>
    </row>
    <row r="1694" spans="2:3">
      <c r="B1694" s="412" t="s">
        <v>1951</v>
      </c>
      <c r="C1694" s="1110">
        <v>45.334784757299268</v>
      </c>
    </row>
    <row r="1695" spans="2:3">
      <c r="B1695" s="412" t="s">
        <v>1952</v>
      </c>
      <c r="C1695" s="1110">
        <v>42.273448322678846</v>
      </c>
    </row>
    <row r="1696" spans="2:3">
      <c r="B1696" s="412" t="s">
        <v>1953</v>
      </c>
      <c r="C1696" s="1110">
        <v>51.061764155573378</v>
      </c>
    </row>
    <row r="1697" spans="2:3">
      <c r="B1697" s="412" t="s">
        <v>1954</v>
      </c>
      <c r="C1697" s="1110">
        <v>56.648767999999997</v>
      </c>
    </row>
    <row r="1698" spans="2:3">
      <c r="B1698" s="412" t="s">
        <v>1955</v>
      </c>
      <c r="C1698" s="1110">
        <v>56.648767999999997</v>
      </c>
    </row>
    <row r="1699" spans="2:3">
      <c r="B1699" s="412" t="s">
        <v>1956</v>
      </c>
      <c r="C1699" s="1110">
        <v>56.648767999999997</v>
      </c>
    </row>
    <row r="1700" spans="2:3">
      <c r="B1700" s="412" t="s">
        <v>1957</v>
      </c>
      <c r="C1700" s="1110">
        <v>56.648767999999997</v>
      </c>
    </row>
    <row r="1701" spans="2:3">
      <c r="B1701" s="412" t="s">
        <v>1958</v>
      </c>
      <c r="C1701" s="1110">
        <v>56.648767999999997</v>
      </c>
    </row>
    <row r="1702" spans="2:3">
      <c r="B1702" s="412" t="s">
        <v>1959</v>
      </c>
      <c r="C1702" s="1110">
        <v>56.648767999999997</v>
      </c>
    </row>
    <row r="1703" spans="2:3">
      <c r="B1703" s="412" t="s">
        <v>1960</v>
      </c>
      <c r="C1703" s="1110">
        <v>56.648767999999997</v>
      </c>
    </row>
    <row r="1704" spans="2:3">
      <c r="B1704" s="412" t="s">
        <v>1961</v>
      </c>
      <c r="C1704" s="1110">
        <v>37.089023564957849</v>
      </c>
    </row>
    <row r="1705" spans="2:3">
      <c r="B1705" s="412" t="s">
        <v>1962</v>
      </c>
      <c r="C1705" s="1110">
        <v>32.429648498919704</v>
      </c>
    </row>
    <row r="1706" spans="2:3">
      <c r="B1706" s="412" t="s">
        <v>1963</v>
      </c>
      <c r="C1706" s="1110">
        <v>32.433994930884289</v>
      </c>
    </row>
    <row r="1707" spans="2:3">
      <c r="B1707" s="412" t="s">
        <v>1964</v>
      </c>
      <c r="C1707" s="1110">
        <v>33.158941987516982</v>
      </c>
    </row>
    <row r="1708" spans="2:3">
      <c r="B1708" s="412" t="s">
        <v>1965</v>
      </c>
      <c r="C1708" s="1110">
        <v>37.083710708554158</v>
      </c>
    </row>
    <row r="1709" spans="2:3">
      <c r="B1709" s="412" t="s">
        <v>1966</v>
      </c>
      <c r="C1709" s="1110">
        <v>32.429648498919704</v>
      </c>
    </row>
    <row r="1710" spans="2:3">
      <c r="B1710" s="412" t="s">
        <v>1967</v>
      </c>
      <c r="C1710" s="1110">
        <v>37.089023564957849</v>
      </c>
    </row>
    <row r="1711" spans="2:3">
      <c r="B1711" s="412" t="s">
        <v>1968</v>
      </c>
      <c r="C1711" s="1110">
        <v>37.089023564957849</v>
      </c>
    </row>
    <row r="1712" spans="2:3">
      <c r="B1712" s="412" t="s">
        <v>1969</v>
      </c>
      <c r="C1712" s="1110">
        <v>37.089023564957849</v>
      </c>
    </row>
    <row r="1713" spans="2:3">
      <c r="B1713" s="412" t="s">
        <v>1970</v>
      </c>
      <c r="C1713" s="1110">
        <v>37.089023564957849</v>
      </c>
    </row>
    <row r="1714" spans="2:3">
      <c r="B1714" s="412" t="s">
        <v>1971</v>
      </c>
      <c r="C1714" s="1110">
        <v>32.429648498919704</v>
      </c>
    </row>
    <row r="1715" spans="2:3" ht="17" thickBot="1">
      <c r="B1715" s="413" t="s">
        <v>1972</v>
      </c>
      <c r="C1715" s="655">
        <v>32.429648498919704</v>
      </c>
    </row>
    <row r="1716" spans="2:3">
      <c r="B1716" s="415" t="s">
        <v>1973</v>
      </c>
      <c r="C1716" s="1109">
        <v>16.508114538461538</v>
      </c>
    </row>
    <row r="1717" spans="2:3">
      <c r="B1717" s="412" t="s">
        <v>1974</v>
      </c>
      <c r="C1717" s="1110">
        <v>21.28674962818004</v>
      </c>
    </row>
    <row r="1718" spans="2:3">
      <c r="B1718" s="412" t="s">
        <v>1975</v>
      </c>
      <c r="C1718" s="1110">
        <v>25.5503762124183</v>
      </c>
    </row>
    <row r="1719" spans="2:3">
      <c r="B1719" s="412" t="s">
        <v>1976</v>
      </c>
      <c r="C1719" s="1110">
        <v>28.485317999999999</v>
      </c>
    </row>
    <row r="1720" spans="2:3">
      <c r="B1720" s="412" t="s">
        <v>1977</v>
      </c>
      <c r="C1720" s="1110">
        <v>24.891731487758946</v>
      </c>
    </row>
    <row r="1721" spans="2:3">
      <c r="B1721" s="412" t="s">
        <v>1978</v>
      </c>
      <c r="C1721" s="1110">
        <v>25.646731036179453</v>
      </c>
    </row>
    <row r="1722" spans="2:3">
      <c r="B1722" s="412" t="s">
        <v>1979</v>
      </c>
      <c r="C1722" s="1110">
        <v>19.235860188302428</v>
      </c>
    </row>
    <row r="1723" spans="2:3">
      <c r="B1723" s="412" t="s">
        <v>1980</v>
      </c>
      <c r="C1723" s="1110">
        <v>16.724767524575512</v>
      </c>
    </row>
    <row r="1724" spans="2:3">
      <c r="B1724" s="412" t="s">
        <v>1981</v>
      </c>
      <c r="C1724" s="1110">
        <v>19.321842820853082</v>
      </c>
    </row>
    <row r="1725" spans="2:3">
      <c r="B1725" s="412" t="s">
        <v>1982</v>
      </c>
      <c r="C1725" s="1110">
        <v>24.923985166051658</v>
      </c>
    </row>
    <row r="1726" spans="2:3">
      <c r="B1726" s="412" t="s">
        <v>1983</v>
      </c>
      <c r="C1726" s="1110">
        <v>16.283161741433023</v>
      </c>
    </row>
    <row r="1727" spans="2:3">
      <c r="B1727" s="412" t="s">
        <v>1984</v>
      </c>
      <c r="C1727" s="1110">
        <v>13.67939</v>
      </c>
    </row>
    <row r="1728" spans="2:3">
      <c r="B1728" s="412" t="s">
        <v>1985</v>
      </c>
      <c r="C1728" s="1110">
        <v>16.415268000000001</v>
      </c>
    </row>
    <row r="1729" spans="2:3">
      <c r="B1729" s="412" t="s">
        <v>1986</v>
      </c>
      <c r="C1729" s="1110">
        <v>27.017599919999999</v>
      </c>
    </row>
    <row r="1730" spans="2:3">
      <c r="B1730" s="412" t="s">
        <v>1987</v>
      </c>
      <c r="C1730" s="1110">
        <v>28.485317999999999</v>
      </c>
    </row>
    <row r="1731" spans="2:3">
      <c r="B1731" s="412" t="s">
        <v>1988</v>
      </c>
      <c r="C1731" s="1110">
        <v>24.944769999999998</v>
      </c>
    </row>
    <row r="1732" spans="2:3">
      <c r="B1732" s="412" t="s">
        <v>1989</v>
      </c>
      <c r="C1732" s="1110">
        <v>19.465405372492839</v>
      </c>
    </row>
    <row r="1733" spans="2:3">
      <c r="B1733" s="412" t="s">
        <v>1990</v>
      </c>
      <c r="C1733" s="1110">
        <v>28.485317999999999</v>
      </c>
    </row>
    <row r="1734" spans="2:3">
      <c r="B1734" s="412" t="s">
        <v>1991</v>
      </c>
      <c r="C1734" s="1110">
        <v>17.636484130994155</v>
      </c>
    </row>
    <row r="1735" spans="2:3">
      <c r="B1735" s="412" t="s">
        <v>1992</v>
      </c>
      <c r="C1735" s="1110">
        <v>16.419888114832535</v>
      </c>
    </row>
    <row r="1736" spans="2:3">
      <c r="B1736" s="412" t="s">
        <v>1993</v>
      </c>
      <c r="C1736" s="1110">
        <v>17.859176842315367</v>
      </c>
    </row>
    <row r="1737" spans="2:3">
      <c r="B1737" s="412" t="s">
        <v>1994</v>
      </c>
      <c r="C1737" s="1110">
        <v>16.363818966814161</v>
      </c>
    </row>
    <row r="1738" spans="2:3">
      <c r="B1738" s="412" t="s">
        <v>1995</v>
      </c>
      <c r="C1738" s="1110">
        <v>19.432424451327435</v>
      </c>
    </row>
    <row r="1739" spans="2:3">
      <c r="B1739" s="412" t="s">
        <v>1996</v>
      </c>
      <c r="C1739" s="1110">
        <v>21.404222000000001</v>
      </c>
    </row>
    <row r="1740" spans="2:3">
      <c r="B1740" s="412" t="s">
        <v>1997</v>
      </c>
      <c r="C1740" s="1110">
        <v>24.944769999999998</v>
      </c>
    </row>
    <row r="1741" spans="2:3">
      <c r="B1741" s="412" t="s">
        <v>1998</v>
      </c>
      <c r="C1741" s="1110">
        <v>31.543064000000001</v>
      </c>
    </row>
    <row r="1742" spans="2:3">
      <c r="B1742" s="412" t="s">
        <v>1999</v>
      </c>
      <c r="C1742" s="1110">
        <v>39.587804046008124</v>
      </c>
    </row>
    <row r="1743" spans="2:3">
      <c r="B1743" s="412" t="s">
        <v>2000</v>
      </c>
      <c r="C1743" s="1110">
        <v>39.589764000000002</v>
      </c>
    </row>
    <row r="1744" spans="2:3">
      <c r="B1744" s="412" t="s">
        <v>2001</v>
      </c>
      <c r="C1744" s="1110">
        <v>41.038170000000001</v>
      </c>
    </row>
    <row r="1745" spans="2:3">
      <c r="B1745" s="412" t="s">
        <v>2002</v>
      </c>
      <c r="C1745" s="1110">
        <v>35.966355244851258</v>
      </c>
    </row>
    <row r="1746" spans="2:3">
      <c r="B1746" s="412" t="s">
        <v>2003</v>
      </c>
      <c r="C1746" s="1110">
        <v>34.434648445475638</v>
      </c>
    </row>
    <row r="1747" spans="2:3">
      <c r="B1747" s="412" t="s">
        <v>2004</v>
      </c>
      <c r="C1747" s="1110">
        <v>42.739626378016091</v>
      </c>
    </row>
    <row r="1748" spans="2:3">
      <c r="B1748" s="412" t="s">
        <v>2005</v>
      </c>
      <c r="C1748" s="1110">
        <v>43.942784860606061</v>
      </c>
    </row>
    <row r="1749" spans="2:3">
      <c r="B1749" s="412" t="s">
        <v>2006</v>
      </c>
      <c r="C1749" s="1110">
        <v>58.258108</v>
      </c>
    </row>
    <row r="1750" spans="2:3">
      <c r="B1750" s="412" t="s">
        <v>2007</v>
      </c>
      <c r="C1750" s="1110">
        <v>58.258108</v>
      </c>
    </row>
    <row r="1751" spans="2:3">
      <c r="B1751" s="412" t="s">
        <v>2008</v>
      </c>
      <c r="C1751" s="1110">
        <v>31.543064000000001</v>
      </c>
    </row>
    <row r="1752" spans="2:3">
      <c r="B1752" s="412" t="s">
        <v>2009</v>
      </c>
      <c r="C1752" s="1110">
        <v>58.069086462264146</v>
      </c>
    </row>
    <row r="1753" spans="2:3">
      <c r="B1753" s="412" t="s">
        <v>2010</v>
      </c>
      <c r="C1753" s="1110">
        <v>39.589764000000002</v>
      </c>
    </row>
    <row r="1754" spans="2:3">
      <c r="B1754" s="412" t="s">
        <v>2011</v>
      </c>
      <c r="C1754" s="1110">
        <v>58.258108</v>
      </c>
    </row>
    <row r="1755" spans="2:3">
      <c r="B1755" s="412" t="s">
        <v>2012</v>
      </c>
      <c r="C1755" s="1110">
        <v>55.608886769230764</v>
      </c>
    </row>
    <row r="1756" spans="2:3">
      <c r="B1756" s="412" t="s">
        <v>2013</v>
      </c>
      <c r="C1756" s="1110">
        <v>58.258108</v>
      </c>
    </row>
    <row r="1757" spans="2:3">
      <c r="B1757" s="412" t="s">
        <v>2014</v>
      </c>
      <c r="C1757" s="1110">
        <v>47.316272395833337</v>
      </c>
    </row>
    <row r="1758" spans="2:3">
      <c r="B1758" s="412" t="s">
        <v>2015</v>
      </c>
      <c r="C1758" s="1110">
        <v>44.069395041198497</v>
      </c>
    </row>
    <row r="1759" spans="2:3">
      <c r="B1759" s="412" t="s">
        <v>2016</v>
      </c>
      <c r="C1759" s="1110">
        <v>41.089881525525527</v>
      </c>
    </row>
    <row r="1760" spans="2:3">
      <c r="B1760" s="412" t="s">
        <v>2017</v>
      </c>
      <c r="C1760" s="1110">
        <v>41.028815215763551</v>
      </c>
    </row>
    <row r="1761" spans="2:3">
      <c r="B1761" s="412" t="s">
        <v>2018</v>
      </c>
      <c r="C1761" s="1110">
        <v>41.038170000000001</v>
      </c>
    </row>
    <row r="1762" spans="2:3">
      <c r="B1762" s="412" t="s">
        <v>2019</v>
      </c>
      <c r="C1762" s="1110">
        <v>31.567142882502115</v>
      </c>
    </row>
    <row r="1763" spans="2:3">
      <c r="B1763" s="412" t="s">
        <v>2020</v>
      </c>
      <c r="C1763" s="1110">
        <v>41.038170000000001</v>
      </c>
    </row>
    <row r="1764" spans="2:3">
      <c r="B1764" s="412" t="s">
        <v>2021</v>
      </c>
      <c r="C1764" s="1110">
        <v>39.106962000000003</v>
      </c>
    </row>
    <row r="1765" spans="2:3">
      <c r="B1765" s="412" t="s">
        <v>2022</v>
      </c>
      <c r="C1765" s="1110">
        <v>39.106962000000003</v>
      </c>
    </row>
    <row r="1766" spans="2:3">
      <c r="B1766" s="412" t="s">
        <v>2023</v>
      </c>
      <c r="C1766" s="1110">
        <v>39.106962000000003</v>
      </c>
    </row>
    <row r="1767" spans="2:3">
      <c r="B1767" s="412" t="s">
        <v>2024</v>
      </c>
      <c r="C1767" s="1110">
        <v>39.106962000000003</v>
      </c>
    </row>
    <row r="1768" spans="2:3">
      <c r="B1768" s="412" t="s">
        <v>2025</v>
      </c>
      <c r="C1768" s="1110">
        <v>39.106962000000003</v>
      </c>
    </row>
    <row r="1769" spans="2:3">
      <c r="B1769" s="412" t="s">
        <v>2026</v>
      </c>
      <c r="C1769" s="1110">
        <v>39.146251051643191</v>
      </c>
    </row>
    <row r="1770" spans="2:3">
      <c r="B1770" s="412" t="s">
        <v>2027</v>
      </c>
      <c r="C1770" s="1110">
        <v>47.459917000000004</v>
      </c>
    </row>
    <row r="1771" spans="2:3">
      <c r="B1771" s="412" t="s">
        <v>2028</v>
      </c>
      <c r="C1771" s="1110">
        <v>47.551205835114501</v>
      </c>
    </row>
    <row r="1772" spans="2:3">
      <c r="B1772" s="412" t="s">
        <v>2029</v>
      </c>
      <c r="C1772" s="1110">
        <v>40.711059850162869</v>
      </c>
    </row>
    <row r="1773" spans="2:3">
      <c r="B1773" s="412" t="s">
        <v>2030</v>
      </c>
      <c r="C1773" s="1110">
        <v>31.543064000000001</v>
      </c>
    </row>
    <row r="1774" spans="2:3">
      <c r="B1774" s="412" t="s">
        <v>2031</v>
      </c>
      <c r="C1774" s="1110">
        <v>39.589764000000002</v>
      </c>
    </row>
    <row r="1775" spans="2:3">
      <c r="B1775" s="412" t="s">
        <v>2032</v>
      </c>
      <c r="C1775" s="1110">
        <v>56.058123628865985</v>
      </c>
    </row>
    <row r="1776" spans="2:3">
      <c r="B1776" s="412" t="s">
        <v>2033</v>
      </c>
      <c r="C1776" s="1110">
        <v>57.998825444444449</v>
      </c>
    </row>
    <row r="1777" spans="2:3">
      <c r="B1777" s="412" t="s">
        <v>2034</v>
      </c>
      <c r="C1777" s="1110">
        <v>58.258108</v>
      </c>
    </row>
    <row r="1778" spans="2:3">
      <c r="B1778" s="412" t="s">
        <v>2035</v>
      </c>
      <c r="C1778" s="1110">
        <v>58.258108</v>
      </c>
    </row>
    <row r="1779" spans="2:3">
      <c r="B1779" s="412" t="s">
        <v>2036</v>
      </c>
      <c r="C1779" s="1110">
        <v>58.258108</v>
      </c>
    </row>
    <row r="1780" spans="2:3">
      <c r="B1780" s="412" t="s">
        <v>2037</v>
      </c>
      <c r="C1780" s="1110">
        <v>58.258108</v>
      </c>
    </row>
    <row r="1781" spans="2:3">
      <c r="B1781" s="412" t="s">
        <v>2038</v>
      </c>
      <c r="C1781" s="1110">
        <v>58.258108</v>
      </c>
    </row>
    <row r="1782" spans="2:3">
      <c r="B1782" s="412" t="s">
        <v>2039</v>
      </c>
      <c r="C1782" s="1110">
        <v>58.258108</v>
      </c>
    </row>
    <row r="1783" spans="2:3">
      <c r="B1783" s="412" t="s">
        <v>2040</v>
      </c>
      <c r="C1783" s="1110">
        <v>58.258108</v>
      </c>
    </row>
    <row r="1784" spans="2:3">
      <c r="B1784" s="412" t="s">
        <v>2041</v>
      </c>
      <c r="C1784" s="1110">
        <v>31.543064000000001</v>
      </c>
    </row>
    <row r="1785" spans="2:3">
      <c r="B1785" s="412" t="s">
        <v>2042</v>
      </c>
      <c r="C1785" s="1110">
        <v>31.543064000000001</v>
      </c>
    </row>
    <row r="1786" spans="2:3">
      <c r="B1786" s="412" t="s">
        <v>2043</v>
      </c>
      <c r="C1786" s="1110">
        <v>58.258108</v>
      </c>
    </row>
    <row r="1787" spans="2:3">
      <c r="B1787" s="412" t="s">
        <v>2044</v>
      </c>
      <c r="C1787" s="1110">
        <v>58.258108</v>
      </c>
    </row>
    <row r="1788" spans="2:3">
      <c r="B1788" s="412" t="s">
        <v>2045</v>
      </c>
      <c r="C1788" s="1110">
        <v>58.258108</v>
      </c>
    </row>
    <row r="1789" spans="2:3">
      <c r="B1789" s="412" t="s">
        <v>2046</v>
      </c>
      <c r="C1789" s="1110">
        <v>58.258108</v>
      </c>
    </row>
    <row r="1790" spans="2:3">
      <c r="B1790" s="412" t="s">
        <v>2047</v>
      </c>
      <c r="C1790" s="1110">
        <v>58.258108</v>
      </c>
    </row>
    <row r="1791" spans="2:3">
      <c r="B1791" s="412" t="s">
        <v>2048</v>
      </c>
      <c r="C1791" s="1110">
        <v>58.258108</v>
      </c>
    </row>
    <row r="1792" spans="2:3">
      <c r="B1792" s="412" t="s">
        <v>2049</v>
      </c>
      <c r="C1792" s="1110">
        <v>58.258108</v>
      </c>
    </row>
    <row r="1793" spans="2:3">
      <c r="B1793" s="412" t="s">
        <v>2050</v>
      </c>
      <c r="C1793" s="1110">
        <v>58.258108</v>
      </c>
    </row>
    <row r="1794" spans="2:3">
      <c r="B1794" s="412" t="s">
        <v>2051</v>
      </c>
      <c r="C1794" s="1110">
        <v>58.258108</v>
      </c>
    </row>
    <row r="1795" spans="2:3">
      <c r="B1795" s="412" t="s">
        <v>2052</v>
      </c>
      <c r="C1795" s="1110">
        <v>32.354033907473315</v>
      </c>
    </row>
    <row r="1796" spans="2:3">
      <c r="B1796" s="412" t="s">
        <v>2053</v>
      </c>
      <c r="C1796" s="1110">
        <v>58.258108</v>
      </c>
    </row>
    <row r="1797" spans="2:3">
      <c r="B1797" s="412" t="s">
        <v>2054</v>
      </c>
      <c r="C1797" s="1110">
        <v>58.258108</v>
      </c>
    </row>
    <row r="1798" spans="2:3">
      <c r="B1798" s="412" t="s">
        <v>2055</v>
      </c>
      <c r="C1798" s="1110">
        <v>39.589764000000002</v>
      </c>
    </row>
    <row r="1799" spans="2:3">
      <c r="B1799" s="412" t="s">
        <v>2056</v>
      </c>
      <c r="C1799" s="1110">
        <v>39.589764000000002</v>
      </c>
    </row>
    <row r="1800" spans="2:3">
      <c r="B1800" s="412" t="s">
        <v>2057</v>
      </c>
      <c r="C1800" s="1110">
        <v>39.589764000000002</v>
      </c>
    </row>
    <row r="1801" spans="2:3">
      <c r="B1801" s="412" t="s">
        <v>2058</v>
      </c>
      <c r="C1801" s="1110">
        <v>41.5612055</v>
      </c>
    </row>
    <row r="1802" spans="2:3">
      <c r="B1802" s="412" t="s">
        <v>2059</v>
      </c>
      <c r="C1802" s="1110">
        <v>38.440235428571434</v>
      </c>
    </row>
    <row r="1803" spans="2:3">
      <c r="B1803" s="412" t="s">
        <v>2060</v>
      </c>
      <c r="C1803" s="1110">
        <v>40.366966899038466</v>
      </c>
    </row>
    <row r="1804" spans="2:3">
      <c r="B1804" s="412" t="s">
        <v>2061</v>
      </c>
      <c r="C1804" s="1110">
        <v>39.589764000000002</v>
      </c>
    </row>
    <row r="1805" spans="2:3">
      <c r="B1805" s="412" t="s">
        <v>2062</v>
      </c>
      <c r="C1805" s="1110">
        <v>35.566414000000002</v>
      </c>
    </row>
    <row r="1806" spans="2:3">
      <c r="B1806" s="412" t="s">
        <v>2063</v>
      </c>
      <c r="C1806" s="1110">
        <v>31.543064000000001</v>
      </c>
    </row>
    <row r="1807" spans="2:3">
      <c r="B1807" s="412" t="s">
        <v>2064</v>
      </c>
      <c r="C1807" s="1110">
        <v>27.358779999999999</v>
      </c>
    </row>
    <row r="1808" spans="2:3">
      <c r="B1808" s="412" t="s">
        <v>2065</v>
      </c>
      <c r="C1808" s="1110">
        <v>48.448921129032257</v>
      </c>
    </row>
    <row r="1809" spans="2:3">
      <c r="B1809" s="412" t="s">
        <v>2066</v>
      </c>
      <c r="C1809" s="1110">
        <v>34.573416978723401</v>
      </c>
    </row>
    <row r="1810" spans="2:3">
      <c r="B1810" s="412" t="s">
        <v>2067</v>
      </c>
      <c r="C1810" s="1110">
        <v>48.098953941747588</v>
      </c>
    </row>
    <row r="1811" spans="2:3">
      <c r="B1811" s="412" t="s">
        <v>2068</v>
      </c>
      <c r="C1811" s="1110">
        <v>48.328751298621746</v>
      </c>
    </row>
    <row r="1812" spans="2:3">
      <c r="B1812" s="412" t="s">
        <v>2069</v>
      </c>
      <c r="C1812" s="1110">
        <v>48.119266000000003</v>
      </c>
    </row>
    <row r="1813" spans="2:3">
      <c r="B1813" s="412" t="s">
        <v>2070</v>
      </c>
      <c r="C1813" s="1110">
        <v>48.119266000000003</v>
      </c>
    </row>
    <row r="1814" spans="2:3">
      <c r="B1814" s="412" t="s">
        <v>2071</v>
      </c>
      <c r="C1814" s="1110">
        <v>48.182723249822068</v>
      </c>
    </row>
    <row r="1815" spans="2:3">
      <c r="B1815" s="412" t="s">
        <v>2072</v>
      </c>
      <c r="C1815" s="1110">
        <v>48.119266000000003</v>
      </c>
    </row>
    <row r="1816" spans="2:3">
      <c r="B1816" s="412" t="s">
        <v>2073</v>
      </c>
      <c r="C1816" s="1110">
        <v>48.119266000000003</v>
      </c>
    </row>
    <row r="1817" spans="2:3">
      <c r="B1817" s="412" t="s">
        <v>2074</v>
      </c>
      <c r="C1817" s="1110">
        <v>48.140919910299012</v>
      </c>
    </row>
    <row r="1818" spans="2:3">
      <c r="B1818" s="412" t="s">
        <v>2075</v>
      </c>
      <c r="C1818" s="1110">
        <v>39.406868353631701</v>
      </c>
    </row>
    <row r="1819" spans="2:3">
      <c r="B1819" s="412" t="s">
        <v>2076</v>
      </c>
      <c r="C1819" s="1110">
        <v>48.279055376955903</v>
      </c>
    </row>
    <row r="1820" spans="2:3">
      <c r="B1820" s="412" t="s">
        <v>2077</v>
      </c>
      <c r="C1820" s="1110">
        <v>48.119266000000003</v>
      </c>
    </row>
    <row r="1821" spans="2:3">
      <c r="B1821" s="412" t="s">
        <v>2078</v>
      </c>
      <c r="C1821" s="1110">
        <v>48.119266000000003</v>
      </c>
    </row>
    <row r="1822" spans="2:3">
      <c r="B1822" s="412" t="s">
        <v>2079</v>
      </c>
      <c r="C1822" s="1110">
        <v>49.887839244385731</v>
      </c>
    </row>
    <row r="1823" spans="2:3">
      <c r="B1823" s="412" t="s">
        <v>2080</v>
      </c>
      <c r="C1823" s="1110">
        <v>48.119266000000003</v>
      </c>
    </row>
    <row r="1824" spans="2:3">
      <c r="B1824" s="412" t="s">
        <v>2081</v>
      </c>
      <c r="C1824" s="1110">
        <v>48.119266000000003</v>
      </c>
    </row>
    <row r="1825" spans="2:3">
      <c r="B1825" s="412" t="s">
        <v>2082</v>
      </c>
      <c r="C1825" s="1110">
        <v>32.487358557312255</v>
      </c>
    </row>
    <row r="1826" spans="2:3">
      <c r="B1826" s="412" t="s">
        <v>2083</v>
      </c>
      <c r="C1826" s="1110">
        <v>57.614372000000003</v>
      </c>
    </row>
    <row r="1827" spans="2:3">
      <c r="B1827" s="412" t="s">
        <v>2084</v>
      </c>
      <c r="C1827" s="1110">
        <v>56.749220267973854</v>
      </c>
    </row>
    <row r="1828" spans="2:3">
      <c r="B1828" s="412" t="s">
        <v>2085</v>
      </c>
      <c r="C1828" s="1110">
        <v>57.25024561925602</v>
      </c>
    </row>
    <row r="1829" spans="2:3">
      <c r="B1829" s="412" t="s">
        <v>2086</v>
      </c>
      <c r="C1829" s="1110">
        <v>57.614372000000003</v>
      </c>
    </row>
    <row r="1830" spans="2:3">
      <c r="B1830" s="412" t="s">
        <v>2087</v>
      </c>
      <c r="C1830" s="1110">
        <v>48.119266000000003</v>
      </c>
    </row>
    <row r="1831" spans="2:3">
      <c r="B1831" s="412" t="s">
        <v>2088</v>
      </c>
      <c r="C1831" s="1110">
        <v>37.130975292887037</v>
      </c>
    </row>
    <row r="1832" spans="2:3">
      <c r="B1832" s="412" t="s">
        <v>2089</v>
      </c>
      <c r="C1832" s="1110">
        <v>29.166351124199746</v>
      </c>
    </row>
    <row r="1833" spans="2:3">
      <c r="B1833" s="412" t="s">
        <v>2090</v>
      </c>
      <c r="C1833" s="1110">
        <v>27.358779999999999</v>
      </c>
    </row>
    <row r="1834" spans="2:3">
      <c r="B1834" s="412" t="s">
        <v>2091</v>
      </c>
      <c r="C1834" s="1110">
        <v>27.688311523809524</v>
      </c>
    </row>
    <row r="1835" spans="2:3">
      <c r="B1835" s="412" t="s">
        <v>2092</v>
      </c>
      <c r="C1835" s="1110">
        <v>45.81254533333334</v>
      </c>
    </row>
    <row r="1836" spans="2:3">
      <c r="B1836" s="412" t="s">
        <v>2093</v>
      </c>
      <c r="C1836" s="1110">
        <v>47.54906538576779</v>
      </c>
    </row>
    <row r="1837" spans="2:3">
      <c r="B1837" s="412" t="s">
        <v>2094</v>
      </c>
      <c r="C1837" s="1110">
        <v>37.192694421052636</v>
      </c>
    </row>
    <row r="1838" spans="2:3">
      <c r="B1838" s="412" t="s">
        <v>2095</v>
      </c>
      <c r="C1838" s="1110">
        <v>49.084870000000002</v>
      </c>
    </row>
    <row r="1839" spans="2:3">
      <c r="B1839" s="412" t="s">
        <v>2096</v>
      </c>
      <c r="C1839" s="1110">
        <v>48.88446162264151</v>
      </c>
    </row>
    <row r="1840" spans="2:3">
      <c r="B1840" s="412" t="s">
        <v>2097</v>
      </c>
      <c r="C1840" s="1110">
        <v>49.081742307420498</v>
      </c>
    </row>
    <row r="1841" spans="2:3">
      <c r="B1841" s="412" t="s">
        <v>2098</v>
      </c>
      <c r="C1841" s="1110">
        <v>49.083162477453577</v>
      </c>
    </row>
    <row r="1842" spans="2:3">
      <c r="B1842" s="412" t="s">
        <v>2099</v>
      </c>
      <c r="C1842" s="1110">
        <v>49.146590207885311</v>
      </c>
    </row>
    <row r="1843" spans="2:3">
      <c r="B1843" s="412" t="s">
        <v>2100</v>
      </c>
      <c r="C1843" s="1110">
        <v>49.084870000000002</v>
      </c>
    </row>
    <row r="1844" spans="2:3">
      <c r="B1844" s="412" t="s">
        <v>2101</v>
      </c>
      <c r="C1844" s="1110">
        <v>49.084870000000002</v>
      </c>
    </row>
    <row r="1845" spans="2:3">
      <c r="B1845" s="412" t="s">
        <v>2102</v>
      </c>
      <c r="C1845" s="1110">
        <v>49.084870000000002</v>
      </c>
    </row>
    <row r="1846" spans="2:3">
      <c r="B1846" s="412" t="s">
        <v>2103</v>
      </c>
      <c r="C1846" s="1110">
        <v>49.084870000000002</v>
      </c>
    </row>
    <row r="1847" spans="2:3">
      <c r="B1847" s="412" t="s">
        <v>2104</v>
      </c>
      <c r="C1847" s="1110">
        <v>49.084870000000002</v>
      </c>
    </row>
    <row r="1848" spans="2:3">
      <c r="B1848" s="412" t="s">
        <v>2105</v>
      </c>
      <c r="C1848" s="1110">
        <v>49.084870000000002</v>
      </c>
    </row>
    <row r="1849" spans="2:3">
      <c r="B1849" s="412" t="s">
        <v>2106</v>
      </c>
      <c r="C1849" s="1110">
        <v>48.717020857142863</v>
      </c>
    </row>
    <row r="1850" spans="2:3">
      <c r="B1850" s="412" t="s">
        <v>2107</v>
      </c>
      <c r="C1850" s="1110">
        <v>49.084870000000002</v>
      </c>
    </row>
    <row r="1851" spans="2:3">
      <c r="B1851" s="412" t="s">
        <v>2108</v>
      </c>
      <c r="C1851" s="1110">
        <v>49.084870000000002</v>
      </c>
    </row>
    <row r="1852" spans="2:3">
      <c r="B1852" s="412" t="s">
        <v>2109</v>
      </c>
      <c r="C1852" s="1110">
        <v>49.084870000000002</v>
      </c>
    </row>
    <row r="1853" spans="2:3">
      <c r="B1853" s="412" t="s">
        <v>2110</v>
      </c>
      <c r="C1853" s="1110">
        <v>49.085730609625678</v>
      </c>
    </row>
    <row r="1854" spans="2:3">
      <c r="B1854" s="412" t="s">
        <v>2111</v>
      </c>
      <c r="C1854" s="1110">
        <v>49.094150856441722</v>
      </c>
    </row>
    <row r="1855" spans="2:3">
      <c r="B1855" s="412" t="s">
        <v>2112</v>
      </c>
      <c r="C1855" s="1110">
        <v>49.084870000000002</v>
      </c>
    </row>
    <row r="1856" spans="2:3">
      <c r="B1856" s="412" t="s">
        <v>2113</v>
      </c>
      <c r="C1856" s="1110">
        <v>49.084870000000002</v>
      </c>
    </row>
    <row r="1857" spans="2:3">
      <c r="B1857" s="412" t="s">
        <v>2114</v>
      </c>
      <c r="C1857" s="1110">
        <v>37.089023564957849</v>
      </c>
    </row>
    <row r="1858" spans="2:3">
      <c r="B1858" s="412" t="s">
        <v>2115</v>
      </c>
      <c r="C1858" s="1110">
        <v>37.089023564957849</v>
      </c>
    </row>
    <row r="1859" spans="2:3">
      <c r="B1859" s="412" t="s">
        <v>2116</v>
      </c>
      <c r="C1859" s="1110">
        <v>37.089023564957849</v>
      </c>
    </row>
    <row r="1860" spans="2:3">
      <c r="B1860" s="412" t="s">
        <v>2117</v>
      </c>
      <c r="C1860" s="1110">
        <v>37.089023564957849</v>
      </c>
    </row>
    <row r="1861" spans="2:3">
      <c r="B1861" s="412" t="s">
        <v>2118</v>
      </c>
      <c r="C1861" s="1110">
        <v>37.089023564957849</v>
      </c>
    </row>
    <row r="1862" spans="2:3">
      <c r="B1862" s="412" t="s">
        <v>2119</v>
      </c>
      <c r="C1862" s="1110">
        <v>39.545746332566566</v>
      </c>
    </row>
    <row r="1863" spans="2:3">
      <c r="B1863" s="412" t="s">
        <v>2120</v>
      </c>
      <c r="C1863" s="1110">
        <v>37.089023564957849</v>
      </c>
    </row>
    <row r="1864" spans="2:3">
      <c r="B1864" s="412" t="s">
        <v>2121</v>
      </c>
      <c r="C1864" s="1110">
        <v>37.089023564957849</v>
      </c>
    </row>
    <row r="1865" spans="2:3">
      <c r="B1865" s="412" t="s">
        <v>2122</v>
      </c>
      <c r="C1865" s="1110">
        <v>37.089023564957849</v>
      </c>
    </row>
    <row r="1866" spans="2:3">
      <c r="B1866" s="412" t="s">
        <v>2123</v>
      </c>
      <c r="C1866" s="1110">
        <v>37.089023564957849</v>
      </c>
    </row>
    <row r="1867" spans="2:3">
      <c r="B1867" s="412" t="s">
        <v>2124</v>
      </c>
      <c r="C1867" s="1110">
        <v>37.089023564957849</v>
      </c>
    </row>
    <row r="1868" spans="2:3">
      <c r="B1868" s="412" t="s">
        <v>2125</v>
      </c>
      <c r="C1868" s="1110">
        <v>37.089023564957849</v>
      </c>
    </row>
    <row r="1869" spans="2:3">
      <c r="B1869" s="412" t="s">
        <v>2126</v>
      </c>
      <c r="C1869" s="1110">
        <v>37.90240650230529</v>
      </c>
    </row>
    <row r="1870" spans="2:3">
      <c r="B1870" s="412" t="s">
        <v>2127</v>
      </c>
      <c r="C1870" s="1110">
        <v>37.089023564957849</v>
      </c>
    </row>
    <row r="1871" spans="2:3">
      <c r="B1871" s="412" t="s">
        <v>2128</v>
      </c>
      <c r="C1871" s="1110">
        <v>37.089023564957849</v>
      </c>
    </row>
    <row r="1872" spans="2:3">
      <c r="B1872" s="412" t="s">
        <v>2129</v>
      </c>
      <c r="C1872" s="1110">
        <v>37.089023564957849</v>
      </c>
    </row>
    <row r="1873" spans="2:3">
      <c r="B1873" s="412" t="s">
        <v>2130</v>
      </c>
      <c r="C1873" s="1110">
        <v>37.118337516722086</v>
      </c>
    </row>
    <row r="1874" spans="2:3">
      <c r="B1874" s="412" t="s">
        <v>2131</v>
      </c>
      <c r="C1874" s="1110">
        <v>37.089023564957849</v>
      </c>
    </row>
    <row r="1875" spans="2:3">
      <c r="B1875" s="412" t="s">
        <v>2132</v>
      </c>
      <c r="C1875" s="1110">
        <v>53.430087999999998</v>
      </c>
    </row>
    <row r="1876" spans="2:3">
      <c r="B1876" s="412" t="s">
        <v>2133</v>
      </c>
      <c r="C1876" s="1110">
        <v>53.430087999999998</v>
      </c>
    </row>
    <row r="1877" spans="2:3">
      <c r="B1877" s="412" t="s">
        <v>2134</v>
      </c>
      <c r="C1877" s="1110">
        <v>53.430087999999998</v>
      </c>
    </row>
    <row r="1878" spans="2:3">
      <c r="B1878" s="412" t="s">
        <v>2135</v>
      </c>
      <c r="C1878" s="1110">
        <v>53.430087999999998</v>
      </c>
    </row>
    <row r="1879" spans="2:3">
      <c r="B1879" s="412" t="s">
        <v>2136</v>
      </c>
      <c r="C1879" s="1110">
        <v>53.430087999999998</v>
      </c>
    </row>
    <row r="1880" spans="2:3">
      <c r="B1880" s="412" t="s">
        <v>2137</v>
      </c>
      <c r="C1880" s="1110">
        <v>53.430087999999998</v>
      </c>
    </row>
    <row r="1881" spans="2:3">
      <c r="B1881" s="412" t="s">
        <v>2138</v>
      </c>
      <c r="C1881" s="1110">
        <v>53.430087999999998</v>
      </c>
    </row>
    <row r="1882" spans="2:3">
      <c r="B1882" s="412" t="s">
        <v>2139</v>
      </c>
      <c r="C1882" s="1110">
        <v>53.430087999999998</v>
      </c>
    </row>
    <row r="1883" spans="2:3">
      <c r="B1883" s="412" t="s">
        <v>2140</v>
      </c>
      <c r="C1883" s="1110">
        <v>53.430087999999998</v>
      </c>
    </row>
    <row r="1884" spans="2:3">
      <c r="B1884" s="412" t="s">
        <v>2141</v>
      </c>
      <c r="C1884" s="1110">
        <v>53.430087999999998</v>
      </c>
    </row>
    <row r="1885" spans="2:3">
      <c r="B1885" s="412" t="s">
        <v>2142</v>
      </c>
      <c r="C1885" s="1110">
        <v>53.430087999999998</v>
      </c>
    </row>
    <row r="1886" spans="2:3">
      <c r="B1886" s="412" t="s">
        <v>2143</v>
      </c>
      <c r="C1886" s="1110">
        <v>53.430087999999998</v>
      </c>
    </row>
    <row r="1887" spans="2:3">
      <c r="B1887" s="412" t="s">
        <v>2144</v>
      </c>
      <c r="C1887" s="1110">
        <v>53.430087999999998</v>
      </c>
    </row>
    <row r="1888" spans="2:3">
      <c r="B1888" s="412" t="s">
        <v>2145</v>
      </c>
      <c r="C1888" s="1110">
        <v>53.430087999999998</v>
      </c>
    </row>
    <row r="1889" spans="2:3">
      <c r="B1889" s="412" t="s">
        <v>2146</v>
      </c>
      <c r="C1889" s="1110">
        <v>53.430087999999998</v>
      </c>
    </row>
    <row r="1890" spans="2:3">
      <c r="B1890" s="412" t="s">
        <v>2147</v>
      </c>
      <c r="C1890" s="1110">
        <v>53.430087999999998</v>
      </c>
    </row>
    <row r="1891" spans="2:3">
      <c r="B1891" s="412" t="s">
        <v>2148</v>
      </c>
      <c r="C1891" s="1110">
        <v>53.430087999999998</v>
      </c>
    </row>
    <row r="1892" spans="2:3">
      <c r="B1892" s="412" t="s">
        <v>2149</v>
      </c>
      <c r="C1892" s="1110">
        <v>53.430087999999998</v>
      </c>
    </row>
    <row r="1893" spans="2:3">
      <c r="B1893" s="412" t="s">
        <v>2150</v>
      </c>
      <c r="C1893" s="1110">
        <v>53.430087999999998</v>
      </c>
    </row>
    <row r="1894" spans="2:3">
      <c r="B1894" s="412" t="s">
        <v>2151</v>
      </c>
      <c r="C1894" s="1110">
        <v>53.430087999999998</v>
      </c>
    </row>
    <row r="1895" spans="2:3">
      <c r="B1895" s="412" t="s">
        <v>2152</v>
      </c>
      <c r="C1895" s="1110">
        <v>53.430087999999998</v>
      </c>
    </row>
    <row r="1896" spans="2:3">
      <c r="B1896" s="412" t="s">
        <v>2153</v>
      </c>
      <c r="C1896" s="1110">
        <v>53.430087999999998</v>
      </c>
    </row>
    <row r="1897" spans="2:3">
      <c r="B1897" s="412" t="s">
        <v>2154</v>
      </c>
      <c r="C1897" s="1110">
        <v>53.430087999999998</v>
      </c>
    </row>
    <row r="1898" spans="2:3">
      <c r="B1898" s="412" t="s">
        <v>2155</v>
      </c>
      <c r="C1898" s="1110">
        <v>53.430087999999998</v>
      </c>
    </row>
    <row r="1899" spans="2:3">
      <c r="B1899" s="412" t="s">
        <v>2156</v>
      </c>
      <c r="C1899" s="1110">
        <v>53.426458959236768</v>
      </c>
    </row>
    <row r="1900" spans="2:3">
      <c r="B1900" s="412" t="s">
        <v>2157</v>
      </c>
      <c r="C1900" s="1110">
        <v>49.245804</v>
      </c>
    </row>
    <row r="1901" spans="2:3">
      <c r="B1901" s="412" t="s">
        <v>2158</v>
      </c>
      <c r="C1901" s="1110">
        <v>49.245804</v>
      </c>
    </row>
    <row r="1902" spans="2:3">
      <c r="B1902" s="412" t="s">
        <v>2159</v>
      </c>
      <c r="C1902" s="1110">
        <v>49.803373656662664</v>
      </c>
    </row>
    <row r="1903" spans="2:3">
      <c r="B1903" s="412" t="s">
        <v>2160</v>
      </c>
      <c r="C1903" s="1110">
        <v>51.450527632286992</v>
      </c>
    </row>
    <row r="1904" spans="2:3">
      <c r="B1904" s="412" t="s">
        <v>2161</v>
      </c>
      <c r="C1904" s="1110">
        <v>53.430087999999998</v>
      </c>
    </row>
    <row r="1905" spans="2:3">
      <c r="B1905" s="412" t="s">
        <v>2162</v>
      </c>
      <c r="C1905" s="1110">
        <v>53.430087999999998</v>
      </c>
    </row>
    <row r="1906" spans="2:3">
      <c r="B1906" s="412" t="s">
        <v>2163</v>
      </c>
      <c r="C1906" s="1110">
        <v>53.430087999999998</v>
      </c>
    </row>
    <row r="1907" spans="2:3">
      <c r="B1907" s="412" t="s">
        <v>2164</v>
      </c>
      <c r="C1907" s="1110">
        <v>53.430087999999998</v>
      </c>
    </row>
    <row r="1908" spans="2:3">
      <c r="B1908" s="412" t="s">
        <v>2165</v>
      </c>
      <c r="C1908" s="1110">
        <v>53.430087999999998</v>
      </c>
    </row>
    <row r="1909" spans="2:3">
      <c r="B1909" s="412" t="s">
        <v>2166</v>
      </c>
      <c r="C1909" s="1110">
        <v>53.430087999999998</v>
      </c>
    </row>
    <row r="1910" spans="2:3">
      <c r="B1910" s="412" t="s">
        <v>2167</v>
      </c>
      <c r="C1910" s="1110">
        <v>53.430087999999998</v>
      </c>
    </row>
    <row r="1911" spans="2:3">
      <c r="B1911" s="412" t="s">
        <v>2168</v>
      </c>
      <c r="C1911" s="1110">
        <v>13.745129100606059</v>
      </c>
    </row>
    <row r="1912" spans="2:3">
      <c r="B1912" s="412" t="s">
        <v>2169</v>
      </c>
      <c r="C1912" s="1110">
        <v>25.406054857458564</v>
      </c>
    </row>
    <row r="1913" spans="2:3">
      <c r="B1913" s="412" t="s">
        <v>2170</v>
      </c>
      <c r="C1913" s="1110">
        <v>28.485317999999999</v>
      </c>
    </row>
    <row r="1914" spans="2:3">
      <c r="B1914" s="412" t="s">
        <v>2171</v>
      </c>
      <c r="C1914" s="1110">
        <v>13.67939</v>
      </c>
    </row>
    <row r="1915" spans="2:3">
      <c r="B1915" s="412" t="s">
        <v>2172</v>
      </c>
      <c r="C1915" s="1110">
        <v>25.874720929230769</v>
      </c>
    </row>
    <row r="1916" spans="2:3">
      <c r="B1916" s="412" t="s">
        <v>2173</v>
      </c>
      <c r="C1916" s="1110">
        <v>25.910374000000001</v>
      </c>
    </row>
    <row r="1917" spans="2:3">
      <c r="B1917" s="412" t="s">
        <v>2174</v>
      </c>
      <c r="C1917" s="1110">
        <v>13.976609372490708</v>
      </c>
    </row>
    <row r="1918" spans="2:3">
      <c r="B1918" s="412" t="s">
        <v>2175</v>
      </c>
      <c r="C1918" s="1110">
        <v>28.485317999999999</v>
      </c>
    </row>
    <row r="1919" spans="2:3">
      <c r="B1919" s="412" t="s">
        <v>2176</v>
      </c>
      <c r="C1919" s="1110">
        <v>13.699359912408758</v>
      </c>
    </row>
    <row r="1920" spans="2:3">
      <c r="B1920" s="412" t="s">
        <v>2177</v>
      </c>
      <c r="C1920" s="1110">
        <v>18.872644950155763</v>
      </c>
    </row>
    <row r="1921" spans="2:3">
      <c r="B1921" s="412" t="s">
        <v>2178</v>
      </c>
      <c r="C1921" s="1110">
        <v>28.485317999999999</v>
      </c>
    </row>
    <row r="1922" spans="2:3">
      <c r="B1922" s="412" t="s">
        <v>2179</v>
      </c>
      <c r="C1922" s="1110">
        <v>14.383380909952606</v>
      </c>
    </row>
    <row r="1923" spans="2:3" ht="17" thickBot="1">
      <c r="B1923" s="413" t="s">
        <v>2180</v>
      </c>
      <c r="C1923" s="655">
        <v>27.313353239716314</v>
      </c>
    </row>
    <row r="1924" spans="2:3">
      <c r="B1924" s="415" t="s">
        <v>2181</v>
      </c>
      <c r="C1924" s="1109">
        <v>31.38213</v>
      </c>
    </row>
    <row r="1925" spans="2:3">
      <c r="B1925" s="412" t="s">
        <v>2182</v>
      </c>
      <c r="C1925" s="1110">
        <v>31.060262000000002</v>
      </c>
    </row>
    <row r="1926" spans="2:3">
      <c r="B1926" s="412" t="s">
        <v>2183</v>
      </c>
      <c r="C1926" s="1110">
        <v>31.060262000000002</v>
      </c>
    </row>
    <row r="1927" spans="2:3">
      <c r="B1927" s="412" t="s">
        <v>2184</v>
      </c>
      <c r="C1927" s="1110">
        <v>33.124457377245513</v>
      </c>
    </row>
    <row r="1928" spans="2:3">
      <c r="B1928" s="412" t="s">
        <v>2185</v>
      </c>
      <c r="C1928" s="1110">
        <v>41.199103999999998</v>
      </c>
    </row>
    <row r="1929" spans="2:3">
      <c r="B1929" s="412" t="s">
        <v>2186</v>
      </c>
      <c r="C1929" s="1110">
        <v>36.382254226221086</v>
      </c>
    </row>
    <row r="1930" spans="2:3">
      <c r="B1930" s="412" t="s">
        <v>2187</v>
      </c>
      <c r="C1930" s="1110">
        <v>31.070282418867919</v>
      </c>
    </row>
    <row r="1931" spans="2:3">
      <c r="B1931" s="412" t="s">
        <v>2188</v>
      </c>
      <c r="C1931" s="1110">
        <v>31.060551189577716</v>
      </c>
    </row>
    <row r="1932" spans="2:3">
      <c r="B1932" s="412" t="s">
        <v>2189</v>
      </c>
      <c r="C1932" s="1110">
        <v>31.381523274269551</v>
      </c>
    </row>
    <row r="1933" spans="2:3">
      <c r="B1933" s="412" t="s">
        <v>2190</v>
      </c>
      <c r="C1933" s="1110">
        <v>31.38213</v>
      </c>
    </row>
    <row r="1934" spans="2:3">
      <c r="B1934" s="412" t="s">
        <v>2191</v>
      </c>
      <c r="C1934" s="1110">
        <v>31.38213</v>
      </c>
    </row>
    <row r="1935" spans="2:3">
      <c r="B1935" s="412" t="s">
        <v>2192</v>
      </c>
      <c r="C1935" s="1110">
        <v>26.580637582417584</v>
      </c>
    </row>
    <row r="1936" spans="2:3">
      <c r="B1936" s="412" t="s">
        <v>2193</v>
      </c>
      <c r="C1936" s="1110">
        <v>26.554110000000001</v>
      </c>
    </row>
    <row r="1937" spans="2:3">
      <c r="B1937" s="412" t="s">
        <v>2194</v>
      </c>
      <c r="C1937" s="1110">
        <v>26.554110000000001</v>
      </c>
    </row>
    <row r="1938" spans="2:3">
      <c r="B1938" s="412" t="s">
        <v>2195</v>
      </c>
      <c r="C1938" s="1110">
        <v>31.38213</v>
      </c>
    </row>
    <row r="1939" spans="2:3">
      <c r="B1939" s="412" t="s">
        <v>2196</v>
      </c>
      <c r="C1939" s="1110">
        <v>31.38213</v>
      </c>
    </row>
    <row r="1940" spans="2:3">
      <c r="B1940" s="412" t="s">
        <v>2197</v>
      </c>
      <c r="C1940" s="1110">
        <v>31.38213</v>
      </c>
    </row>
    <row r="1941" spans="2:3">
      <c r="B1941" s="412" t="s">
        <v>2198</v>
      </c>
      <c r="C1941" s="1110">
        <v>51.337946000000002</v>
      </c>
    </row>
    <row r="1942" spans="2:3">
      <c r="B1942" s="412" t="s">
        <v>2199</v>
      </c>
      <c r="C1942" s="1110">
        <v>51.337946000000002</v>
      </c>
    </row>
    <row r="1943" spans="2:3">
      <c r="B1943" s="412" t="s">
        <v>2200</v>
      </c>
      <c r="C1943" s="1110">
        <v>51.337946000000002</v>
      </c>
    </row>
    <row r="1944" spans="2:3">
      <c r="B1944" s="412" t="s">
        <v>2201</v>
      </c>
      <c r="C1944" s="1110">
        <v>51.28674748462354</v>
      </c>
    </row>
    <row r="1945" spans="2:3">
      <c r="B1945" s="412" t="s">
        <v>2202</v>
      </c>
      <c r="C1945" s="1110">
        <v>51.337946000000002</v>
      </c>
    </row>
    <row r="1946" spans="2:3">
      <c r="B1946" s="412" t="s">
        <v>2203</v>
      </c>
      <c r="C1946" s="1110">
        <v>51.337946000000002</v>
      </c>
    </row>
    <row r="1947" spans="2:3">
      <c r="B1947" s="412" t="s">
        <v>2204</v>
      </c>
      <c r="C1947" s="1110">
        <v>51.089872126829263</v>
      </c>
    </row>
    <row r="1948" spans="2:3">
      <c r="B1948" s="412" t="s">
        <v>2205</v>
      </c>
      <c r="C1948" s="1110">
        <v>51.337946000000002</v>
      </c>
    </row>
    <row r="1949" spans="2:3">
      <c r="B1949" s="412" t="s">
        <v>2206</v>
      </c>
      <c r="C1949" s="1110">
        <v>49.948807478753537</v>
      </c>
    </row>
    <row r="1950" spans="2:3">
      <c r="B1950" s="412" t="s">
        <v>2207</v>
      </c>
      <c r="C1950" s="1110">
        <v>51.23798017064847</v>
      </c>
    </row>
    <row r="1951" spans="2:3">
      <c r="B1951" s="412" t="s">
        <v>2208</v>
      </c>
      <c r="C1951" s="1110">
        <v>51.337946000000002</v>
      </c>
    </row>
    <row r="1952" spans="2:3">
      <c r="B1952" s="412" t="s">
        <v>2209</v>
      </c>
      <c r="C1952" s="1110">
        <v>51.337946000000002</v>
      </c>
    </row>
    <row r="1953" spans="2:3">
      <c r="B1953" s="412" t="s">
        <v>2210</v>
      </c>
      <c r="C1953" s="1110">
        <v>51.337946000000002</v>
      </c>
    </row>
    <row r="1954" spans="2:3">
      <c r="B1954" s="412" t="s">
        <v>2211</v>
      </c>
      <c r="C1954" s="1110">
        <v>51.337946000000002</v>
      </c>
    </row>
    <row r="1955" spans="2:3">
      <c r="B1955" s="412" t="s">
        <v>2212</v>
      </c>
      <c r="C1955" s="1110">
        <v>50.868018719999995</v>
      </c>
    </row>
    <row r="1956" spans="2:3">
      <c r="B1956" s="412" t="s">
        <v>2213</v>
      </c>
      <c r="C1956" s="1110">
        <v>51.337946000000002</v>
      </c>
    </row>
    <row r="1957" spans="2:3">
      <c r="B1957" s="412" t="s">
        <v>2214</v>
      </c>
      <c r="C1957" s="1110">
        <v>51.337946000000002</v>
      </c>
    </row>
    <row r="1958" spans="2:3">
      <c r="B1958" s="412" t="s">
        <v>2215</v>
      </c>
      <c r="C1958" s="1110">
        <v>51.337946000000002</v>
      </c>
    </row>
    <row r="1959" spans="2:3">
      <c r="B1959" s="412" t="s">
        <v>2216</v>
      </c>
      <c r="C1959" s="1110">
        <v>51.319876217543865</v>
      </c>
    </row>
    <row r="1960" spans="2:3">
      <c r="B1960" s="412" t="s">
        <v>2217</v>
      </c>
      <c r="C1960" s="1110">
        <v>51.296581437751009</v>
      </c>
    </row>
    <row r="1961" spans="2:3">
      <c r="B1961" s="412" t="s">
        <v>2218</v>
      </c>
      <c r="C1961" s="1110">
        <v>51.337946000000002</v>
      </c>
    </row>
    <row r="1962" spans="2:3">
      <c r="B1962" s="412" t="s">
        <v>2219</v>
      </c>
      <c r="C1962" s="1110">
        <v>51.337946000000002</v>
      </c>
    </row>
    <row r="1963" spans="2:3">
      <c r="B1963" s="412" t="s">
        <v>2220</v>
      </c>
      <c r="C1963" s="1110">
        <v>51.337946000000002</v>
      </c>
    </row>
    <row r="1964" spans="2:3">
      <c r="B1964" s="412" t="s">
        <v>2221</v>
      </c>
      <c r="C1964" s="1110">
        <v>51.319150788321167</v>
      </c>
    </row>
    <row r="1965" spans="2:3">
      <c r="B1965" s="412" t="s">
        <v>2222</v>
      </c>
      <c r="C1965" s="1110">
        <v>51.205447147086034</v>
      </c>
    </row>
    <row r="1966" spans="2:3" ht="17" thickBot="1">
      <c r="B1966" s="413" t="s">
        <v>2223</v>
      </c>
      <c r="C1966" s="655">
        <v>51.296414645161299</v>
      </c>
    </row>
    <row r="1967" spans="2:3">
      <c r="B1967" s="415" t="s">
        <v>2224</v>
      </c>
      <c r="C1967" s="1109">
        <v>37.089023564957849</v>
      </c>
    </row>
    <row r="1968" spans="2:3">
      <c r="B1968" s="412" t="s">
        <v>2225</v>
      </c>
      <c r="C1968" s="1110">
        <v>37.089023564957849</v>
      </c>
    </row>
    <row r="1969" spans="2:3">
      <c r="B1969" s="412" t="s">
        <v>2226</v>
      </c>
      <c r="C1969" s="1110">
        <v>37.089023564957849</v>
      </c>
    </row>
    <row r="1970" spans="2:3">
      <c r="B1970" s="412" t="s">
        <v>2227</v>
      </c>
      <c r="C1970" s="1110">
        <v>37.089023564957849</v>
      </c>
    </row>
    <row r="1971" spans="2:3">
      <c r="B1971" s="412" t="s">
        <v>2228</v>
      </c>
      <c r="C1971" s="1110">
        <v>37.089023564957849</v>
      </c>
    </row>
    <row r="1972" spans="2:3">
      <c r="B1972" s="412" t="s">
        <v>2229</v>
      </c>
      <c r="C1972" s="1110">
        <v>37.089023564957849</v>
      </c>
    </row>
    <row r="1973" spans="2:3">
      <c r="B1973" s="412" t="s">
        <v>2230</v>
      </c>
      <c r="C1973" s="1110">
        <v>37.089023564957849</v>
      </c>
    </row>
    <row r="1974" spans="2:3">
      <c r="B1974" s="412" t="s">
        <v>2231</v>
      </c>
      <c r="C1974" s="1110">
        <v>37.089023564957849</v>
      </c>
    </row>
    <row r="1975" spans="2:3">
      <c r="B1975" s="412" t="s">
        <v>2232</v>
      </c>
      <c r="C1975" s="1110">
        <v>37.089023564957849</v>
      </c>
    </row>
    <row r="1976" spans="2:3">
      <c r="B1976" s="412" t="s">
        <v>2233</v>
      </c>
      <c r="C1976" s="1110">
        <v>37.089023564957849</v>
      </c>
    </row>
    <row r="1977" spans="2:3">
      <c r="B1977" s="412" t="s">
        <v>2234</v>
      </c>
      <c r="C1977" s="1110">
        <v>37.089023564957849</v>
      </c>
    </row>
    <row r="1978" spans="2:3">
      <c r="B1978" s="412" t="s">
        <v>2235</v>
      </c>
      <c r="C1978" s="1110">
        <v>37.089023564957849</v>
      </c>
    </row>
    <row r="1979" spans="2:3">
      <c r="B1979" s="412" t="s">
        <v>2236</v>
      </c>
      <c r="C1979" s="1110">
        <v>37.089023564957849</v>
      </c>
    </row>
    <row r="1980" spans="2:3">
      <c r="B1980" s="412" t="s">
        <v>2237</v>
      </c>
      <c r="C1980" s="1110">
        <v>37.089023564957849</v>
      </c>
    </row>
    <row r="1981" spans="2:3">
      <c r="B1981" s="412" t="s">
        <v>2238</v>
      </c>
      <c r="C1981" s="1110">
        <v>37.089023564957849</v>
      </c>
    </row>
    <row r="1982" spans="2:3">
      <c r="B1982" s="412" t="s">
        <v>2239</v>
      </c>
      <c r="C1982" s="1110">
        <v>37.089023564957849</v>
      </c>
    </row>
    <row r="1983" spans="2:3">
      <c r="B1983" s="412" t="s">
        <v>2240</v>
      </c>
      <c r="C1983" s="1110">
        <v>37.089023564957849</v>
      </c>
    </row>
    <row r="1984" spans="2:3">
      <c r="B1984" s="412" t="s">
        <v>2241</v>
      </c>
      <c r="C1984" s="1110">
        <v>37.089023564957849</v>
      </c>
    </row>
    <row r="1985" spans="2:3">
      <c r="B1985" s="412" t="s">
        <v>2242</v>
      </c>
      <c r="C1985" s="1110">
        <v>37.089023564957849</v>
      </c>
    </row>
    <row r="1986" spans="2:3">
      <c r="B1986" s="412" t="s">
        <v>2243</v>
      </c>
      <c r="C1986" s="1110">
        <v>37.089023564957849</v>
      </c>
    </row>
    <row r="1987" spans="2:3">
      <c r="B1987" s="412" t="s">
        <v>2244</v>
      </c>
      <c r="C1987" s="1110">
        <v>37.089023564957849</v>
      </c>
    </row>
    <row r="1988" spans="2:3">
      <c r="B1988" s="412" t="s">
        <v>2245</v>
      </c>
      <c r="C1988" s="1110">
        <v>37.089023564957849</v>
      </c>
    </row>
    <row r="1989" spans="2:3">
      <c r="B1989" s="412" t="s">
        <v>2246</v>
      </c>
      <c r="C1989" s="1110">
        <v>37.089023564957849</v>
      </c>
    </row>
    <row r="1990" spans="2:3">
      <c r="B1990" s="412" t="s">
        <v>2247</v>
      </c>
      <c r="C1990" s="1110">
        <v>37.089023564957849</v>
      </c>
    </row>
    <row r="1991" spans="2:3">
      <c r="B1991" s="412" t="s">
        <v>2248</v>
      </c>
      <c r="C1991" s="1110">
        <v>37.089023564957849</v>
      </c>
    </row>
    <row r="1992" spans="2:3">
      <c r="B1992" s="412" t="s">
        <v>2249</v>
      </c>
      <c r="C1992" s="1110">
        <v>37.089023564957849</v>
      </c>
    </row>
    <row r="1993" spans="2:3">
      <c r="B1993" s="412" t="s">
        <v>2250</v>
      </c>
      <c r="C1993" s="1110">
        <v>37.089023564957849</v>
      </c>
    </row>
    <row r="1994" spans="2:3">
      <c r="B1994" s="412" t="s">
        <v>2251</v>
      </c>
      <c r="C1994" s="1110">
        <v>37.089023564957849</v>
      </c>
    </row>
    <row r="1995" spans="2:3">
      <c r="B1995" s="412" t="s">
        <v>2252</v>
      </c>
      <c r="C1995" s="1110">
        <v>37.089023564957849</v>
      </c>
    </row>
    <row r="1996" spans="2:3">
      <c r="B1996" s="412" t="s">
        <v>2253</v>
      </c>
      <c r="C1996" s="1110">
        <v>37.089023564957849</v>
      </c>
    </row>
    <row r="1997" spans="2:3">
      <c r="B1997" s="412" t="s">
        <v>2254</v>
      </c>
      <c r="C1997" s="1110">
        <v>37.089023564957849</v>
      </c>
    </row>
    <row r="1998" spans="2:3">
      <c r="B1998" s="412" t="s">
        <v>2255</v>
      </c>
      <c r="C1998" s="1110">
        <v>37.089023564957849</v>
      </c>
    </row>
    <row r="1999" spans="2:3">
      <c r="B1999" s="412" t="s">
        <v>2256</v>
      </c>
      <c r="C1999" s="1110">
        <v>37.089023564957849</v>
      </c>
    </row>
    <row r="2000" spans="2:3">
      <c r="B2000" s="412" t="s">
        <v>2257</v>
      </c>
      <c r="C2000" s="1110">
        <v>37.089023564957849</v>
      </c>
    </row>
    <row r="2001" spans="2:3">
      <c r="B2001" s="412" t="s">
        <v>2258</v>
      </c>
      <c r="C2001" s="1110">
        <v>37.089023564957849</v>
      </c>
    </row>
    <row r="2002" spans="2:3">
      <c r="B2002" s="412" t="s">
        <v>2259</v>
      </c>
      <c r="C2002" s="1110">
        <v>37.089023564957849</v>
      </c>
    </row>
    <row r="2003" spans="2:3">
      <c r="B2003" s="412" t="s">
        <v>2260</v>
      </c>
      <c r="C2003" s="1110">
        <v>37.089023564957849</v>
      </c>
    </row>
    <row r="2004" spans="2:3">
      <c r="B2004" s="412" t="s">
        <v>2261</v>
      </c>
      <c r="C2004" s="1110">
        <v>37.089023564957849</v>
      </c>
    </row>
    <row r="2005" spans="2:3">
      <c r="B2005" s="412" t="s">
        <v>2262</v>
      </c>
      <c r="C2005" s="1110">
        <v>37.089023564957849</v>
      </c>
    </row>
    <row r="2006" spans="2:3">
      <c r="B2006" s="412" t="s">
        <v>2263</v>
      </c>
      <c r="C2006" s="1110">
        <v>37.089023564957849</v>
      </c>
    </row>
    <row r="2007" spans="2:3">
      <c r="B2007" s="412" t="s">
        <v>2264</v>
      </c>
      <c r="C2007" s="1110">
        <v>37.089023564957849</v>
      </c>
    </row>
    <row r="2008" spans="2:3">
      <c r="B2008" s="412" t="s">
        <v>2265</v>
      </c>
      <c r="C2008" s="1110">
        <v>37.089023564957849</v>
      </c>
    </row>
    <row r="2009" spans="2:3">
      <c r="B2009" s="412" t="s">
        <v>2266</v>
      </c>
      <c r="C2009" s="1110">
        <v>37.089023564957849</v>
      </c>
    </row>
    <row r="2010" spans="2:3">
      <c r="B2010" s="412" t="s">
        <v>2267</v>
      </c>
      <c r="C2010" s="1110">
        <v>37.089023564957849</v>
      </c>
    </row>
    <row r="2011" spans="2:3">
      <c r="B2011" s="412" t="s">
        <v>2268</v>
      </c>
      <c r="C2011" s="1110">
        <v>37.089023564957849</v>
      </c>
    </row>
    <row r="2012" spans="2:3">
      <c r="B2012" s="412" t="s">
        <v>2269</v>
      </c>
      <c r="C2012" s="1110">
        <v>37.089023564957849</v>
      </c>
    </row>
    <row r="2013" spans="2:3">
      <c r="B2013" s="412" t="s">
        <v>2270</v>
      </c>
      <c r="C2013" s="1110">
        <v>37.089023564957849</v>
      </c>
    </row>
    <row r="2014" spans="2:3">
      <c r="B2014" s="412" t="s">
        <v>2271</v>
      </c>
      <c r="C2014" s="1110">
        <v>37.089023564957849</v>
      </c>
    </row>
    <row r="2015" spans="2:3">
      <c r="B2015" s="412" t="s">
        <v>2272</v>
      </c>
      <c r="C2015" s="1110">
        <v>37.089023564957849</v>
      </c>
    </row>
    <row r="2016" spans="2:3">
      <c r="B2016" s="412" t="s">
        <v>2273</v>
      </c>
      <c r="C2016" s="1110">
        <v>37.089023564957849</v>
      </c>
    </row>
    <row r="2017" spans="2:3">
      <c r="B2017" s="412" t="s">
        <v>2274</v>
      </c>
      <c r="C2017" s="1110">
        <v>37.089023564957849</v>
      </c>
    </row>
    <row r="2018" spans="2:3">
      <c r="B2018" s="412" t="s">
        <v>2275</v>
      </c>
      <c r="C2018" s="1110">
        <v>37.089023564957849</v>
      </c>
    </row>
    <row r="2019" spans="2:3">
      <c r="B2019" s="412" t="s">
        <v>2276</v>
      </c>
      <c r="C2019" s="1110">
        <v>37.089023564957849</v>
      </c>
    </row>
    <row r="2020" spans="2:3">
      <c r="B2020" s="412" t="s">
        <v>2277</v>
      </c>
      <c r="C2020" s="1110">
        <v>37.089023564957849</v>
      </c>
    </row>
    <row r="2021" spans="2:3">
      <c r="B2021" s="412" t="s">
        <v>2278</v>
      </c>
      <c r="C2021" s="1110">
        <v>37.089023564957849</v>
      </c>
    </row>
    <row r="2022" spans="2:3">
      <c r="B2022" s="412" t="s">
        <v>2279</v>
      </c>
      <c r="C2022" s="1110">
        <v>37.089023564957849</v>
      </c>
    </row>
    <row r="2023" spans="2:3">
      <c r="B2023" s="412" t="s">
        <v>2280</v>
      </c>
      <c r="C2023" s="1110">
        <v>37.089023564957849</v>
      </c>
    </row>
    <row r="2024" spans="2:3">
      <c r="B2024" s="412" t="s">
        <v>2281</v>
      </c>
      <c r="C2024" s="1110">
        <v>37.089023564957849</v>
      </c>
    </row>
    <row r="2025" spans="2:3">
      <c r="B2025" s="412" t="s">
        <v>2282</v>
      </c>
      <c r="C2025" s="1110">
        <v>37.089023564957849</v>
      </c>
    </row>
    <row r="2026" spans="2:3">
      <c r="B2026" s="412" t="s">
        <v>2283</v>
      </c>
      <c r="C2026" s="1110">
        <v>37.089023564957849</v>
      </c>
    </row>
    <row r="2027" spans="2:3">
      <c r="B2027" s="412" t="s">
        <v>2284</v>
      </c>
      <c r="C2027" s="1110">
        <v>37.089023564957849</v>
      </c>
    </row>
    <row r="2028" spans="2:3">
      <c r="B2028" s="412" t="s">
        <v>2285</v>
      </c>
      <c r="C2028" s="1110">
        <v>37.089023564957849</v>
      </c>
    </row>
    <row r="2029" spans="2:3">
      <c r="B2029" s="412" t="s">
        <v>2286</v>
      </c>
      <c r="C2029" s="1110">
        <v>37.089023564957849</v>
      </c>
    </row>
    <row r="2030" spans="2:3">
      <c r="B2030" s="412" t="s">
        <v>2287</v>
      </c>
      <c r="C2030" s="1110">
        <v>37.089023564957849</v>
      </c>
    </row>
    <row r="2031" spans="2:3">
      <c r="B2031" s="412" t="s">
        <v>2288</v>
      </c>
      <c r="C2031" s="1110">
        <v>37.089023564957849</v>
      </c>
    </row>
    <row r="2032" spans="2:3">
      <c r="B2032" s="412" t="s">
        <v>2289</v>
      </c>
      <c r="C2032" s="1110">
        <v>37.089023564957849</v>
      </c>
    </row>
    <row r="2033" spans="2:3">
      <c r="B2033" s="412" t="s">
        <v>2290</v>
      </c>
      <c r="C2033" s="1110">
        <v>37.089023564957849</v>
      </c>
    </row>
    <row r="2034" spans="2:3">
      <c r="B2034" s="412" t="s">
        <v>2291</v>
      </c>
      <c r="C2034" s="1110">
        <v>60.028382000000001</v>
      </c>
    </row>
    <row r="2035" spans="2:3">
      <c r="B2035" s="412" t="s">
        <v>2292</v>
      </c>
      <c r="C2035" s="1110">
        <v>57.614372000000003</v>
      </c>
    </row>
    <row r="2036" spans="2:3">
      <c r="B2036" s="412" t="s">
        <v>2293</v>
      </c>
      <c r="C2036" s="1110">
        <v>57.614372000000003</v>
      </c>
    </row>
    <row r="2037" spans="2:3">
      <c r="B2037" s="412" t="s">
        <v>2294</v>
      </c>
      <c r="C2037" s="1110">
        <v>57.603935418427717</v>
      </c>
    </row>
    <row r="2038" spans="2:3">
      <c r="B2038" s="412" t="s">
        <v>2295</v>
      </c>
      <c r="C2038" s="1110">
        <v>53.637023299445474</v>
      </c>
    </row>
    <row r="2039" spans="2:3">
      <c r="B2039" s="412" t="s">
        <v>2296</v>
      </c>
      <c r="C2039" s="1110">
        <v>53.485683370786511</v>
      </c>
    </row>
    <row r="2040" spans="2:3">
      <c r="B2040" s="412" t="s">
        <v>2297</v>
      </c>
      <c r="C2040" s="1110">
        <v>53.500998644067799</v>
      </c>
    </row>
    <row r="2041" spans="2:3">
      <c r="B2041" s="412" t="s">
        <v>2298</v>
      </c>
      <c r="C2041" s="1110">
        <v>53.509189278350512</v>
      </c>
    </row>
    <row r="2042" spans="2:3">
      <c r="B2042" s="412" t="s">
        <v>2299</v>
      </c>
      <c r="C2042" s="1110">
        <v>54.260961181076674</v>
      </c>
    </row>
    <row r="2043" spans="2:3">
      <c r="B2043" s="412" t="s">
        <v>2300</v>
      </c>
      <c r="C2043" s="1110">
        <v>60.011315635802468</v>
      </c>
    </row>
    <row r="2044" spans="2:3">
      <c r="B2044" s="412" t="s">
        <v>2301</v>
      </c>
      <c r="C2044" s="1110">
        <v>57.614372000000003</v>
      </c>
    </row>
    <row r="2045" spans="2:3">
      <c r="B2045" s="412" t="s">
        <v>2302</v>
      </c>
      <c r="C2045" s="1110">
        <v>57.614372000000003</v>
      </c>
    </row>
    <row r="2046" spans="2:3">
      <c r="B2046" s="412" t="s">
        <v>2303</v>
      </c>
      <c r="C2046" s="1110">
        <v>57.614372000000003</v>
      </c>
    </row>
    <row r="2047" spans="2:3">
      <c r="B2047" s="412" t="s">
        <v>2304</v>
      </c>
      <c r="C2047" s="1110">
        <v>57.614372000000003</v>
      </c>
    </row>
    <row r="2048" spans="2:3">
      <c r="B2048" s="412" t="s">
        <v>2305</v>
      </c>
      <c r="C2048" s="1110">
        <v>57.614372000000003</v>
      </c>
    </row>
    <row r="2049" spans="2:3">
      <c r="B2049" s="412" t="s">
        <v>2306</v>
      </c>
      <c r="C2049" s="1110">
        <v>57.614372000000003</v>
      </c>
    </row>
    <row r="2050" spans="2:3">
      <c r="B2050" s="412" t="s">
        <v>2307</v>
      </c>
      <c r="C2050" s="1110">
        <v>54.472409411764708</v>
      </c>
    </row>
    <row r="2051" spans="2:3">
      <c r="B2051" s="412" t="s">
        <v>2308</v>
      </c>
      <c r="C2051" s="1110">
        <v>54.49888</v>
      </c>
    </row>
    <row r="2052" spans="2:3">
      <c r="B2052" s="412" t="s">
        <v>2309</v>
      </c>
      <c r="C2052" s="1110">
        <v>54.297026406104841</v>
      </c>
    </row>
    <row r="2053" spans="2:3">
      <c r="B2053" s="412" t="s">
        <v>2310</v>
      </c>
      <c r="C2053" s="1110">
        <v>54.49888</v>
      </c>
    </row>
    <row r="2054" spans="2:3">
      <c r="B2054" s="412" t="s">
        <v>2311</v>
      </c>
      <c r="C2054" s="1110">
        <v>60.028382000000001</v>
      </c>
    </row>
    <row r="2055" spans="2:3">
      <c r="B2055" s="412" t="s">
        <v>2312</v>
      </c>
      <c r="C2055" s="1110">
        <v>53.430087999999998</v>
      </c>
    </row>
    <row r="2056" spans="2:3">
      <c r="B2056" s="412" t="s">
        <v>2313</v>
      </c>
      <c r="C2056" s="1110">
        <v>53.430087999999998</v>
      </c>
    </row>
    <row r="2057" spans="2:3">
      <c r="B2057" s="412" t="s">
        <v>2314</v>
      </c>
      <c r="C2057" s="1110">
        <v>53.430087999999998</v>
      </c>
    </row>
    <row r="2058" spans="2:3">
      <c r="B2058" s="412" t="s">
        <v>2315</v>
      </c>
      <c r="C2058" s="1110">
        <v>53.430087999999998</v>
      </c>
    </row>
    <row r="2059" spans="2:3">
      <c r="B2059" s="412" t="s">
        <v>2316</v>
      </c>
      <c r="C2059" s="1110">
        <v>53.478629577726217</v>
      </c>
    </row>
    <row r="2060" spans="2:3">
      <c r="B2060" s="412" t="s">
        <v>2317</v>
      </c>
      <c r="C2060" s="1110">
        <v>53.430087999999998</v>
      </c>
    </row>
    <row r="2061" spans="2:3">
      <c r="B2061" s="412" t="s">
        <v>2318</v>
      </c>
      <c r="C2061" s="1110">
        <v>53.430087999999998</v>
      </c>
    </row>
    <row r="2062" spans="2:3">
      <c r="B2062" s="412" t="s">
        <v>2319</v>
      </c>
      <c r="C2062" s="1110">
        <v>53.430087999999998</v>
      </c>
    </row>
    <row r="2063" spans="2:3">
      <c r="B2063" s="412" t="s">
        <v>2320</v>
      </c>
      <c r="C2063" s="1110">
        <v>53.428098239316235</v>
      </c>
    </row>
    <row r="2064" spans="2:3">
      <c r="B2064" s="412" t="s">
        <v>2321</v>
      </c>
      <c r="C2064" s="1110">
        <v>60.028382000000001</v>
      </c>
    </row>
    <row r="2065" spans="2:3">
      <c r="B2065" s="412" t="s">
        <v>2322</v>
      </c>
      <c r="C2065" s="1110">
        <v>60.028382000000001</v>
      </c>
    </row>
    <row r="2066" spans="2:3">
      <c r="B2066" s="412" t="s">
        <v>2323</v>
      </c>
      <c r="C2066" s="1110">
        <v>58.718837168884342</v>
      </c>
    </row>
    <row r="2067" spans="2:3">
      <c r="B2067" s="412" t="s">
        <v>2324</v>
      </c>
      <c r="C2067" s="1110">
        <v>55.648855759078828</v>
      </c>
    </row>
    <row r="2068" spans="2:3">
      <c r="B2068" s="412" t="s">
        <v>2325</v>
      </c>
      <c r="C2068" s="1110">
        <v>51.403522740384616</v>
      </c>
    </row>
    <row r="2069" spans="2:3">
      <c r="B2069" s="412" t="s">
        <v>2326</v>
      </c>
      <c r="C2069" s="1110">
        <v>58.874173529644274</v>
      </c>
    </row>
    <row r="2070" spans="2:3">
      <c r="B2070" s="412" t="s">
        <v>2327</v>
      </c>
      <c r="C2070" s="1110">
        <v>37.089023564957849</v>
      </c>
    </row>
    <row r="2071" spans="2:3">
      <c r="B2071" s="412" t="s">
        <v>2328</v>
      </c>
      <c r="C2071" s="1110">
        <v>37.089023564957849</v>
      </c>
    </row>
    <row r="2072" spans="2:3">
      <c r="B2072" s="412" t="s">
        <v>2329</v>
      </c>
      <c r="C2072" s="1110">
        <v>37.089023564957849</v>
      </c>
    </row>
    <row r="2073" spans="2:3">
      <c r="B2073" s="412" t="s">
        <v>2330</v>
      </c>
      <c r="C2073" s="1110">
        <v>37.089023564957849</v>
      </c>
    </row>
    <row r="2074" spans="2:3">
      <c r="B2074" s="412" t="s">
        <v>2331</v>
      </c>
      <c r="C2074" s="1110">
        <v>37.089023564957849</v>
      </c>
    </row>
    <row r="2075" spans="2:3">
      <c r="B2075" s="412" t="s">
        <v>2332</v>
      </c>
      <c r="C2075" s="1110">
        <v>37.089023564957849</v>
      </c>
    </row>
    <row r="2076" spans="2:3">
      <c r="B2076" s="412" t="s">
        <v>2333</v>
      </c>
      <c r="C2076" s="1110">
        <v>37.089023564957849</v>
      </c>
    </row>
    <row r="2077" spans="2:3">
      <c r="B2077" s="412" t="s">
        <v>2334</v>
      </c>
      <c r="C2077" s="1110">
        <v>37.089023564957849</v>
      </c>
    </row>
    <row r="2078" spans="2:3">
      <c r="B2078" s="412" t="s">
        <v>2335</v>
      </c>
      <c r="C2078" s="1110">
        <v>37.089023564957849</v>
      </c>
    </row>
    <row r="2079" spans="2:3">
      <c r="B2079" s="412" t="s">
        <v>2336</v>
      </c>
      <c r="C2079" s="1110">
        <v>37.089023564957849</v>
      </c>
    </row>
    <row r="2080" spans="2:3">
      <c r="B2080" s="412" t="s">
        <v>2337</v>
      </c>
      <c r="C2080" s="1110">
        <v>37.089023564957849</v>
      </c>
    </row>
    <row r="2081" spans="2:3">
      <c r="B2081" s="412" t="s">
        <v>2338</v>
      </c>
      <c r="C2081" s="1110">
        <v>37.089023564957849</v>
      </c>
    </row>
    <row r="2082" spans="2:3">
      <c r="B2082" s="412" t="s">
        <v>2339</v>
      </c>
      <c r="C2082" s="1110">
        <v>37.089023564957849</v>
      </c>
    </row>
    <row r="2083" spans="2:3">
      <c r="B2083" s="412" t="s">
        <v>2340</v>
      </c>
      <c r="C2083" s="1110">
        <v>37.089023564957849</v>
      </c>
    </row>
    <row r="2084" spans="2:3">
      <c r="B2084" s="412" t="s">
        <v>2341</v>
      </c>
      <c r="C2084" s="1110">
        <v>37.089023564957849</v>
      </c>
    </row>
    <row r="2085" spans="2:3">
      <c r="B2085" s="412" t="s">
        <v>2342</v>
      </c>
      <c r="C2085" s="1110">
        <v>37.089023564957849</v>
      </c>
    </row>
    <row r="2086" spans="2:3">
      <c r="B2086" s="412" t="s">
        <v>2343</v>
      </c>
      <c r="C2086" s="1110">
        <v>37.089023564957849</v>
      </c>
    </row>
    <row r="2087" spans="2:3">
      <c r="B2087" s="412" t="s">
        <v>2344</v>
      </c>
      <c r="C2087" s="1110">
        <v>37.089023564957849</v>
      </c>
    </row>
    <row r="2088" spans="2:3">
      <c r="B2088" s="412" t="s">
        <v>2345</v>
      </c>
      <c r="C2088" s="1110">
        <v>37.089023564957849</v>
      </c>
    </row>
    <row r="2089" spans="2:3">
      <c r="B2089" s="412" t="s">
        <v>2346</v>
      </c>
      <c r="C2089" s="1110">
        <v>37.089023564957849</v>
      </c>
    </row>
    <row r="2090" spans="2:3">
      <c r="B2090" s="412" t="s">
        <v>2347</v>
      </c>
      <c r="C2090" s="1110">
        <v>37.089023564957849</v>
      </c>
    </row>
    <row r="2091" spans="2:3">
      <c r="B2091" s="412" t="s">
        <v>2348</v>
      </c>
      <c r="C2091" s="1110">
        <v>37.089023564957849</v>
      </c>
    </row>
    <row r="2092" spans="2:3">
      <c r="B2092" s="412" t="s">
        <v>2349</v>
      </c>
      <c r="C2092" s="1110">
        <v>37.089023564957849</v>
      </c>
    </row>
    <row r="2093" spans="2:3">
      <c r="B2093" s="412" t="s">
        <v>2350</v>
      </c>
      <c r="C2093" s="1110">
        <v>37.089023564957849</v>
      </c>
    </row>
    <row r="2094" spans="2:3">
      <c r="B2094" s="412" t="s">
        <v>2351</v>
      </c>
      <c r="C2094" s="1110">
        <v>37.089023564957849</v>
      </c>
    </row>
    <row r="2095" spans="2:3">
      <c r="B2095" s="412" t="s">
        <v>2352</v>
      </c>
      <c r="C2095" s="1110">
        <v>37.089023564957849</v>
      </c>
    </row>
    <row r="2096" spans="2:3">
      <c r="B2096" s="412" t="s">
        <v>2353</v>
      </c>
      <c r="C2096" s="1110">
        <v>37.089023564957849</v>
      </c>
    </row>
    <row r="2097" spans="2:3">
      <c r="B2097" s="412" t="s">
        <v>2354</v>
      </c>
      <c r="C2097" s="1110">
        <v>37.089023564957849</v>
      </c>
    </row>
    <row r="2098" spans="2:3">
      <c r="B2098" s="412" t="s">
        <v>2355</v>
      </c>
      <c r="C2098" s="1110">
        <v>37.089023564957849</v>
      </c>
    </row>
    <row r="2099" spans="2:3">
      <c r="B2099" s="412" t="s">
        <v>2356</v>
      </c>
      <c r="C2099" s="1110">
        <v>37.089023564957849</v>
      </c>
    </row>
    <row r="2100" spans="2:3">
      <c r="B2100" s="412" t="s">
        <v>2357</v>
      </c>
      <c r="C2100" s="1110">
        <v>37.089023564957849</v>
      </c>
    </row>
    <row r="2101" spans="2:3">
      <c r="B2101" s="412" t="s">
        <v>2358</v>
      </c>
      <c r="C2101" s="1110">
        <v>37.089023564957849</v>
      </c>
    </row>
    <row r="2102" spans="2:3">
      <c r="B2102" s="412" t="s">
        <v>2359</v>
      </c>
      <c r="C2102" s="1110">
        <v>37.089023564957849</v>
      </c>
    </row>
    <row r="2103" spans="2:3">
      <c r="B2103" s="412" t="s">
        <v>2360</v>
      </c>
      <c r="C2103" s="1110">
        <v>37.089023564957849</v>
      </c>
    </row>
    <row r="2104" spans="2:3">
      <c r="B2104" s="412" t="s">
        <v>2361</v>
      </c>
      <c r="C2104" s="1110">
        <v>37.089023564957849</v>
      </c>
    </row>
    <row r="2105" spans="2:3">
      <c r="B2105" s="412" t="s">
        <v>2362</v>
      </c>
      <c r="C2105" s="1110">
        <v>37.089023564957849</v>
      </c>
    </row>
    <row r="2106" spans="2:3">
      <c r="B2106" s="412" t="s">
        <v>2363</v>
      </c>
      <c r="C2106" s="1110">
        <v>37.089023564957849</v>
      </c>
    </row>
    <row r="2107" spans="2:3">
      <c r="B2107" s="412" t="s">
        <v>2364</v>
      </c>
      <c r="C2107" s="1110">
        <v>37.089023564957849</v>
      </c>
    </row>
    <row r="2108" spans="2:3">
      <c r="B2108" s="412" t="s">
        <v>2365</v>
      </c>
      <c r="C2108" s="1110">
        <v>37.089023564957849</v>
      </c>
    </row>
    <row r="2109" spans="2:3">
      <c r="B2109" s="412" t="s">
        <v>2366</v>
      </c>
      <c r="C2109" s="1110">
        <v>37.089023564957849</v>
      </c>
    </row>
    <row r="2110" spans="2:3">
      <c r="B2110" s="412" t="s">
        <v>2367</v>
      </c>
      <c r="C2110" s="1110">
        <v>37.089023564957849</v>
      </c>
    </row>
    <row r="2111" spans="2:3">
      <c r="B2111" s="412" t="s">
        <v>2368</v>
      </c>
      <c r="C2111" s="1110">
        <v>37.089023564957849</v>
      </c>
    </row>
    <row r="2112" spans="2:3">
      <c r="B2112" s="412" t="s">
        <v>2369</v>
      </c>
      <c r="C2112" s="1110">
        <v>37.089023564957849</v>
      </c>
    </row>
    <row r="2113" spans="2:3">
      <c r="B2113" s="412" t="s">
        <v>2370</v>
      </c>
      <c r="C2113" s="1110">
        <v>33.474271999999999</v>
      </c>
    </row>
    <row r="2114" spans="2:3">
      <c r="B2114" s="412" t="s">
        <v>2371</v>
      </c>
      <c r="C2114" s="1110">
        <v>51.659813999999997</v>
      </c>
    </row>
    <row r="2115" spans="2:3">
      <c r="B2115" s="412" t="s">
        <v>2372</v>
      </c>
      <c r="C2115" s="1110">
        <v>51.659813999999997</v>
      </c>
    </row>
    <row r="2116" spans="2:3">
      <c r="B2116" s="412" t="s">
        <v>2373</v>
      </c>
      <c r="C2116" s="1110">
        <v>51.659813999999997</v>
      </c>
    </row>
    <row r="2117" spans="2:3">
      <c r="B2117" s="412" t="s">
        <v>2374</v>
      </c>
      <c r="C2117" s="1110">
        <v>51.659813999999997</v>
      </c>
    </row>
    <row r="2118" spans="2:3">
      <c r="B2118" s="412" t="s">
        <v>2375</v>
      </c>
      <c r="C2118" s="1110">
        <v>51.659813999999997</v>
      </c>
    </row>
    <row r="2119" spans="2:3">
      <c r="B2119" s="412" t="s">
        <v>2376</v>
      </c>
      <c r="C2119" s="1110">
        <v>51.752176121739126</v>
      </c>
    </row>
    <row r="2120" spans="2:3">
      <c r="B2120" s="412" t="s">
        <v>2377</v>
      </c>
      <c r="C2120" s="1110">
        <v>53.912889999999997</v>
      </c>
    </row>
    <row r="2121" spans="2:3">
      <c r="B2121" s="412" t="s">
        <v>2378</v>
      </c>
      <c r="C2121" s="1110">
        <v>51.659813999999997</v>
      </c>
    </row>
    <row r="2122" spans="2:3">
      <c r="B2122" s="412" t="s">
        <v>2379</v>
      </c>
      <c r="C2122" s="1110">
        <v>51.659813999999997</v>
      </c>
    </row>
    <row r="2123" spans="2:3">
      <c r="B2123" s="412" t="s">
        <v>2380</v>
      </c>
      <c r="C2123" s="1110">
        <v>53.912889999999997</v>
      </c>
    </row>
    <row r="2124" spans="2:3">
      <c r="B2124" s="412" t="s">
        <v>2381</v>
      </c>
      <c r="C2124" s="1110">
        <v>33.474271999999999</v>
      </c>
    </row>
    <row r="2125" spans="2:3">
      <c r="B2125" s="412" t="s">
        <v>2382</v>
      </c>
      <c r="C2125" s="1110">
        <v>53.912889999999997</v>
      </c>
    </row>
    <row r="2126" spans="2:3">
      <c r="B2126" s="412" t="s">
        <v>2383</v>
      </c>
      <c r="C2126" s="1110">
        <v>53.912889999999997</v>
      </c>
    </row>
    <row r="2127" spans="2:3">
      <c r="B2127" s="412" t="s">
        <v>2384</v>
      </c>
      <c r="C2127" s="1110">
        <v>51.659813999999997</v>
      </c>
    </row>
    <row r="2128" spans="2:3">
      <c r="B2128" s="412" t="s">
        <v>2385</v>
      </c>
      <c r="C2128" s="1110">
        <v>51.659813999999997</v>
      </c>
    </row>
    <row r="2129" spans="2:3">
      <c r="B2129" s="412" t="s">
        <v>2386</v>
      </c>
      <c r="C2129" s="1110">
        <v>51.659813999999997</v>
      </c>
    </row>
    <row r="2130" spans="2:3">
      <c r="B2130" s="412" t="s">
        <v>2387</v>
      </c>
      <c r="C2130" s="1110">
        <v>51.659813999999997</v>
      </c>
    </row>
    <row r="2131" spans="2:3">
      <c r="B2131" s="412" t="s">
        <v>2388</v>
      </c>
      <c r="C2131" s="1110">
        <v>51.659813999999997</v>
      </c>
    </row>
    <row r="2132" spans="2:3">
      <c r="B2132" s="412" t="s">
        <v>2389</v>
      </c>
      <c r="C2132" s="1110">
        <v>51.659813999999997</v>
      </c>
    </row>
    <row r="2133" spans="2:3">
      <c r="B2133" s="412" t="s">
        <v>2390</v>
      </c>
      <c r="C2133" s="1110">
        <v>51.659813999999997</v>
      </c>
    </row>
    <row r="2134" spans="2:3">
      <c r="B2134" s="412" t="s">
        <v>2391</v>
      </c>
      <c r="C2134" s="1110">
        <v>51.659813999999997</v>
      </c>
    </row>
    <row r="2135" spans="2:3">
      <c r="B2135" s="412" t="s">
        <v>2392</v>
      </c>
      <c r="C2135" s="1110">
        <v>33.474271999999999</v>
      </c>
    </row>
    <row r="2136" spans="2:3">
      <c r="B2136" s="412" t="s">
        <v>2393</v>
      </c>
      <c r="C2136" s="1110">
        <v>51.659813999999997</v>
      </c>
    </row>
    <row r="2137" spans="2:3">
      <c r="B2137" s="412" t="s">
        <v>2394</v>
      </c>
      <c r="C2137" s="1110">
        <v>51.659813999999997</v>
      </c>
    </row>
    <row r="2138" spans="2:3">
      <c r="B2138" s="412" t="s">
        <v>2395</v>
      </c>
      <c r="C2138" s="1110">
        <v>51.659813999999997</v>
      </c>
    </row>
    <row r="2139" spans="2:3">
      <c r="B2139" s="412" t="s">
        <v>2396</v>
      </c>
      <c r="C2139" s="1110">
        <v>51.659813999999997</v>
      </c>
    </row>
    <row r="2140" spans="2:3">
      <c r="B2140" s="412" t="s">
        <v>2397</v>
      </c>
      <c r="C2140" s="1110">
        <v>51.659813999999997</v>
      </c>
    </row>
    <row r="2141" spans="2:3">
      <c r="B2141" s="412" t="s">
        <v>2398</v>
      </c>
      <c r="C2141" s="1110">
        <v>51.659813999999997</v>
      </c>
    </row>
    <row r="2142" spans="2:3">
      <c r="B2142" s="412" t="s">
        <v>2399</v>
      </c>
      <c r="C2142" s="1110">
        <v>33.474271999999999</v>
      </c>
    </row>
    <row r="2143" spans="2:3">
      <c r="B2143" s="412" t="s">
        <v>2400</v>
      </c>
      <c r="C2143" s="1110">
        <v>33.722422991169978</v>
      </c>
    </row>
    <row r="2144" spans="2:3">
      <c r="B2144" s="412" t="s">
        <v>2401</v>
      </c>
      <c r="C2144" s="1110">
        <v>35.558606310891086</v>
      </c>
    </row>
    <row r="2145" spans="2:3">
      <c r="B2145" s="412" t="s">
        <v>2402</v>
      </c>
      <c r="C2145" s="1110">
        <v>36.504255800539084</v>
      </c>
    </row>
    <row r="2146" spans="2:3">
      <c r="B2146" s="412" t="s">
        <v>2403</v>
      </c>
      <c r="C2146" s="1110">
        <v>53.912889999999997</v>
      </c>
    </row>
    <row r="2147" spans="2:3">
      <c r="B2147" s="412" t="s">
        <v>2404</v>
      </c>
      <c r="C2147" s="1110">
        <v>36.625503005428882</v>
      </c>
    </row>
    <row r="2148" spans="2:3">
      <c r="B2148" s="412" t="s">
        <v>2405</v>
      </c>
      <c r="C2148" s="1110">
        <v>33.474271999999999</v>
      </c>
    </row>
    <row r="2149" spans="2:3">
      <c r="B2149" s="412" t="s">
        <v>2406</v>
      </c>
      <c r="C2149" s="1110">
        <v>28.968119999999999</v>
      </c>
    </row>
    <row r="2150" spans="2:3">
      <c r="B2150" s="412" t="s">
        <v>2407</v>
      </c>
      <c r="C2150" s="1110">
        <v>51.344559726027398</v>
      </c>
    </row>
    <row r="2151" spans="2:3">
      <c r="B2151" s="412" t="s">
        <v>2408</v>
      </c>
      <c r="C2151" s="1110">
        <v>51.981681999999999</v>
      </c>
    </row>
    <row r="2152" spans="2:3">
      <c r="B2152" s="412" t="s">
        <v>2409</v>
      </c>
      <c r="C2152" s="1110">
        <v>51.981681999999999</v>
      </c>
    </row>
    <row r="2153" spans="2:3">
      <c r="B2153" s="412" t="s">
        <v>2410</v>
      </c>
      <c r="C2153" s="1110">
        <v>51.981681999999999</v>
      </c>
    </row>
    <row r="2154" spans="2:3">
      <c r="B2154" s="412" t="s">
        <v>2411</v>
      </c>
      <c r="C2154" s="1110">
        <v>51.981681999999999</v>
      </c>
    </row>
    <row r="2155" spans="2:3">
      <c r="B2155" s="412" t="s">
        <v>2412</v>
      </c>
      <c r="C2155" s="1110">
        <v>51.981681999999999</v>
      </c>
    </row>
    <row r="2156" spans="2:3">
      <c r="B2156" s="412" t="s">
        <v>2413</v>
      </c>
      <c r="C2156" s="1110">
        <v>51.981681999999999</v>
      </c>
    </row>
    <row r="2157" spans="2:3">
      <c r="B2157" s="412" t="s">
        <v>2414</v>
      </c>
      <c r="C2157" s="1110">
        <v>51.911088251533748</v>
      </c>
    </row>
    <row r="2158" spans="2:3">
      <c r="B2158" s="412" t="s">
        <v>2415</v>
      </c>
      <c r="C2158" s="1110">
        <v>50.694209999999998</v>
      </c>
    </row>
    <row r="2159" spans="2:3">
      <c r="B2159" s="412" t="s">
        <v>2416</v>
      </c>
      <c r="C2159" s="1110">
        <v>50.694209999999998</v>
      </c>
    </row>
    <row r="2160" spans="2:3">
      <c r="B2160" s="412" t="s">
        <v>2417</v>
      </c>
      <c r="C2160" s="1110">
        <v>28.968119999999999</v>
      </c>
    </row>
    <row r="2161" spans="2:3">
      <c r="B2161" s="412" t="s">
        <v>2418</v>
      </c>
      <c r="C2161" s="1110">
        <v>50.694209999999998</v>
      </c>
    </row>
    <row r="2162" spans="2:3">
      <c r="B2162" s="412" t="s">
        <v>2419</v>
      </c>
      <c r="C2162" s="1110">
        <v>50.694209999999998</v>
      </c>
    </row>
    <row r="2163" spans="2:3">
      <c r="B2163" s="412" t="s">
        <v>2420</v>
      </c>
      <c r="C2163" s="1110">
        <v>50.694209999999998</v>
      </c>
    </row>
    <row r="2164" spans="2:3">
      <c r="B2164" s="412" t="s">
        <v>2421</v>
      </c>
      <c r="C2164" s="1110">
        <v>28.968119999999999</v>
      </c>
    </row>
    <row r="2165" spans="2:3">
      <c r="B2165" s="412" t="s">
        <v>2422</v>
      </c>
      <c r="C2165" s="1110">
        <v>28.968119999999999</v>
      </c>
    </row>
    <row r="2166" spans="2:3">
      <c r="B2166" s="412" t="s">
        <v>2423</v>
      </c>
      <c r="C2166" s="1110">
        <v>40.072566000000002</v>
      </c>
    </row>
    <row r="2167" spans="2:3">
      <c r="B2167" s="412" t="s">
        <v>2424</v>
      </c>
      <c r="C2167" s="1110">
        <v>40.072566000000002</v>
      </c>
    </row>
    <row r="2168" spans="2:3">
      <c r="B2168" s="412" t="s">
        <v>2425</v>
      </c>
      <c r="C2168" s="1110">
        <v>40.072566000000002</v>
      </c>
    </row>
    <row r="2169" spans="2:3">
      <c r="B2169" s="412" t="s">
        <v>2426</v>
      </c>
      <c r="C2169" s="1110">
        <v>40.072566000000002</v>
      </c>
    </row>
    <row r="2170" spans="2:3">
      <c r="B2170" s="412" t="s">
        <v>2427</v>
      </c>
      <c r="C2170" s="1110">
        <v>40.072566000000002</v>
      </c>
    </row>
    <row r="2171" spans="2:3">
      <c r="B2171" s="412" t="s">
        <v>2428</v>
      </c>
      <c r="C2171" s="1110">
        <v>40.072566000000002</v>
      </c>
    </row>
    <row r="2172" spans="2:3">
      <c r="B2172" s="412" t="s">
        <v>2429</v>
      </c>
      <c r="C2172" s="1110">
        <v>40.072566000000002</v>
      </c>
    </row>
    <row r="2173" spans="2:3">
      <c r="B2173" s="412" t="s">
        <v>2430</v>
      </c>
      <c r="C2173" s="1110">
        <v>40.072566000000002</v>
      </c>
    </row>
    <row r="2174" spans="2:3">
      <c r="B2174" s="412" t="s">
        <v>2431</v>
      </c>
      <c r="C2174" s="1110">
        <v>40.072566000000002</v>
      </c>
    </row>
    <row r="2175" spans="2:3">
      <c r="B2175" s="412" t="s">
        <v>2432</v>
      </c>
      <c r="C2175" s="1110">
        <v>40.072566000000002</v>
      </c>
    </row>
    <row r="2176" spans="2:3">
      <c r="B2176" s="412" t="s">
        <v>2433</v>
      </c>
      <c r="C2176" s="1110">
        <v>28.968119999999999</v>
      </c>
    </row>
    <row r="2177" spans="2:3">
      <c r="B2177" s="412" t="s">
        <v>2434</v>
      </c>
      <c r="C2177" s="1110">
        <v>40.072566000000002</v>
      </c>
    </row>
    <row r="2178" spans="2:3">
      <c r="B2178" s="412" t="s">
        <v>2435</v>
      </c>
      <c r="C2178" s="1110">
        <v>40.072566000000002</v>
      </c>
    </row>
    <row r="2179" spans="2:3">
      <c r="B2179" s="412" t="s">
        <v>2436</v>
      </c>
      <c r="C2179" s="1110">
        <v>28.968119999999999</v>
      </c>
    </row>
    <row r="2180" spans="2:3">
      <c r="B2180" s="412" t="s">
        <v>2437</v>
      </c>
      <c r="C2180" s="1110">
        <v>29.018699257142856</v>
      </c>
    </row>
    <row r="2181" spans="2:3">
      <c r="B2181" s="412" t="s">
        <v>2438</v>
      </c>
      <c r="C2181" s="1110">
        <v>51.85176673064516</v>
      </c>
    </row>
    <row r="2182" spans="2:3">
      <c r="B2182" s="412" t="s">
        <v>2439</v>
      </c>
      <c r="C2182" s="1110">
        <v>51.981681999999999</v>
      </c>
    </row>
    <row r="2183" spans="2:3">
      <c r="B2183" s="412" t="s">
        <v>2440</v>
      </c>
      <c r="C2183" s="1110">
        <v>51.959132448707258</v>
      </c>
    </row>
    <row r="2184" spans="2:3">
      <c r="B2184" s="412" t="s">
        <v>2441</v>
      </c>
      <c r="C2184" s="1110">
        <v>41.199103999999998</v>
      </c>
    </row>
    <row r="2185" spans="2:3">
      <c r="B2185" s="412" t="s">
        <v>2442</v>
      </c>
      <c r="C2185" s="1110">
        <v>41.199103999999998</v>
      </c>
    </row>
    <row r="2186" spans="2:3">
      <c r="B2186" s="412" t="s">
        <v>2443</v>
      </c>
      <c r="C2186" s="1110">
        <v>41.199103999999998</v>
      </c>
    </row>
    <row r="2187" spans="2:3">
      <c r="B2187" s="412" t="s">
        <v>2444</v>
      </c>
      <c r="C2187" s="1110">
        <v>41.199103999999998</v>
      </c>
    </row>
    <row r="2188" spans="2:3">
      <c r="B2188" s="412" t="s">
        <v>2445</v>
      </c>
      <c r="C2188" s="1110">
        <v>41.199103999999998</v>
      </c>
    </row>
    <row r="2189" spans="2:3">
      <c r="B2189" s="412" t="s">
        <v>2446</v>
      </c>
      <c r="C2189" s="1110">
        <v>41.199103999999998</v>
      </c>
    </row>
    <row r="2190" spans="2:3">
      <c r="B2190" s="412" t="s">
        <v>2447</v>
      </c>
      <c r="C2190" s="1110">
        <v>41.199103999999998</v>
      </c>
    </row>
    <row r="2191" spans="2:3">
      <c r="B2191" s="412" t="s">
        <v>2448</v>
      </c>
      <c r="C2191" s="1110">
        <v>41.199103999999998</v>
      </c>
    </row>
    <row r="2192" spans="2:3">
      <c r="B2192" s="412" t="s">
        <v>2449</v>
      </c>
      <c r="C2192" s="1110">
        <v>41.199103999999998</v>
      </c>
    </row>
    <row r="2193" spans="2:3">
      <c r="B2193" s="412" t="s">
        <v>2450</v>
      </c>
      <c r="C2193" s="1110">
        <v>41.180623540669856</v>
      </c>
    </row>
    <row r="2194" spans="2:3">
      <c r="B2194" s="412" t="s">
        <v>2451</v>
      </c>
      <c r="C2194" s="1110">
        <v>41.199103999999998</v>
      </c>
    </row>
    <row r="2195" spans="2:3">
      <c r="B2195" s="412" t="s">
        <v>2452</v>
      </c>
      <c r="C2195" s="1110">
        <v>36.273124173913047</v>
      </c>
    </row>
    <row r="2196" spans="2:3" ht="17" thickBot="1">
      <c r="B2196" s="413" t="s">
        <v>2453</v>
      </c>
      <c r="C2196" s="655">
        <v>36.772391761702131</v>
      </c>
    </row>
    <row r="2197" spans="2:3">
      <c r="B2197" s="415" t="s">
        <v>2454</v>
      </c>
      <c r="C2197" s="1109">
        <v>26.103707254125407</v>
      </c>
    </row>
    <row r="2198" spans="2:3">
      <c r="B2198" s="412" t="s">
        <v>2455</v>
      </c>
      <c r="C2198" s="1110">
        <v>45.602516883928573</v>
      </c>
    </row>
    <row r="2199" spans="2:3">
      <c r="B2199" s="412" t="s">
        <v>2456</v>
      </c>
      <c r="C2199" s="1110">
        <v>47.475529999999999</v>
      </c>
    </row>
    <row r="2200" spans="2:3">
      <c r="B2200" s="412" t="s">
        <v>2457</v>
      </c>
      <c r="C2200" s="1110">
        <v>48.923935999999998</v>
      </c>
    </row>
    <row r="2201" spans="2:3">
      <c r="B2201" s="412" t="s">
        <v>2458</v>
      </c>
      <c r="C2201" s="1110">
        <v>49.131307444274803</v>
      </c>
    </row>
    <row r="2202" spans="2:3">
      <c r="B2202" s="412" t="s">
        <v>2459</v>
      </c>
      <c r="C2202" s="1110">
        <v>48.923935999999998</v>
      </c>
    </row>
    <row r="2203" spans="2:3">
      <c r="B2203" s="412" t="s">
        <v>2460</v>
      </c>
      <c r="C2203" s="1110">
        <v>48.427052275000001</v>
      </c>
    </row>
    <row r="2204" spans="2:3">
      <c r="B2204" s="412" t="s">
        <v>2461</v>
      </c>
      <c r="C2204" s="1110">
        <v>32.805265371900823</v>
      </c>
    </row>
    <row r="2205" spans="2:3">
      <c r="B2205" s="412" t="s">
        <v>2462</v>
      </c>
      <c r="C2205" s="1110">
        <v>50.414957461786869</v>
      </c>
    </row>
    <row r="2206" spans="2:3">
      <c r="B2206" s="412" t="s">
        <v>2463</v>
      </c>
      <c r="C2206" s="1110">
        <v>51.981681999999999</v>
      </c>
    </row>
    <row r="2207" spans="2:3">
      <c r="B2207" s="412" t="s">
        <v>2464</v>
      </c>
      <c r="C2207" s="1110">
        <v>51.981681999999999</v>
      </c>
    </row>
    <row r="2208" spans="2:3">
      <c r="B2208" s="412" t="s">
        <v>2465</v>
      </c>
      <c r="C2208" s="1110">
        <v>51.981681999999999</v>
      </c>
    </row>
    <row r="2209" spans="2:3">
      <c r="B2209" s="412" t="s">
        <v>2466</v>
      </c>
      <c r="C2209" s="1110">
        <v>51.981681999999999</v>
      </c>
    </row>
    <row r="2210" spans="2:3">
      <c r="B2210" s="412" t="s">
        <v>2467</v>
      </c>
      <c r="C2210" s="1110">
        <v>51.981681999999999</v>
      </c>
    </row>
    <row r="2211" spans="2:3">
      <c r="B2211" s="412" t="s">
        <v>2468</v>
      </c>
      <c r="C2211" s="1110">
        <v>51.953060352574099</v>
      </c>
    </row>
    <row r="2212" spans="2:3">
      <c r="B2212" s="412" t="s">
        <v>2469</v>
      </c>
      <c r="C2212" s="1110">
        <v>51.136729850060455</v>
      </c>
    </row>
    <row r="2213" spans="2:3">
      <c r="B2213" s="412" t="s">
        <v>2470</v>
      </c>
      <c r="C2213" s="1110">
        <v>51.981681999999999</v>
      </c>
    </row>
    <row r="2214" spans="2:3">
      <c r="B2214" s="412" t="s">
        <v>2471</v>
      </c>
      <c r="C2214" s="1110">
        <v>51.981681999999999</v>
      </c>
    </row>
    <row r="2215" spans="2:3">
      <c r="B2215" s="412" t="s">
        <v>2472</v>
      </c>
      <c r="C2215" s="1110">
        <v>28.295062691511387</v>
      </c>
    </row>
    <row r="2216" spans="2:3">
      <c r="B2216" s="412" t="s">
        <v>2473</v>
      </c>
      <c r="C2216" s="1110">
        <v>42.119917307443366</v>
      </c>
    </row>
    <row r="2217" spans="2:3">
      <c r="B2217" s="412" t="s">
        <v>2474</v>
      </c>
      <c r="C2217" s="1110">
        <v>33.309424711246194</v>
      </c>
    </row>
    <row r="2218" spans="2:3">
      <c r="B2218" s="412" t="s">
        <v>2475</v>
      </c>
      <c r="C2218" s="1110">
        <v>45.74586866387434</v>
      </c>
    </row>
    <row r="2219" spans="2:3">
      <c r="B2219" s="412" t="s">
        <v>2476</v>
      </c>
      <c r="C2219" s="1110">
        <v>45.705255999999999</v>
      </c>
    </row>
    <row r="2220" spans="2:3">
      <c r="B2220" s="412" t="s">
        <v>2477</v>
      </c>
      <c r="C2220" s="1110">
        <v>47.446173960912056</v>
      </c>
    </row>
    <row r="2221" spans="2:3">
      <c r="B2221" s="412" t="s">
        <v>2478</v>
      </c>
      <c r="C2221" s="1110">
        <v>46.742856789473684</v>
      </c>
    </row>
    <row r="2222" spans="2:3">
      <c r="B2222" s="412" t="s">
        <v>2479</v>
      </c>
      <c r="C2222" s="1110">
        <v>45.666144549800791</v>
      </c>
    </row>
    <row r="2223" spans="2:3">
      <c r="B2223" s="412" t="s">
        <v>2480</v>
      </c>
      <c r="C2223" s="1110">
        <v>43.161066403141355</v>
      </c>
    </row>
    <row r="2224" spans="2:3">
      <c r="B2224" s="412" t="s">
        <v>2481</v>
      </c>
      <c r="C2224" s="1110">
        <v>48.465960678498291</v>
      </c>
    </row>
    <row r="2225" spans="2:3">
      <c r="B2225" s="412" t="s">
        <v>2482</v>
      </c>
      <c r="C2225" s="1110">
        <v>50.116571892857145</v>
      </c>
    </row>
    <row r="2226" spans="2:3">
      <c r="B2226" s="412" t="s">
        <v>2483</v>
      </c>
      <c r="C2226" s="1110">
        <v>50.698563363001746</v>
      </c>
    </row>
    <row r="2227" spans="2:3">
      <c r="B2227" s="412" t="s">
        <v>2484</v>
      </c>
      <c r="C2227" s="1110">
        <v>40.716301999999999</v>
      </c>
    </row>
    <row r="2228" spans="2:3">
      <c r="B2228" s="412" t="s">
        <v>2485</v>
      </c>
      <c r="C2228" s="1110">
        <v>50.554433271551723</v>
      </c>
    </row>
    <row r="2229" spans="2:3">
      <c r="B2229" s="412" t="s">
        <v>2486</v>
      </c>
      <c r="C2229" s="1110">
        <v>50.694209999999998</v>
      </c>
    </row>
    <row r="2230" spans="2:3">
      <c r="B2230" s="412" t="s">
        <v>2487</v>
      </c>
      <c r="C2230" s="1110">
        <v>50.543940301204813</v>
      </c>
    </row>
    <row r="2231" spans="2:3">
      <c r="B2231" s="412" t="s">
        <v>2488</v>
      </c>
      <c r="C2231" s="1110">
        <v>50.694209999999998</v>
      </c>
    </row>
    <row r="2232" spans="2:3">
      <c r="B2232" s="412" t="s">
        <v>2489</v>
      </c>
      <c r="C2232" s="1110">
        <v>50.677095234991427</v>
      </c>
    </row>
    <row r="2233" spans="2:3">
      <c r="B2233" s="412" t="s">
        <v>2490</v>
      </c>
      <c r="C2233" s="1110">
        <v>50.526762004761899</v>
      </c>
    </row>
    <row r="2234" spans="2:3">
      <c r="B2234" s="412" t="s">
        <v>2491</v>
      </c>
      <c r="C2234" s="1110">
        <v>50.687522588979228</v>
      </c>
    </row>
    <row r="2235" spans="2:3">
      <c r="B2235" s="412" t="s">
        <v>2492</v>
      </c>
      <c r="C2235" s="1110">
        <v>50.18347919772404</v>
      </c>
    </row>
    <row r="2236" spans="2:3">
      <c r="B2236" s="412" t="s">
        <v>2493</v>
      </c>
      <c r="C2236" s="1110">
        <v>47.044496979020984</v>
      </c>
    </row>
    <row r="2237" spans="2:3">
      <c r="B2237" s="412" t="s">
        <v>2494</v>
      </c>
      <c r="C2237" s="1110">
        <v>49.712410466001813</v>
      </c>
    </row>
    <row r="2238" spans="2:3">
      <c r="B2238" s="412" t="s">
        <v>2495</v>
      </c>
      <c r="C2238" s="1110">
        <v>40.716301999999999</v>
      </c>
    </row>
    <row r="2239" spans="2:3">
      <c r="B2239" s="412" t="s">
        <v>2496</v>
      </c>
      <c r="C2239" s="1110">
        <v>50.694209999999998</v>
      </c>
    </row>
    <row r="2240" spans="2:3">
      <c r="B2240" s="412" t="s">
        <v>2497</v>
      </c>
      <c r="C2240" s="1110">
        <v>40.716301999999999</v>
      </c>
    </row>
    <row r="2241" spans="2:3">
      <c r="B2241" s="412" t="s">
        <v>2498</v>
      </c>
      <c r="C2241" s="1110">
        <v>40.716301999999999</v>
      </c>
    </row>
    <row r="2242" spans="2:3">
      <c r="B2242" s="412" t="s">
        <v>2499</v>
      </c>
      <c r="C2242" s="1110">
        <v>40.747482962499994</v>
      </c>
    </row>
    <row r="2243" spans="2:3">
      <c r="B2243" s="412" t="s">
        <v>2500</v>
      </c>
      <c r="C2243" s="1110">
        <v>41.255958704257772</v>
      </c>
    </row>
    <row r="2244" spans="2:3">
      <c r="B2244" s="412" t="s">
        <v>2501</v>
      </c>
      <c r="C2244" s="1110">
        <v>40.716301999999999</v>
      </c>
    </row>
    <row r="2245" spans="2:3">
      <c r="B2245" s="412" t="s">
        <v>2502</v>
      </c>
      <c r="C2245" s="1110">
        <v>50.694209999999998</v>
      </c>
    </row>
    <row r="2246" spans="2:3">
      <c r="B2246" s="412" t="s">
        <v>2503</v>
      </c>
      <c r="C2246" s="1110">
        <v>40.716301999999999</v>
      </c>
    </row>
    <row r="2247" spans="2:3">
      <c r="B2247" s="412" t="s">
        <v>2504</v>
      </c>
      <c r="C2247" s="1110">
        <v>40.716301999999999</v>
      </c>
    </row>
    <row r="2248" spans="2:3">
      <c r="B2248" s="704">
        <v>1</v>
      </c>
      <c r="C2248" s="1110">
        <v>41.520972</v>
      </c>
    </row>
    <row r="2249" spans="2:3">
      <c r="B2249" s="704">
        <v>10</v>
      </c>
      <c r="C2249" s="1110">
        <v>27.358779999999999</v>
      </c>
    </row>
    <row r="2250" spans="2:3">
      <c r="B2250" s="704">
        <v>11</v>
      </c>
      <c r="C2250" s="1110">
        <v>41.520972</v>
      </c>
    </row>
    <row r="2251" spans="2:3">
      <c r="B2251" s="704">
        <v>12</v>
      </c>
      <c r="C2251" s="1110">
        <v>41.520972</v>
      </c>
    </row>
    <row r="2252" spans="2:3">
      <c r="B2252" s="704">
        <v>13</v>
      </c>
      <c r="C2252" s="1110">
        <v>41.520972</v>
      </c>
    </row>
    <row r="2253" spans="2:3">
      <c r="B2253" s="704">
        <v>14</v>
      </c>
      <c r="C2253" s="1110">
        <v>42.409596333868379</v>
      </c>
    </row>
    <row r="2254" spans="2:3">
      <c r="B2254" s="704">
        <v>15</v>
      </c>
      <c r="C2254" s="1110">
        <v>53.869024803539816</v>
      </c>
    </row>
    <row r="2255" spans="2:3">
      <c r="B2255" s="704">
        <v>16</v>
      </c>
      <c r="C2255" s="1110">
        <v>53.912889999999997</v>
      </c>
    </row>
    <row r="2256" spans="2:3">
      <c r="B2256" s="704">
        <v>17</v>
      </c>
      <c r="C2256" s="1110">
        <v>53.912889999999997</v>
      </c>
    </row>
    <row r="2257" spans="2:3">
      <c r="B2257" s="704">
        <v>18</v>
      </c>
      <c r="C2257" s="1110">
        <v>53.912889999999997</v>
      </c>
    </row>
    <row r="2258" spans="2:3">
      <c r="B2258" s="704">
        <v>19</v>
      </c>
      <c r="C2258" s="1110">
        <v>53.912889999999997</v>
      </c>
    </row>
    <row r="2259" spans="2:3">
      <c r="B2259" s="704">
        <v>2</v>
      </c>
      <c r="C2259" s="1110">
        <v>41.520972</v>
      </c>
    </row>
    <row r="2260" spans="2:3">
      <c r="B2260" s="704">
        <v>20</v>
      </c>
      <c r="C2260" s="1110">
        <v>53.912889999999997</v>
      </c>
    </row>
    <row r="2261" spans="2:3">
      <c r="B2261" s="704">
        <v>3</v>
      </c>
      <c r="C2261" s="1110">
        <v>41.520972</v>
      </c>
    </row>
    <row r="2262" spans="2:3">
      <c r="B2262" s="704">
        <v>4</v>
      </c>
      <c r="C2262" s="1110">
        <v>48.367982181818178</v>
      </c>
    </row>
    <row r="2263" spans="2:3">
      <c r="B2263" s="704">
        <v>5</v>
      </c>
      <c r="C2263" s="1110">
        <v>41.184043331550804</v>
      </c>
    </row>
    <row r="2264" spans="2:3">
      <c r="B2264" s="704">
        <v>6</v>
      </c>
      <c r="C2264" s="1110">
        <v>28.089828018903592</v>
      </c>
    </row>
    <row r="2265" spans="2:3">
      <c r="B2265" s="704">
        <v>7</v>
      </c>
      <c r="C2265" s="1110">
        <v>39.771953433962267</v>
      </c>
    </row>
    <row r="2266" spans="2:3">
      <c r="B2266" s="704">
        <v>8</v>
      </c>
      <c r="C2266" s="1110">
        <v>27.407712635135134</v>
      </c>
    </row>
    <row r="2267" spans="2:3" ht="17" thickBot="1">
      <c r="B2267" s="705">
        <v>9</v>
      </c>
      <c r="C2267" s="655">
        <v>27.385054938775511</v>
      </c>
    </row>
    <row r="2268" spans="2:3">
      <c r="B2268" s="415" t="s">
        <v>2505</v>
      </c>
      <c r="C2268" s="1109">
        <v>33.474271999999999</v>
      </c>
    </row>
    <row r="2269" spans="2:3">
      <c r="B2269" s="412" t="s">
        <v>2506</v>
      </c>
      <c r="C2269" s="1110">
        <v>33.474271999999999</v>
      </c>
    </row>
    <row r="2270" spans="2:3">
      <c r="B2270" s="412" t="s">
        <v>2507</v>
      </c>
      <c r="C2270" s="1110">
        <v>33.496949063636364</v>
      </c>
    </row>
    <row r="2271" spans="2:3">
      <c r="B2271" s="412" t="s">
        <v>2508</v>
      </c>
      <c r="C2271" s="1110">
        <v>33.843254730354388</v>
      </c>
    </row>
    <row r="2272" spans="2:3">
      <c r="B2272" s="412" t="s">
        <v>2509</v>
      </c>
      <c r="C2272" s="1110">
        <v>33.847134419080071</v>
      </c>
    </row>
    <row r="2273" spans="2:3">
      <c r="B2273" s="412" t="s">
        <v>2510</v>
      </c>
      <c r="C2273" s="1110">
        <v>33.474271999999999</v>
      </c>
    </row>
    <row r="2274" spans="2:3">
      <c r="B2274" s="412" t="s">
        <v>2511</v>
      </c>
      <c r="C2274" s="1110">
        <v>33.594648906166221</v>
      </c>
    </row>
    <row r="2275" spans="2:3">
      <c r="B2275" s="412" t="s">
        <v>2512</v>
      </c>
      <c r="C2275" s="1110">
        <v>48.441133999999998</v>
      </c>
    </row>
    <row r="2276" spans="2:3">
      <c r="B2276" s="412" t="s">
        <v>2513</v>
      </c>
      <c r="C2276" s="1110">
        <v>33.474271999999999</v>
      </c>
    </row>
    <row r="2277" spans="2:3">
      <c r="B2277" s="412" t="s">
        <v>2514</v>
      </c>
      <c r="C2277" s="1110">
        <v>33.52646681081081</v>
      </c>
    </row>
    <row r="2278" spans="2:3">
      <c r="B2278" s="412" t="s">
        <v>2515</v>
      </c>
      <c r="C2278" s="1110">
        <v>48.441133999999998</v>
      </c>
    </row>
    <row r="2279" spans="2:3">
      <c r="B2279" s="412" t="s">
        <v>2516</v>
      </c>
      <c r="C2279" s="1110">
        <v>44.417783999999997</v>
      </c>
    </row>
    <row r="2280" spans="2:3">
      <c r="B2280" s="412" t="s">
        <v>2517</v>
      </c>
      <c r="C2280" s="1110">
        <v>44.417783999999997</v>
      </c>
    </row>
    <row r="2281" spans="2:3">
      <c r="B2281" s="412" t="s">
        <v>2518</v>
      </c>
      <c r="C2281" s="1110">
        <v>33.474271999999999</v>
      </c>
    </row>
    <row r="2282" spans="2:3">
      <c r="B2282" s="412" t="s">
        <v>2519</v>
      </c>
      <c r="C2282" s="1110">
        <v>48.441133999999998</v>
      </c>
    </row>
    <row r="2283" spans="2:3">
      <c r="B2283" s="412" t="s">
        <v>2520</v>
      </c>
      <c r="C2283" s="1110">
        <v>48.441133999999998</v>
      </c>
    </row>
    <row r="2284" spans="2:3">
      <c r="B2284" s="412" t="s">
        <v>2521</v>
      </c>
      <c r="C2284" s="1110">
        <v>34.557894266666665</v>
      </c>
    </row>
    <row r="2285" spans="2:3">
      <c r="B2285" s="412" t="s">
        <v>2522</v>
      </c>
      <c r="C2285" s="1110">
        <v>39.164265920873127</v>
      </c>
    </row>
    <row r="2286" spans="2:3">
      <c r="B2286" s="412" t="s">
        <v>2523</v>
      </c>
      <c r="C2286" s="1110">
        <v>33.474271999999999</v>
      </c>
    </row>
    <row r="2287" spans="2:3">
      <c r="B2287" s="412" t="s">
        <v>2524</v>
      </c>
      <c r="C2287" s="1110">
        <v>48.441133999999998</v>
      </c>
    </row>
    <row r="2288" spans="2:3">
      <c r="B2288" s="412" t="s">
        <v>2525</v>
      </c>
      <c r="C2288" s="1110">
        <v>48.441133999999998</v>
      </c>
    </row>
    <row r="2289" spans="2:3">
      <c r="B2289" s="412" t="s">
        <v>2526</v>
      </c>
      <c r="C2289" s="1110">
        <v>48.441133999999998</v>
      </c>
    </row>
    <row r="2290" spans="2:3">
      <c r="B2290" s="412" t="s">
        <v>2527</v>
      </c>
      <c r="C2290" s="1110">
        <v>48.441133999999998</v>
      </c>
    </row>
    <row r="2291" spans="2:3">
      <c r="B2291" s="412" t="s">
        <v>2528</v>
      </c>
      <c r="C2291" s="1110">
        <v>48.441133999999998</v>
      </c>
    </row>
    <row r="2292" spans="2:3">
      <c r="B2292" s="412" t="s">
        <v>2529</v>
      </c>
      <c r="C2292" s="1110">
        <v>48.441133999999998</v>
      </c>
    </row>
    <row r="2293" spans="2:3">
      <c r="B2293" s="412" t="s">
        <v>2530</v>
      </c>
      <c r="C2293" s="1110">
        <v>48.441133999999998</v>
      </c>
    </row>
    <row r="2294" spans="2:3">
      <c r="B2294" s="412" t="s">
        <v>2531</v>
      </c>
      <c r="C2294" s="1110">
        <v>33.474271999999999</v>
      </c>
    </row>
    <row r="2295" spans="2:3">
      <c r="B2295" s="412" t="s">
        <v>2532</v>
      </c>
      <c r="C2295" s="1110">
        <v>33.474271999999999</v>
      </c>
    </row>
    <row r="2296" spans="2:3">
      <c r="B2296" s="412" t="s">
        <v>2533</v>
      </c>
      <c r="C2296" s="1110">
        <v>44.407159231067958</v>
      </c>
    </row>
    <row r="2297" spans="2:3">
      <c r="B2297" s="412" t="s">
        <v>2534</v>
      </c>
      <c r="C2297" s="1110">
        <v>44.354084861466816</v>
      </c>
    </row>
    <row r="2298" spans="2:3">
      <c r="B2298" s="412" t="s">
        <v>2535</v>
      </c>
      <c r="C2298" s="1110">
        <v>44.417783999999997</v>
      </c>
    </row>
    <row r="2299" spans="2:3">
      <c r="B2299" s="412" t="s">
        <v>2536</v>
      </c>
      <c r="C2299" s="1110">
        <v>43.903833483870969</v>
      </c>
    </row>
    <row r="2300" spans="2:3">
      <c r="B2300" s="412" t="s">
        <v>2537</v>
      </c>
      <c r="C2300" s="1110">
        <v>44.417783999999997</v>
      </c>
    </row>
    <row r="2301" spans="2:3">
      <c r="B2301" s="412" t="s">
        <v>2538</v>
      </c>
      <c r="C2301" s="1110">
        <v>44.417783999999997</v>
      </c>
    </row>
    <row r="2302" spans="2:3">
      <c r="B2302" s="412" t="s">
        <v>2539</v>
      </c>
      <c r="C2302" s="1110">
        <v>44.417783999999997</v>
      </c>
    </row>
    <row r="2303" spans="2:3">
      <c r="B2303" s="412" t="s">
        <v>2540</v>
      </c>
      <c r="C2303" s="1110">
        <v>33.474271999999999</v>
      </c>
    </row>
    <row r="2304" spans="2:3">
      <c r="B2304" s="412" t="s">
        <v>2541</v>
      </c>
      <c r="C2304" s="1110">
        <v>43.452179999999998</v>
      </c>
    </row>
    <row r="2305" spans="2:3">
      <c r="B2305" s="412" t="s">
        <v>2542</v>
      </c>
      <c r="C2305" s="1110">
        <v>43.448710444444437</v>
      </c>
    </row>
    <row r="2306" spans="2:3">
      <c r="B2306" s="412" t="s">
        <v>2543</v>
      </c>
      <c r="C2306" s="1110">
        <v>43.259833140028292</v>
      </c>
    </row>
    <row r="2307" spans="2:3">
      <c r="B2307" s="412" t="s">
        <v>2544</v>
      </c>
      <c r="C2307" s="1110">
        <v>43.518016636363633</v>
      </c>
    </row>
    <row r="2308" spans="2:3">
      <c r="B2308" s="412" t="s">
        <v>2545</v>
      </c>
      <c r="C2308" s="1110">
        <v>43.457837835937497</v>
      </c>
    </row>
    <row r="2309" spans="2:3">
      <c r="B2309" s="412" t="s">
        <v>2546</v>
      </c>
      <c r="C2309" s="1110">
        <v>43.403379095560567</v>
      </c>
    </row>
    <row r="2310" spans="2:3">
      <c r="B2310" s="412" t="s">
        <v>2547</v>
      </c>
      <c r="C2310" s="1110">
        <v>33.491921601415093</v>
      </c>
    </row>
    <row r="2311" spans="2:3">
      <c r="B2311" s="412" t="s">
        <v>2548</v>
      </c>
      <c r="C2311" s="1110">
        <v>48.15843857606491</v>
      </c>
    </row>
    <row r="2312" spans="2:3">
      <c r="B2312" s="412" t="s">
        <v>2549</v>
      </c>
      <c r="C2312" s="1110">
        <v>47.790325705078125</v>
      </c>
    </row>
    <row r="2313" spans="2:3">
      <c r="B2313" s="412" t="s">
        <v>2550</v>
      </c>
      <c r="C2313" s="1110">
        <v>33.474271999999999</v>
      </c>
    </row>
    <row r="2314" spans="2:3">
      <c r="B2314" s="412" t="s">
        <v>2551</v>
      </c>
      <c r="C2314" s="1110">
        <v>33.474271999999999</v>
      </c>
    </row>
    <row r="2315" spans="2:3">
      <c r="B2315" s="412" t="s">
        <v>2552</v>
      </c>
      <c r="C2315" s="1110">
        <v>37.92007375</v>
      </c>
    </row>
    <row r="2316" spans="2:3">
      <c r="B2316" s="412" t="s">
        <v>2553</v>
      </c>
      <c r="C2316" s="1110">
        <v>33.474271999999999</v>
      </c>
    </row>
    <row r="2317" spans="2:3">
      <c r="B2317" s="412" t="s">
        <v>2554</v>
      </c>
      <c r="C2317" s="1110">
        <v>43.856578256410252</v>
      </c>
    </row>
    <row r="2318" spans="2:3">
      <c r="B2318" s="412" t="s">
        <v>2555</v>
      </c>
      <c r="C2318" s="1110">
        <v>33.474271999999999</v>
      </c>
    </row>
    <row r="2319" spans="2:3">
      <c r="B2319" s="412" t="s">
        <v>2556</v>
      </c>
      <c r="C2319" s="1110">
        <v>33.474271999999999</v>
      </c>
    </row>
    <row r="2320" spans="2:3">
      <c r="B2320" s="412" t="s">
        <v>2557</v>
      </c>
      <c r="C2320" s="1110">
        <v>37.089023564957849</v>
      </c>
    </row>
    <row r="2321" spans="2:3">
      <c r="B2321" s="412" t="s">
        <v>2558</v>
      </c>
      <c r="C2321" s="1110">
        <v>37.089023564957849</v>
      </c>
    </row>
    <row r="2322" spans="2:3">
      <c r="B2322" s="412" t="s">
        <v>2559</v>
      </c>
      <c r="C2322" s="1110">
        <v>37.089023564957849</v>
      </c>
    </row>
    <row r="2323" spans="2:3">
      <c r="B2323" s="412" t="s">
        <v>2560</v>
      </c>
      <c r="C2323" s="1110">
        <v>37.089023564957849</v>
      </c>
    </row>
    <row r="2324" spans="2:3">
      <c r="B2324" s="412" t="s">
        <v>2561</v>
      </c>
      <c r="C2324" s="1110">
        <v>37.089023564957849</v>
      </c>
    </row>
    <row r="2325" spans="2:3">
      <c r="B2325" s="412" t="s">
        <v>2562</v>
      </c>
      <c r="C2325" s="1110">
        <v>37.089023564957849</v>
      </c>
    </row>
    <row r="2326" spans="2:3">
      <c r="B2326" s="412" t="s">
        <v>2563</v>
      </c>
      <c r="C2326" s="1110">
        <v>37.089023564957849</v>
      </c>
    </row>
    <row r="2327" spans="2:3">
      <c r="B2327" s="412" t="s">
        <v>2564</v>
      </c>
      <c r="C2327" s="1110">
        <v>37.089023564957849</v>
      </c>
    </row>
    <row r="2328" spans="2:3">
      <c r="B2328" s="412" t="s">
        <v>2565</v>
      </c>
      <c r="C2328" s="1110">
        <v>37.089023564957849</v>
      </c>
    </row>
    <row r="2329" spans="2:3">
      <c r="B2329" s="412" t="s">
        <v>2566</v>
      </c>
      <c r="C2329" s="1110">
        <v>37.089023564957849</v>
      </c>
    </row>
    <row r="2330" spans="2:3">
      <c r="B2330" s="412" t="s">
        <v>2567</v>
      </c>
      <c r="C2330" s="1110">
        <v>37.089023564957849</v>
      </c>
    </row>
    <row r="2331" spans="2:3">
      <c r="B2331" s="412" t="s">
        <v>2568</v>
      </c>
      <c r="C2331" s="1110">
        <v>37.089023564957849</v>
      </c>
    </row>
    <row r="2332" spans="2:3">
      <c r="B2332" s="412" t="s">
        <v>2569</v>
      </c>
      <c r="C2332" s="1110">
        <v>37.089023564957849</v>
      </c>
    </row>
    <row r="2333" spans="2:3">
      <c r="B2333" s="412" t="s">
        <v>2570</v>
      </c>
      <c r="C2333" s="1110">
        <v>37.089023564957849</v>
      </c>
    </row>
    <row r="2334" spans="2:3">
      <c r="B2334" s="412" t="s">
        <v>2571</v>
      </c>
      <c r="C2334" s="1110">
        <v>37.089023564957849</v>
      </c>
    </row>
    <row r="2335" spans="2:3">
      <c r="B2335" s="412" t="s">
        <v>2572</v>
      </c>
      <c r="C2335" s="1110">
        <v>37.089023564957849</v>
      </c>
    </row>
    <row r="2336" spans="2:3">
      <c r="B2336" s="412" t="s">
        <v>2573</v>
      </c>
      <c r="C2336" s="1110">
        <v>37.089023564957849</v>
      </c>
    </row>
    <row r="2337" spans="2:3">
      <c r="B2337" s="412" t="s">
        <v>2574</v>
      </c>
      <c r="C2337" s="1110">
        <v>37.089023564957849</v>
      </c>
    </row>
    <row r="2338" spans="2:3">
      <c r="B2338" s="412" t="s">
        <v>2575</v>
      </c>
      <c r="C2338" s="1110">
        <v>37.089023564957849</v>
      </c>
    </row>
    <row r="2339" spans="2:3">
      <c r="B2339" s="412" t="s">
        <v>2576</v>
      </c>
      <c r="C2339" s="1110">
        <v>37.089023564957849</v>
      </c>
    </row>
    <row r="2340" spans="2:3">
      <c r="B2340" s="412" t="s">
        <v>2577</v>
      </c>
      <c r="C2340" s="1110">
        <v>37.089023564957849</v>
      </c>
    </row>
    <row r="2341" spans="2:3">
      <c r="B2341" s="412" t="s">
        <v>2578</v>
      </c>
      <c r="C2341" s="1110">
        <v>37.089023564957849</v>
      </c>
    </row>
    <row r="2342" spans="2:3">
      <c r="B2342" s="412" t="s">
        <v>2579</v>
      </c>
      <c r="C2342" s="1110">
        <v>37.089023564957849</v>
      </c>
    </row>
    <row r="2343" spans="2:3">
      <c r="B2343" s="412" t="s">
        <v>2580</v>
      </c>
      <c r="C2343" s="1110">
        <v>37.089023564957849</v>
      </c>
    </row>
    <row r="2344" spans="2:3">
      <c r="B2344" s="412" t="s">
        <v>2581</v>
      </c>
      <c r="C2344" s="1110">
        <v>37.089023564957849</v>
      </c>
    </row>
    <row r="2345" spans="2:3">
      <c r="B2345" s="412" t="s">
        <v>2582</v>
      </c>
      <c r="C2345" s="1110">
        <v>37.089023564957849</v>
      </c>
    </row>
    <row r="2346" spans="2:3">
      <c r="B2346" s="412" t="s">
        <v>2583</v>
      </c>
      <c r="C2346" s="1110">
        <v>37.089023564957849</v>
      </c>
    </row>
    <row r="2347" spans="2:3">
      <c r="B2347" s="412" t="s">
        <v>2584</v>
      </c>
      <c r="C2347" s="1110">
        <v>37.089023564957849</v>
      </c>
    </row>
    <row r="2348" spans="2:3">
      <c r="B2348" s="412" t="s">
        <v>2585</v>
      </c>
      <c r="C2348" s="1110">
        <v>37.089023564957849</v>
      </c>
    </row>
    <row r="2349" spans="2:3">
      <c r="B2349" s="412" t="s">
        <v>2586</v>
      </c>
      <c r="C2349" s="1110">
        <v>37.089023564957849</v>
      </c>
    </row>
    <row r="2350" spans="2:3">
      <c r="B2350" s="412" t="s">
        <v>2587</v>
      </c>
      <c r="C2350" s="1110">
        <v>37.089023564957849</v>
      </c>
    </row>
    <row r="2351" spans="2:3">
      <c r="B2351" s="412" t="s">
        <v>2588</v>
      </c>
      <c r="C2351" s="1110">
        <v>37.089023564957849</v>
      </c>
    </row>
    <row r="2352" spans="2:3">
      <c r="B2352" s="412" t="s">
        <v>2589</v>
      </c>
      <c r="C2352" s="1110">
        <v>37.089023564957849</v>
      </c>
    </row>
    <row r="2353" spans="2:3">
      <c r="B2353" s="412" t="s">
        <v>2590</v>
      </c>
      <c r="C2353" s="1110">
        <v>37.089023564957849</v>
      </c>
    </row>
    <row r="2354" spans="2:3">
      <c r="B2354" s="412" t="s">
        <v>2591</v>
      </c>
      <c r="C2354" s="1110">
        <v>37.089023564957849</v>
      </c>
    </row>
    <row r="2355" spans="2:3">
      <c r="B2355" s="412" t="s">
        <v>2592</v>
      </c>
      <c r="C2355" s="1110">
        <v>37.089023564957849</v>
      </c>
    </row>
    <row r="2356" spans="2:3">
      <c r="B2356" s="412" t="s">
        <v>2593</v>
      </c>
      <c r="C2356" s="1110">
        <v>37.089023564957849</v>
      </c>
    </row>
    <row r="2357" spans="2:3">
      <c r="B2357" s="412" t="s">
        <v>2594</v>
      </c>
      <c r="C2357" s="1110">
        <v>37.089023564957849</v>
      </c>
    </row>
    <row r="2358" spans="2:3">
      <c r="B2358" s="412" t="s">
        <v>2595</v>
      </c>
      <c r="C2358" s="1110">
        <v>37.089023564957849</v>
      </c>
    </row>
    <row r="2359" spans="2:3">
      <c r="B2359" s="412" t="s">
        <v>2596</v>
      </c>
      <c r="C2359" s="1110">
        <v>37.089023564957849</v>
      </c>
    </row>
    <row r="2360" spans="2:3">
      <c r="B2360" s="412" t="s">
        <v>2597</v>
      </c>
      <c r="C2360" s="1110">
        <v>37.089023564957849</v>
      </c>
    </row>
    <row r="2361" spans="2:3">
      <c r="B2361" s="412" t="s">
        <v>2598</v>
      </c>
      <c r="C2361" s="1110">
        <v>37.089023564957849</v>
      </c>
    </row>
    <row r="2362" spans="2:3">
      <c r="B2362" s="412" t="s">
        <v>2599</v>
      </c>
      <c r="C2362" s="1110">
        <v>37.089023564957849</v>
      </c>
    </row>
    <row r="2363" spans="2:3">
      <c r="B2363" s="412" t="s">
        <v>2600</v>
      </c>
      <c r="C2363" s="1110">
        <v>37.089023564957849</v>
      </c>
    </row>
    <row r="2364" spans="2:3">
      <c r="B2364" s="412" t="s">
        <v>2601</v>
      </c>
      <c r="C2364" s="1110">
        <v>37.089023564957849</v>
      </c>
    </row>
    <row r="2365" spans="2:3">
      <c r="B2365" s="412" t="s">
        <v>2602</v>
      </c>
      <c r="C2365" s="1110">
        <v>37.089023564957849</v>
      </c>
    </row>
    <row r="2366" spans="2:3">
      <c r="B2366" s="412" t="s">
        <v>2603</v>
      </c>
      <c r="C2366" s="1110">
        <v>37.089023564957849</v>
      </c>
    </row>
    <row r="2367" spans="2:3">
      <c r="B2367" s="412" t="s">
        <v>2604</v>
      </c>
      <c r="C2367" s="1110">
        <v>37.089023564957849</v>
      </c>
    </row>
    <row r="2368" spans="2:3">
      <c r="B2368" s="412" t="s">
        <v>2605</v>
      </c>
      <c r="C2368" s="1110">
        <v>37.089023564957849</v>
      </c>
    </row>
    <row r="2369" spans="2:3">
      <c r="B2369" s="412" t="s">
        <v>2606</v>
      </c>
      <c r="C2369" s="1110">
        <v>37.089023564957849</v>
      </c>
    </row>
    <row r="2370" spans="2:3">
      <c r="B2370" s="412" t="s">
        <v>2607</v>
      </c>
      <c r="C2370" s="1110">
        <v>37.089023564957849</v>
      </c>
    </row>
    <row r="2371" spans="2:3">
      <c r="B2371" s="412" t="s">
        <v>2608</v>
      </c>
      <c r="C2371" s="1110">
        <v>37.089023564957849</v>
      </c>
    </row>
    <row r="2372" spans="2:3">
      <c r="B2372" s="412" t="s">
        <v>2609</v>
      </c>
      <c r="C2372" s="1110">
        <v>37.089023564957849</v>
      </c>
    </row>
    <row r="2373" spans="2:3">
      <c r="B2373" s="412" t="s">
        <v>2610</v>
      </c>
      <c r="C2373" s="1110">
        <v>17.020932722250127</v>
      </c>
    </row>
    <row r="2374" spans="2:3">
      <c r="B2374" s="412" t="s">
        <v>2611</v>
      </c>
      <c r="C2374" s="1110">
        <v>28.792894563706561</v>
      </c>
    </row>
    <row r="2375" spans="2:3">
      <c r="B2375" s="412" t="s">
        <v>2612</v>
      </c>
      <c r="C2375" s="1110">
        <v>17.605053724279834</v>
      </c>
    </row>
    <row r="2376" spans="2:3">
      <c r="B2376" s="412" t="s">
        <v>2613</v>
      </c>
      <c r="C2376" s="1110">
        <v>22.067109454894435</v>
      </c>
    </row>
    <row r="2377" spans="2:3">
      <c r="B2377" s="412" t="s">
        <v>2614</v>
      </c>
      <c r="C2377" s="1110">
        <v>20.067927325842696</v>
      </c>
    </row>
    <row r="2378" spans="2:3">
      <c r="B2378" s="412" t="s">
        <v>2615</v>
      </c>
      <c r="C2378" s="1110">
        <v>19.587800660240966</v>
      </c>
    </row>
    <row r="2379" spans="2:3">
      <c r="B2379" s="412" t="s">
        <v>2616</v>
      </c>
      <c r="C2379" s="1110">
        <v>16.976634064189188</v>
      </c>
    </row>
    <row r="2380" spans="2:3">
      <c r="B2380" s="412" t="s">
        <v>2617</v>
      </c>
      <c r="C2380" s="1110">
        <v>17.033458920634924</v>
      </c>
    </row>
    <row r="2381" spans="2:3">
      <c r="B2381" s="412" t="s">
        <v>2618</v>
      </c>
      <c r="C2381" s="1110">
        <v>16.898070000000001</v>
      </c>
    </row>
    <row r="2382" spans="2:3">
      <c r="B2382" s="412" t="s">
        <v>2619</v>
      </c>
      <c r="C2382" s="1110">
        <v>29.289988000000001</v>
      </c>
    </row>
    <row r="2383" spans="2:3">
      <c r="B2383" s="412" t="s">
        <v>2620</v>
      </c>
      <c r="C2383" s="1110">
        <v>24.114168774086377</v>
      </c>
    </row>
    <row r="2384" spans="2:3">
      <c r="B2384" s="412" t="s">
        <v>2621</v>
      </c>
      <c r="C2384" s="1110">
        <v>16.898070000000001</v>
      </c>
    </row>
    <row r="2385" spans="2:3">
      <c r="B2385" s="412" t="s">
        <v>2622</v>
      </c>
      <c r="C2385" s="1110">
        <v>30.262841279279282</v>
      </c>
    </row>
    <row r="2386" spans="2:3">
      <c r="B2386" s="412" t="s">
        <v>2623</v>
      </c>
      <c r="C2386" s="1110">
        <v>32.025866000000001</v>
      </c>
    </row>
    <row r="2387" spans="2:3">
      <c r="B2387" s="412" t="s">
        <v>2624</v>
      </c>
      <c r="C2387" s="1110">
        <v>17.211754915254236</v>
      </c>
    </row>
    <row r="2388" spans="2:3">
      <c r="B2388" s="412" t="s">
        <v>2625</v>
      </c>
      <c r="C2388" s="1110">
        <v>16.898070000000001</v>
      </c>
    </row>
    <row r="2389" spans="2:3">
      <c r="B2389" s="412" t="s">
        <v>2626</v>
      </c>
      <c r="C2389" s="1110">
        <v>19.507206047923326</v>
      </c>
    </row>
    <row r="2390" spans="2:3">
      <c r="B2390" s="412" t="s">
        <v>2627</v>
      </c>
      <c r="C2390" s="1110">
        <v>17.452458026755853</v>
      </c>
    </row>
    <row r="2391" spans="2:3">
      <c r="B2391" s="412" t="s">
        <v>2628</v>
      </c>
      <c r="C2391" s="1110">
        <v>25.427572000000001</v>
      </c>
    </row>
    <row r="2392" spans="2:3">
      <c r="B2392" s="412" t="s">
        <v>2629</v>
      </c>
      <c r="C2392" s="1110">
        <v>21.956701402261711</v>
      </c>
    </row>
    <row r="2393" spans="2:3">
      <c r="B2393" s="412" t="s">
        <v>2630</v>
      </c>
      <c r="C2393" s="1110">
        <v>17.702739999999999</v>
      </c>
    </row>
    <row r="2394" spans="2:3">
      <c r="B2394" s="412" t="s">
        <v>2631</v>
      </c>
      <c r="C2394" s="1110">
        <v>29.977961781990523</v>
      </c>
    </row>
    <row r="2395" spans="2:3">
      <c r="B2395" s="412" t="s">
        <v>2632</v>
      </c>
      <c r="C2395" s="1110">
        <v>27.12257041935484</v>
      </c>
    </row>
    <row r="2396" spans="2:3">
      <c r="B2396" s="412" t="s">
        <v>2633</v>
      </c>
      <c r="C2396" s="1110">
        <v>19.610663931914896</v>
      </c>
    </row>
    <row r="2397" spans="2:3">
      <c r="B2397" s="412" t="s">
        <v>2634</v>
      </c>
      <c r="C2397" s="1110">
        <v>17.031567883295192</v>
      </c>
    </row>
    <row r="2398" spans="2:3">
      <c r="B2398" s="412" t="s">
        <v>2635</v>
      </c>
      <c r="C2398" s="1110">
        <v>19.633948</v>
      </c>
    </row>
    <row r="2399" spans="2:3">
      <c r="B2399" s="412" t="s">
        <v>2636</v>
      </c>
      <c r="C2399" s="1110">
        <v>29.289988000000001</v>
      </c>
    </row>
    <row r="2400" spans="2:3">
      <c r="B2400" s="412" t="s">
        <v>2637</v>
      </c>
      <c r="C2400" s="1110">
        <v>20.975159445229682</v>
      </c>
    </row>
    <row r="2401" spans="2:3">
      <c r="B2401" s="412" t="s">
        <v>2638</v>
      </c>
      <c r="C2401" s="1110">
        <v>29.45727465789474</v>
      </c>
    </row>
    <row r="2402" spans="2:3">
      <c r="B2402" s="412" t="s">
        <v>2639</v>
      </c>
      <c r="C2402" s="1110">
        <v>48.441133999999998</v>
      </c>
    </row>
    <row r="2403" spans="2:3">
      <c r="B2403" s="412" t="s">
        <v>2640</v>
      </c>
      <c r="C2403" s="1110">
        <v>48.441133999999998</v>
      </c>
    </row>
    <row r="2404" spans="2:3">
      <c r="B2404" s="412" t="s">
        <v>2641</v>
      </c>
      <c r="C2404" s="1110">
        <v>48.441133999999998</v>
      </c>
    </row>
    <row r="2405" spans="2:3">
      <c r="B2405" s="412" t="s">
        <v>2642</v>
      </c>
      <c r="C2405" s="1110">
        <v>48.441133999999998</v>
      </c>
    </row>
    <row r="2406" spans="2:3">
      <c r="B2406" s="412" t="s">
        <v>2643</v>
      </c>
      <c r="C2406" s="1110">
        <v>48.441133999999998</v>
      </c>
    </row>
    <row r="2407" spans="2:3">
      <c r="B2407" s="412" t="s">
        <v>2644</v>
      </c>
      <c r="C2407" s="1110">
        <v>48.441133999999998</v>
      </c>
    </row>
    <row r="2408" spans="2:3">
      <c r="B2408" s="412" t="s">
        <v>2645</v>
      </c>
      <c r="C2408" s="1110">
        <v>52.142615999999997</v>
      </c>
    </row>
    <row r="2409" spans="2:3">
      <c r="B2409" s="412" t="s">
        <v>2646</v>
      </c>
      <c r="C2409" s="1110">
        <v>52.142615999999997</v>
      </c>
    </row>
    <row r="2410" spans="2:3">
      <c r="B2410" s="412" t="s">
        <v>2647</v>
      </c>
      <c r="C2410" s="1110">
        <v>52.142615999999997</v>
      </c>
    </row>
    <row r="2411" spans="2:3">
      <c r="B2411" s="412" t="s">
        <v>2648</v>
      </c>
      <c r="C2411" s="1110">
        <v>52.142615999999997</v>
      </c>
    </row>
    <row r="2412" spans="2:3">
      <c r="B2412" s="412" t="s">
        <v>2649</v>
      </c>
      <c r="C2412" s="1110">
        <v>52.915576839580204</v>
      </c>
    </row>
    <row r="2413" spans="2:3">
      <c r="B2413" s="412" t="s">
        <v>2650</v>
      </c>
      <c r="C2413" s="1110">
        <v>48.441133999999998</v>
      </c>
    </row>
    <row r="2414" spans="2:3">
      <c r="B2414" s="412" t="s">
        <v>2651</v>
      </c>
      <c r="C2414" s="1110">
        <v>48.441133999999998</v>
      </c>
    </row>
    <row r="2415" spans="2:3">
      <c r="B2415" s="412" t="s">
        <v>2652</v>
      </c>
      <c r="C2415" s="1110">
        <v>48.441133999999998</v>
      </c>
    </row>
    <row r="2416" spans="2:3">
      <c r="B2416" s="412" t="s">
        <v>2653</v>
      </c>
      <c r="C2416" s="1110">
        <v>49.645520767895874</v>
      </c>
    </row>
    <row r="2417" spans="2:3">
      <c r="B2417" s="412" t="s">
        <v>2654</v>
      </c>
      <c r="C2417" s="1110">
        <v>48.441133999999998</v>
      </c>
    </row>
    <row r="2418" spans="2:3">
      <c r="B2418" s="412" t="s">
        <v>2655</v>
      </c>
      <c r="C2418" s="1110">
        <v>48.578807798627004</v>
      </c>
    </row>
    <row r="2419" spans="2:3">
      <c r="B2419" s="412" t="s">
        <v>2656</v>
      </c>
      <c r="C2419" s="1110">
        <v>51.979378984202199</v>
      </c>
    </row>
    <row r="2420" spans="2:3">
      <c r="B2420" s="412" t="s">
        <v>2657</v>
      </c>
      <c r="C2420" s="1110">
        <v>48.441133999999998</v>
      </c>
    </row>
    <row r="2421" spans="2:3">
      <c r="B2421" s="412" t="s">
        <v>2658</v>
      </c>
      <c r="C2421" s="1110">
        <v>30.738394</v>
      </c>
    </row>
    <row r="2422" spans="2:3">
      <c r="B2422" s="412" t="s">
        <v>2659</v>
      </c>
      <c r="C2422" s="1110">
        <v>48.441133999999998</v>
      </c>
    </row>
    <row r="2423" spans="2:3">
      <c r="B2423" s="412" t="s">
        <v>2660</v>
      </c>
      <c r="C2423" s="1110">
        <v>48.378025511882996</v>
      </c>
    </row>
    <row r="2424" spans="2:3">
      <c r="B2424" s="412" t="s">
        <v>2661</v>
      </c>
      <c r="C2424" s="1110">
        <v>47.916052728813554</v>
      </c>
    </row>
    <row r="2425" spans="2:3">
      <c r="B2425" s="412" t="s">
        <v>2662</v>
      </c>
      <c r="C2425" s="1110">
        <v>48.419136990954769</v>
      </c>
    </row>
    <row r="2426" spans="2:3">
      <c r="B2426" s="412" t="s">
        <v>2663</v>
      </c>
      <c r="C2426" s="1110">
        <v>26.587372194250197</v>
      </c>
    </row>
    <row r="2427" spans="2:3">
      <c r="B2427" s="412" t="s">
        <v>2664</v>
      </c>
      <c r="C2427" s="1110">
        <v>26.554110000000001</v>
      </c>
    </row>
    <row r="2428" spans="2:3">
      <c r="B2428" s="412" t="s">
        <v>2665</v>
      </c>
      <c r="C2428" s="1110">
        <v>26.554110000000001</v>
      </c>
    </row>
    <row r="2429" spans="2:3">
      <c r="B2429" s="412" t="s">
        <v>2666</v>
      </c>
      <c r="C2429" s="1110">
        <v>48.205324774576276</v>
      </c>
    </row>
    <row r="2430" spans="2:3">
      <c r="B2430" s="412" t="s">
        <v>2667</v>
      </c>
      <c r="C2430" s="1110">
        <v>30.738394</v>
      </c>
    </row>
    <row r="2431" spans="2:3">
      <c r="B2431" s="412" t="s">
        <v>2668</v>
      </c>
      <c r="C2431" s="1110">
        <v>48.25815994315245</v>
      </c>
    </row>
    <row r="2432" spans="2:3">
      <c r="B2432" s="412" t="s">
        <v>2669</v>
      </c>
      <c r="C2432" s="1110">
        <v>48.441133999999998</v>
      </c>
    </row>
    <row r="2433" spans="2:3">
      <c r="B2433" s="412" t="s">
        <v>2670</v>
      </c>
      <c r="C2433" s="1110">
        <v>30.738394</v>
      </c>
    </row>
    <row r="2434" spans="2:3">
      <c r="B2434" s="412" t="s">
        <v>2671</v>
      </c>
      <c r="C2434" s="1110">
        <v>30.73060687096774</v>
      </c>
    </row>
    <row r="2435" spans="2:3">
      <c r="B2435" s="412" t="s">
        <v>2672</v>
      </c>
      <c r="C2435" s="1110">
        <v>30.704595260096934</v>
      </c>
    </row>
    <row r="2436" spans="2:3">
      <c r="B2436" s="412" t="s">
        <v>2673</v>
      </c>
      <c r="C2436" s="1110">
        <v>30.793758315871777</v>
      </c>
    </row>
    <row r="2437" spans="2:3">
      <c r="B2437" s="412" t="s">
        <v>2674</v>
      </c>
      <c r="C2437" s="1110">
        <v>30.773553364448858</v>
      </c>
    </row>
    <row r="2438" spans="2:3">
      <c r="B2438" s="412" t="s">
        <v>2675</v>
      </c>
      <c r="C2438" s="1110">
        <v>30.80524724773414</v>
      </c>
    </row>
    <row r="2439" spans="2:3">
      <c r="B2439" s="412" t="s">
        <v>2676</v>
      </c>
      <c r="C2439" s="1110">
        <v>48.441133999999998</v>
      </c>
    </row>
    <row r="2440" spans="2:3">
      <c r="B2440" s="412" t="s">
        <v>2677</v>
      </c>
      <c r="C2440" s="1110">
        <v>48.50288774418604</v>
      </c>
    </row>
    <row r="2441" spans="2:3">
      <c r="B2441" s="412" t="s">
        <v>2678</v>
      </c>
      <c r="C2441" s="1110">
        <v>30.311676559311614</v>
      </c>
    </row>
    <row r="2442" spans="2:3">
      <c r="B2442" s="412" t="s">
        <v>2679</v>
      </c>
      <c r="C2442" s="1110">
        <v>34.77689409236234</v>
      </c>
    </row>
    <row r="2443" spans="2:3">
      <c r="B2443" s="412" t="s">
        <v>2680</v>
      </c>
      <c r="C2443" s="1110">
        <v>31.945250810313073</v>
      </c>
    </row>
    <row r="2444" spans="2:3">
      <c r="B2444" s="412" t="s">
        <v>2681</v>
      </c>
      <c r="C2444" s="1110">
        <v>45.253925537777782</v>
      </c>
    </row>
    <row r="2445" spans="2:3">
      <c r="B2445" s="412" t="s">
        <v>2682</v>
      </c>
      <c r="C2445" s="1110">
        <v>45.53885425368064</v>
      </c>
    </row>
    <row r="2446" spans="2:3">
      <c r="B2446" s="412" t="s">
        <v>2683</v>
      </c>
      <c r="C2446" s="1110">
        <v>45.242012689564071</v>
      </c>
    </row>
    <row r="2447" spans="2:3">
      <c r="B2447" s="412" t="s">
        <v>2684</v>
      </c>
      <c r="C2447" s="1110">
        <v>45.061520000000002</v>
      </c>
    </row>
    <row r="2448" spans="2:3">
      <c r="B2448" s="412" t="s">
        <v>2685</v>
      </c>
      <c r="C2448" s="1110">
        <v>48.641381877142862</v>
      </c>
    </row>
    <row r="2449" spans="2:3">
      <c r="B2449" s="412" t="s">
        <v>2686</v>
      </c>
      <c r="C2449" s="1110">
        <v>48.74908665413534</v>
      </c>
    </row>
    <row r="2450" spans="2:3">
      <c r="B2450" s="412" t="s">
        <v>2687</v>
      </c>
      <c r="C2450" s="1110">
        <v>48.761921906040271</v>
      </c>
    </row>
    <row r="2451" spans="2:3">
      <c r="B2451" s="412" t="s">
        <v>2688</v>
      </c>
      <c r="C2451" s="1110">
        <v>26.393176</v>
      </c>
    </row>
    <row r="2452" spans="2:3">
      <c r="B2452" s="412" t="s">
        <v>2689</v>
      </c>
      <c r="C2452" s="1110">
        <v>27.841581999999999</v>
      </c>
    </row>
    <row r="2453" spans="2:3">
      <c r="B2453" s="412" t="s">
        <v>2690</v>
      </c>
      <c r="C2453" s="1110">
        <v>28.66799983783784</v>
      </c>
    </row>
    <row r="2454" spans="2:3">
      <c r="B2454" s="412" t="s">
        <v>2691</v>
      </c>
      <c r="C2454" s="1110">
        <v>27.91273176842105</v>
      </c>
    </row>
    <row r="2455" spans="2:3">
      <c r="B2455" s="412" t="s">
        <v>2692</v>
      </c>
      <c r="C2455" s="1110">
        <v>22.221104529510963</v>
      </c>
    </row>
    <row r="2456" spans="2:3">
      <c r="B2456" s="412" t="s">
        <v>2693</v>
      </c>
      <c r="C2456" s="1110">
        <v>27.859588601398602</v>
      </c>
    </row>
    <row r="2457" spans="2:3">
      <c r="B2457" s="412" t="s">
        <v>2694</v>
      </c>
      <c r="C2457" s="1110">
        <v>27.841581999999999</v>
      </c>
    </row>
    <row r="2458" spans="2:3">
      <c r="B2458" s="412" t="s">
        <v>2695</v>
      </c>
      <c r="C2458" s="1110">
        <v>40.091579299578058</v>
      </c>
    </row>
    <row r="2459" spans="2:3">
      <c r="B2459" s="412" t="s">
        <v>2696</v>
      </c>
      <c r="C2459" s="1110">
        <v>41.520972</v>
      </c>
    </row>
    <row r="2460" spans="2:3">
      <c r="B2460" s="412" t="s">
        <v>2697</v>
      </c>
      <c r="C2460" s="1110">
        <v>52.464483999999999</v>
      </c>
    </row>
    <row r="2461" spans="2:3">
      <c r="B2461" s="412" t="s">
        <v>2698</v>
      </c>
      <c r="C2461" s="1110">
        <v>52.464483999999999</v>
      </c>
    </row>
    <row r="2462" spans="2:3">
      <c r="B2462" s="412" t="s">
        <v>2699</v>
      </c>
      <c r="C2462" s="1110">
        <v>52.464483999999999</v>
      </c>
    </row>
    <row r="2463" spans="2:3">
      <c r="B2463" s="412" t="s">
        <v>2700</v>
      </c>
      <c r="C2463" s="1110">
        <v>52.464483999999999</v>
      </c>
    </row>
    <row r="2464" spans="2:3">
      <c r="B2464" s="412" t="s">
        <v>2701</v>
      </c>
      <c r="C2464" s="1110">
        <v>51.124318281543268</v>
      </c>
    </row>
    <row r="2465" spans="2:3">
      <c r="B2465" s="412" t="s">
        <v>2702</v>
      </c>
      <c r="C2465" s="1110">
        <v>52.464483999999999</v>
      </c>
    </row>
    <row r="2466" spans="2:3">
      <c r="B2466" s="412" t="s">
        <v>2703</v>
      </c>
      <c r="C2466" s="1110">
        <v>52.454171724271845</v>
      </c>
    </row>
    <row r="2467" spans="2:3">
      <c r="B2467" s="412" t="s">
        <v>2704</v>
      </c>
      <c r="C2467" s="1110">
        <v>41.520972</v>
      </c>
    </row>
    <row r="2468" spans="2:3">
      <c r="B2468" s="412" t="s">
        <v>2705</v>
      </c>
      <c r="C2468" s="1110">
        <v>41.534532733581159</v>
      </c>
    </row>
    <row r="2469" spans="2:3">
      <c r="B2469" s="412" t="s">
        <v>2706</v>
      </c>
      <c r="C2469" s="1110">
        <v>41.520972</v>
      </c>
    </row>
    <row r="2470" spans="2:3">
      <c r="B2470" s="412" t="s">
        <v>2707</v>
      </c>
      <c r="C2470" s="1110">
        <v>41.520972</v>
      </c>
    </row>
    <row r="2471" spans="2:3">
      <c r="B2471" s="412" t="s">
        <v>2708</v>
      </c>
      <c r="C2471" s="1110">
        <v>41.520972</v>
      </c>
    </row>
    <row r="2472" spans="2:3">
      <c r="B2472" s="412" t="s">
        <v>2709</v>
      </c>
      <c r="C2472" s="1110">
        <v>48.277095163987141</v>
      </c>
    </row>
    <row r="2473" spans="2:3">
      <c r="B2473" s="412" t="s">
        <v>2710</v>
      </c>
      <c r="C2473" s="1110">
        <v>44.163341490628447</v>
      </c>
    </row>
    <row r="2474" spans="2:3">
      <c r="B2474" s="412" t="s">
        <v>2711</v>
      </c>
      <c r="C2474" s="1110">
        <v>48.143080221183801</v>
      </c>
    </row>
    <row r="2475" spans="2:3">
      <c r="B2475" s="412" t="s">
        <v>2712</v>
      </c>
      <c r="C2475" s="1110">
        <v>51.337946000000002</v>
      </c>
    </row>
    <row r="2476" spans="2:3">
      <c r="B2476" s="412" t="s">
        <v>2713</v>
      </c>
      <c r="C2476" s="1110">
        <v>52.437171892588609</v>
      </c>
    </row>
    <row r="2477" spans="2:3">
      <c r="B2477" s="412" t="s">
        <v>2714</v>
      </c>
      <c r="C2477" s="1110">
        <v>52.464483999999999</v>
      </c>
    </row>
    <row r="2478" spans="2:3">
      <c r="B2478" s="412" t="s">
        <v>2715</v>
      </c>
      <c r="C2478" s="1110">
        <v>41.520972</v>
      </c>
    </row>
    <row r="2479" spans="2:3">
      <c r="B2479" s="412" t="s">
        <v>2716</v>
      </c>
      <c r="C2479" s="1110">
        <v>28.324383999999998</v>
      </c>
    </row>
    <row r="2480" spans="2:3">
      <c r="B2480" s="412" t="s">
        <v>2717</v>
      </c>
      <c r="C2480" s="1110">
        <v>28.324383999999998</v>
      </c>
    </row>
    <row r="2481" spans="2:3">
      <c r="B2481" s="412" t="s">
        <v>2718</v>
      </c>
      <c r="C2481" s="1110">
        <v>31.420888973821988</v>
      </c>
    </row>
    <row r="2482" spans="2:3">
      <c r="B2482" s="412" t="s">
        <v>2719</v>
      </c>
      <c r="C2482" s="1110">
        <v>28.324383999999998</v>
      </c>
    </row>
    <row r="2483" spans="2:3">
      <c r="B2483" s="412" t="s">
        <v>2720</v>
      </c>
      <c r="C2483" s="1110">
        <v>30.637873709779182</v>
      </c>
    </row>
    <row r="2484" spans="2:3">
      <c r="B2484" s="412" t="s">
        <v>2721</v>
      </c>
      <c r="C2484" s="1110">
        <v>28.723663291139239</v>
      </c>
    </row>
    <row r="2485" spans="2:3">
      <c r="B2485" s="412" t="s">
        <v>2722</v>
      </c>
      <c r="C2485" s="1110">
        <v>51.981681999999999</v>
      </c>
    </row>
    <row r="2486" spans="2:3">
      <c r="B2486" s="412" t="s">
        <v>2723</v>
      </c>
      <c r="C2486" s="1110">
        <v>51.981681999999999</v>
      </c>
    </row>
    <row r="2487" spans="2:3">
      <c r="B2487" s="412" t="s">
        <v>2724</v>
      </c>
      <c r="C2487" s="1110">
        <v>51.981681999999999</v>
      </c>
    </row>
    <row r="2488" spans="2:3">
      <c r="B2488" s="412" t="s">
        <v>2725</v>
      </c>
      <c r="C2488" s="1110">
        <v>51.981681999999999</v>
      </c>
    </row>
    <row r="2489" spans="2:3">
      <c r="B2489" s="412" t="s">
        <v>2726</v>
      </c>
      <c r="C2489" s="1110">
        <v>51.981681999999999</v>
      </c>
    </row>
    <row r="2490" spans="2:3">
      <c r="B2490" s="412" t="s">
        <v>2727</v>
      </c>
      <c r="C2490" s="1110">
        <v>51.981681999999999</v>
      </c>
    </row>
    <row r="2491" spans="2:3">
      <c r="B2491" s="412" t="s">
        <v>2728</v>
      </c>
      <c r="C2491" s="1110">
        <v>51.981681999999999</v>
      </c>
    </row>
    <row r="2492" spans="2:3">
      <c r="B2492" s="412" t="s">
        <v>2729</v>
      </c>
      <c r="C2492" s="1110">
        <v>51.981681999999999</v>
      </c>
    </row>
    <row r="2493" spans="2:3">
      <c r="B2493" s="412" t="s">
        <v>2730</v>
      </c>
      <c r="C2493" s="1110">
        <v>51.981681999999999</v>
      </c>
    </row>
    <row r="2494" spans="2:3">
      <c r="B2494" s="412" t="s">
        <v>2731</v>
      </c>
      <c r="C2494" s="1110">
        <v>51.981681999999999</v>
      </c>
    </row>
    <row r="2495" spans="2:3">
      <c r="B2495" s="412" t="s">
        <v>2732</v>
      </c>
      <c r="C2495" s="1110">
        <v>51.981681999999999</v>
      </c>
    </row>
    <row r="2496" spans="2:3">
      <c r="B2496" s="412" t="s">
        <v>2733</v>
      </c>
      <c r="C2496" s="1110">
        <v>51.981681999999999</v>
      </c>
    </row>
    <row r="2497" spans="2:3">
      <c r="B2497" s="412" t="s">
        <v>2734</v>
      </c>
      <c r="C2497" s="1110">
        <v>51.981681999999999</v>
      </c>
    </row>
    <row r="2498" spans="2:3">
      <c r="B2498" s="412" t="s">
        <v>2735</v>
      </c>
      <c r="C2498" s="1110">
        <v>51.981681999999999</v>
      </c>
    </row>
    <row r="2499" spans="2:3">
      <c r="B2499" s="412" t="s">
        <v>2736</v>
      </c>
      <c r="C2499" s="1110">
        <v>51.981681999999999</v>
      </c>
    </row>
    <row r="2500" spans="2:3">
      <c r="B2500" s="412" t="s">
        <v>2737</v>
      </c>
      <c r="C2500" s="1110">
        <v>51.982807412587412</v>
      </c>
    </row>
    <row r="2501" spans="2:3">
      <c r="B2501" s="412" t="s">
        <v>2738</v>
      </c>
      <c r="C2501" s="1110">
        <v>51.981681999999999</v>
      </c>
    </row>
    <row r="2502" spans="2:3">
      <c r="B2502" s="412" t="s">
        <v>2739</v>
      </c>
      <c r="C2502" s="1110">
        <v>51.981681999999999</v>
      </c>
    </row>
    <row r="2503" spans="2:3">
      <c r="B2503" s="412" t="s">
        <v>2740</v>
      </c>
      <c r="C2503" s="1110">
        <v>51.981681999999999</v>
      </c>
    </row>
    <row r="2504" spans="2:3">
      <c r="B2504" s="412" t="s">
        <v>2741</v>
      </c>
      <c r="C2504" s="1110">
        <v>52.464483999999999</v>
      </c>
    </row>
    <row r="2505" spans="2:3">
      <c r="B2505" s="412" t="s">
        <v>2742</v>
      </c>
      <c r="C2505" s="1110">
        <v>51.981681999999999</v>
      </c>
    </row>
    <row r="2506" spans="2:3">
      <c r="B2506" s="412" t="s">
        <v>2743</v>
      </c>
      <c r="C2506" s="1110">
        <v>52.062596393963453</v>
      </c>
    </row>
    <row r="2507" spans="2:3">
      <c r="B2507" s="412" t="s">
        <v>2744</v>
      </c>
      <c r="C2507" s="1110">
        <v>52.464483999999999</v>
      </c>
    </row>
    <row r="2508" spans="2:3">
      <c r="B2508" s="412" t="s">
        <v>2745</v>
      </c>
      <c r="C2508" s="1110">
        <v>52.464483999999999</v>
      </c>
    </row>
    <row r="2509" spans="2:3">
      <c r="B2509" s="412" t="s">
        <v>2746</v>
      </c>
      <c r="C2509" s="1110">
        <v>52.459149171270717</v>
      </c>
    </row>
    <row r="2510" spans="2:3">
      <c r="B2510" s="412" t="s">
        <v>2747</v>
      </c>
      <c r="C2510" s="1110">
        <v>52.655632262645916</v>
      </c>
    </row>
    <row r="2511" spans="2:3">
      <c r="B2511" s="412" t="s">
        <v>2748</v>
      </c>
      <c r="C2511" s="1110">
        <v>52.478965327674025</v>
      </c>
    </row>
    <row r="2512" spans="2:3">
      <c r="B2512" s="412" t="s">
        <v>2749</v>
      </c>
      <c r="C2512" s="1110">
        <v>54.878493999999996</v>
      </c>
    </row>
    <row r="2513" spans="2:3">
      <c r="B2513" s="412" t="s">
        <v>2750</v>
      </c>
      <c r="C2513" s="1110">
        <v>55.683163999999998</v>
      </c>
    </row>
    <row r="2514" spans="2:3">
      <c r="B2514" s="412" t="s">
        <v>2751</v>
      </c>
      <c r="C2514" s="1110">
        <v>52.388438263736255</v>
      </c>
    </row>
    <row r="2515" spans="2:3">
      <c r="B2515" s="412" t="s">
        <v>2752</v>
      </c>
      <c r="C2515" s="1110">
        <v>47.475529999999999</v>
      </c>
    </row>
    <row r="2516" spans="2:3">
      <c r="B2516" s="412" t="s">
        <v>2753</v>
      </c>
      <c r="C2516" s="1110">
        <v>47.475529999999999</v>
      </c>
    </row>
    <row r="2517" spans="2:3">
      <c r="B2517" s="412" t="s">
        <v>2754</v>
      </c>
      <c r="C2517" s="1110">
        <v>47.475529999999999</v>
      </c>
    </row>
    <row r="2518" spans="2:3">
      <c r="B2518" s="412" t="s">
        <v>2755</v>
      </c>
      <c r="C2518" s="1110">
        <v>47.475529999999999</v>
      </c>
    </row>
    <row r="2519" spans="2:3">
      <c r="B2519" s="412" t="s">
        <v>2756</v>
      </c>
      <c r="C2519" s="1110">
        <v>47.475529999999999</v>
      </c>
    </row>
    <row r="2520" spans="2:3">
      <c r="B2520" s="412" t="s">
        <v>2757</v>
      </c>
      <c r="C2520" s="1110">
        <v>47.467373500974659</v>
      </c>
    </row>
    <row r="2521" spans="2:3">
      <c r="B2521" s="412" t="s">
        <v>2758</v>
      </c>
      <c r="C2521" s="1110">
        <v>44.602054530779753</v>
      </c>
    </row>
    <row r="2522" spans="2:3">
      <c r="B2522" s="412" t="s">
        <v>2759</v>
      </c>
      <c r="C2522" s="1110">
        <v>54.531486014201185</v>
      </c>
    </row>
    <row r="2523" spans="2:3">
      <c r="B2523" s="412" t="s">
        <v>2760</v>
      </c>
      <c r="C2523" s="1110">
        <v>54.556626000000001</v>
      </c>
    </row>
    <row r="2524" spans="2:3">
      <c r="B2524" s="412" t="s">
        <v>2761</v>
      </c>
      <c r="C2524" s="1110">
        <v>31.221195999999999</v>
      </c>
    </row>
    <row r="2525" spans="2:3">
      <c r="B2525" s="412" t="s">
        <v>2762</v>
      </c>
      <c r="C2525" s="1110">
        <v>31.221195999999999</v>
      </c>
    </row>
    <row r="2526" spans="2:3">
      <c r="B2526" s="412" t="s">
        <v>2763</v>
      </c>
      <c r="C2526" s="1110">
        <v>49.889539999999997</v>
      </c>
    </row>
    <row r="2527" spans="2:3">
      <c r="B2527" s="412" t="s">
        <v>2764</v>
      </c>
      <c r="C2527" s="1110">
        <v>49.889539999999997</v>
      </c>
    </row>
    <row r="2528" spans="2:3">
      <c r="B2528" s="412" t="s">
        <v>2765</v>
      </c>
      <c r="C2528" s="1110">
        <v>49.889539999999997</v>
      </c>
    </row>
    <row r="2529" spans="2:3">
      <c r="B2529" s="412" t="s">
        <v>2766</v>
      </c>
      <c r="C2529" s="1110">
        <v>49.889539999999997</v>
      </c>
    </row>
    <row r="2530" spans="2:3">
      <c r="B2530" s="412" t="s">
        <v>2767</v>
      </c>
      <c r="C2530" s="1110">
        <v>49.889539999999997</v>
      </c>
    </row>
    <row r="2531" spans="2:3">
      <c r="B2531" s="412" t="s">
        <v>2768</v>
      </c>
      <c r="C2531" s="1110">
        <v>49.958155271317828</v>
      </c>
    </row>
    <row r="2532" spans="2:3">
      <c r="B2532" s="412" t="s">
        <v>2769</v>
      </c>
      <c r="C2532" s="1110">
        <v>53.880958650793644</v>
      </c>
    </row>
    <row r="2533" spans="2:3">
      <c r="B2533" s="412" t="s">
        <v>2770</v>
      </c>
      <c r="C2533" s="1110">
        <v>31.460533743589746</v>
      </c>
    </row>
    <row r="2534" spans="2:3">
      <c r="B2534" s="412" t="s">
        <v>2771</v>
      </c>
      <c r="C2534" s="1110">
        <v>31.221195999999999</v>
      </c>
    </row>
    <row r="2535" spans="2:3">
      <c r="B2535" s="412" t="s">
        <v>2772</v>
      </c>
      <c r="C2535" s="1110">
        <v>37.433571344481607</v>
      </c>
    </row>
    <row r="2536" spans="2:3">
      <c r="B2536" s="412" t="s">
        <v>2773</v>
      </c>
      <c r="C2536" s="1110">
        <v>49.889539999999997</v>
      </c>
    </row>
    <row r="2537" spans="2:3">
      <c r="B2537" s="412" t="s">
        <v>2774</v>
      </c>
      <c r="C2537" s="1110">
        <v>49.889539999999997</v>
      </c>
    </row>
    <row r="2538" spans="2:3">
      <c r="B2538" s="412" t="s">
        <v>2775</v>
      </c>
      <c r="C2538" s="1110">
        <v>49.889539999999997</v>
      </c>
    </row>
    <row r="2539" spans="2:3">
      <c r="B2539" s="412" t="s">
        <v>2776</v>
      </c>
      <c r="C2539" s="1110">
        <v>49.889539999999997</v>
      </c>
    </row>
    <row r="2540" spans="2:3">
      <c r="B2540" s="412" t="s">
        <v>2777</v>
      </c>
      <c r="C2540" s="1110">
        <v>49.889539999999997</v>
      </c>
    </row>
    <row r="2541" spans="2:3">
      <c r="B2541" s="412" t="s">
        <v>2778</v>
      </c>
      <c r="C2541" s="1110">
        <v>31.80183252403393</v>
      </c>
    </row>
    <row r="2542" spans="2:3">
      <c r="B2542" s="412" t="s">
        <v>2779</v>
      </c>
      <c r="C2542" s="1110">
        <v>31.221195999999999</v>
      </c>
    </row>
    <row r="2543" spans="2:3">
      <c r="B2543" s="412" t="s">
        <v>2780</v>
      </c>
      <c r="C2543" s="1110">
        <v>31.060262000000002</v>
      </c>
    </row>
    <row r="2544" spans="2:3">
      <c r="B2544" s="412" t="s">
        <v>2781</v>
      </c>
      <c r="C2544" s="1110">
        <v>46.348992000000003</v>
      </c>
    </row>
    <row r="2545" spans="2:3">
      <c r="B2545" s="412" t="s">
        <v>2782</v>
      </c>
      <c r="C2545" s="1110">
        <v>46.217192603448282</v>
      </c>
    </row>
    <row r="2546" spans="2:3">
      <c r="B2546" s="412" t="s">
        <v>2783</v>
      </c>
      <c r="C2546" s="1110">
        <v>43.569222909090918</v>
      </c>
    </row>
    <row r="2547" spans="2:3">
      <c r="B2547" s="412" t="s">
        <v>2784</v>
      </c>
      <c r="C2547" s="1110">
        <v>46.348992000000003</v>
      </c>
    </row>
    <row r="2548" spans="2:3">
      <c r="B2548" s="412" t="s">
        <v>2785</v>
      </c>
      <c r="C2548" s="1110">
        <v>46.361538578710643</v>
      </c>
    </row>
    <row r="2549" spans="2:3">
      <c r="B2549" s="412" t="s">
        <v>2786</v>
      </c>
      <c r="C2549" s="1110">
        <v>46.348992000000003</v>
      </c>
    </row>
    <row r="2550" spans="2:3">
      <c r="B2550" s="412" t="s">
        <v>2787</v>
      </c>
      <c r="C2550" s="1110">
        <v>46.348992000000003</v>
      </c>
    </row>
    <row r="2551" spans="2:3">
      <c r="B2551" s="412" t="s">
        <v>2788</v>
      </c>
      <c r="C2551" s="1110">
        <v>46.348992000000003</v>
      </c>
    </row>
    <row r="2552" spans="2:3">
      <c r="B2552" s="412" t="s">
        <v>2789</v>
      </c>
      <c r="C2552" s="1110">
        <v>46.348992000000003</v>
      </c>
    </row>
    <row r="2553" spans="2:3">
      <c r="B2553" s="412" t="s">
        <v>2790</v>
      </c>
      <c r="C2553" s="1110">
        <v>46.377586195899774</v>
      </c>
    </row>
    <row r="2554" spans="2:3">
      <c r="B2554" s="412" t="s">
        <v>2791</v>
      </c>
      <c r="C2554" s="1110">
        <v>31.483828398416886</v>
      </c>
    </row>
    <row r="2555" spans="2:3">
      <c r="B2555" s="412" t="s">
        <v>2792</v>
      </c>
      <c r="C2555" s="1110">
        <v>46.348992000000003</v>
      </c>
    </row>
    <row r="2556" spans="2:3">
      <c r="B2556" s="412" t="s">
        <v>2793</v>
      </c>
      <c r="C2556" s="1110">
        <v>46.348992000000003</v>
      </c>
    </row>
    <row r="2557" spans="2:3">
      <c r="B2557" s="412" t="s">
        <v>2794</v>
      </c>
      <c r="C2557" s="1110">
        <v>31.963433017052381</v>
      </c>
    </row>
    <row r="2558" spans="2:3">
      <c r="B2558" s="412" t="s">
        <v>2795</v>
      </c>
      <c r="C2558" s="1110">
        <v>31.45392391017964</v>
      </c>
    </row>
    <row r="2559" spans="2:3">
      <c r="B2559" s="412" t="s">
        <v>2796</v>
      </c>
      <c r="C2559" s="1110">
        <v>46.333786898060666</v>
      </c>
    </row>
    <row r="2560" spans="2:3">
      <c r="B2560" s="412" t="s">
        <v>2797</v>
      </c>
      <c r="C2560" s="1110">
        <v>46.348992000000003</v>
      </c>
    </row>
    <row r="2561" spans="2:3">
      <c r="B2561" s="412" t="s">
        <v>2798</v>
      </c>
      <c r="C2561" s="1110">
        <v>31.892301727891162</v>
      </c>
    </row>
    <row r="2562" spans="2:3">
      <c r="B2562" s="412" t="s">
        <v>2799</v>
      </c>
      <c r="C2562" s="1110">
        <v>46.859317439880513</v>
      </c>
    </row>
    <row r="2563" spans="2:3">
      <c r="B2563" s="412" t="s">
        <v>2800</v>
      </c>
      <c r="C2563" s="1110">
        <v>45.802965928571432</v>
      </c>
    </row>
    <row r="2564" spans="2:3">
      <c r="B2564" s="412" t="s">
        <v>2801</v>
      </c>
      <c r="C2564" s="1110">
        <v>45.1444253939394</v>
      </c>
    </row>
    <row r="2565" spans="2:3">
      <c r="B2565" s="412" t="s">
        <v>2802</v>
      </c>
      <c r="C2565" s="1110">
        <v>16.085753028077754</v>
      </c>
    </row>
    <row r="2566" spans="2:3">
      <c r="B2566" s="412" t="s">
        <v>2803</v>
      </c>
      <c r="C2566" s="1110">
        <v>19.955815999999999</v>
      </c>
    </row>
    <row r="2567" spans="2:3">
      <c r="B2567" s="412" t="s">
        <v>2804</v>
      </c>
      <c r="C2567" s="1110">
        <v>19.36805704347826</v>
      </c>
    </row>
    <row r="2568" spans="2:3">
      <c r="B2568" s="412" t="s">
        <v>2805</v>
      </c>
      <c r="C2568" s="1110">
        <v>23.657298000000001</v>
      </c>
    </row>
    <row r="2569" spans="2:3">
      <c r="B2569" s="412" t="s">
        <v>2806</v>
      </c>
      <c r="C2569" s="1110">
        <v>23.657298000000001</v>
      </c>
    </row>
    <row r="2570" spans="2:3">
      <c r="B2570" s="412" t="s">
        <v>2807</v>
      </c>
      <c r="C2570" s="1110">
        <v>20.329366056910569</v>
      </c>
    </row>
    <row r="2571" spans="2:3">
      <c r="B2571" s="412" t="s">
        <v>2808</v>
      </c>
      <c r="C2571" s="1110">
        <v>19.998676632428467</v>
      </c>
    </row>
    <row r="2572" spans="2:3">
      <c r="B2572" s="412" t="s">
        <v>2809</v>
      </c>
      <c r="C2572" s="1110">
        <v>20.093711027368421</v>
      </c>
    </row>
    <row r="2573" spans="2:3">
      <c r="B2573" s="412" t="s">
        <v>2810</v>
      </c>
      <c r="C2573" s="1110">
        <v>19.982107198019801</v>
      </c>
    </row>
    <row r="2574" spans="2:3">
      <c r="B2574" s="412" t="s">
        <v>2811</v>
      </c>
      <c r="C2574" s="1110">
        <v>21.456793773333334</v>
      </c>
    </row>
    <row r="2575" spans="2:3">
      <c r="B2575" s="412" t="s">
        <v>2812</v>
      </c>
      <c r="C2575" s="1110">
        <v>14.123611931506851</v>
      </c>
    </row>
    <row r="2576" spans="2:3">
      <c r="B2576" s="412" t="s">
        <v>2813</v>
      </c>
      <c r="C2576" s="1110">
        <v>14.066692703296702</v>
      </c>
    </row>
    <row r="2577" spans="2:3">
      <c r="B2577" s="412" t="s">
        <v>2814</v>
      </c>
      <c r="C2577" s="1110">
        <v>14.251976231578949</v>
      </c>
    </row>
    <row r="2578" spans="2:3">
      <c r="B2578" s="412" t="s">
        <v>2815</v>
      </c>
      <c r="C2578" s="1110">
        <v>16.035321889807161</v>
      </c>
    </row>
    <row r="2579" spans="2:3">
      <c r="B2579" s="412" t="s">
        <v>2816</v>
      </c>
      <c r="C2579" s="1110">
        <v>14.103394500857632</v>
      </c>
    </row>
    <row r="2580" spans="2:3">
      <c r="B2580" s="412" t="s">
        <v>2817</v>
      </c>
      <c r="C2580" s="1110">
        <v>14.395896156521738</v>
      </c>
    </row>
    <row r="2581" spans="2:3">
      <c r="B2581" s="412" t="s">
        <v>2818</v>
      </c>
      <c r="C2581" s="1110">
        <v>14.95205451331719</v>
      </c>
    </row>
    <row r="2582" spans="2:3">
      <c r="B2582" s="412" t="s">
        <v>2819</v>
      </c>
      <c r="C2582" s="1110">
        <v>14.064943112299465</v>
      </c>
    </row>
    <row r="2583" spans="2:3">
      <c r="B2583" s="412" t="s">
        <v>2820</v>
      </c>
      <c r="C2583" s="1110">
        <v>17.702739999999999</v>
      </c>
    </row>
    <row r="2584" spans="2:3">
      <c r="B2584" s="412" t="s">
        <v>2821</v>
      </c>
      <c r="C2584" s="1110">
        <v>21.829918387096775</v>
      </c>
    </row>
    <row r="2585" spans="2:3">
      <c r="B2585" s="412" t="s">
        <v>2822</v>
      </c>
      <c r="C2585" s="1110">
        <v>15.982168923076921</v>
      </c>
    </row>
    <row r="2586" spans="2:3">
      <c r="B2586" s="412" t="s">
        <v>2823</v>
      </c>
      <c r="C2586" s="1110">
        <v>17.806046978165938</v>
      </c>
    </row>
    <row r="2587" spans="2:3">
      <c r="B2587" s="412" t="s">
        <v>2824</v>
      </c>
      <c r="C2587" s="1110">
        <v>15.932466</v>
      </c>
    </row>
    <row r="2588" spans="2:3">
      <c r="B2588" s="412" t="s">
        <v>2825</v>
      </c>
      <c r="C2588" s="1110">
        <v>19.312080000000002</v>
      </c>
    </row>
    <row r="2589" spans="2:3">
      <c r="B2589" s="412" t="s">
        <v>2826</v>
      </c>
      <c r="C2589" s="1110">
        <v>15.431123216589862</v>
      </c>
    </row>
    <row r="2590" spans="2:3">
      <c r="B2590" s="412" t="s">
        <v>2827</v>
      </c>
      <c r="C2590" s="1110">
        <v>18.297839926289925</v>
      </c>
    </row>
    <row r="2591" spans="2:3">
      <c r="B2591" s="412" t="s">
        <v>2828</v>
      </c>
      <c r="C2591" s="1110">
        <v>17.702739999999999</v>
      </c>
    </row>
    <row r="2592" spans="2:3">
      <c r="B2592" s="412" t="s">
        <v>2829</v>
      </c>
      <c r="C2592" s="1110">
        <v>19.853403454545454</v>
      </c>
    </row>
    <row r="2593" spans="2:3">
      <c r="B2593" s="412" t="s">
        <v>2830</v>
      </c>
      <c r="C2593" s="1110">
        <v>58.901843999999997</v>
      </c>
    </row>
    <row r="2594" spans="2:3">
      <c r="B2594" s="412" t="s">
        <v>2831</v>
      </c>
      <c r="C2594" s="1110">
        <v>52.904645194258471</v>
      </c>
    </row>
    <row r="2595" spans="2:3">
      <c r="B2595" s="412" t="s">
        <v>2832</v>
      </c>
      <c r="C2595" s="1110">
        <v>58.901843999999997</v>
      </c>
    </row>
    <row r="2596" spans="2:3">
      <c r="B2596" s="412" t="s">
        <v>2833</v>
      </c>
      <c r="C2596" s="1110">
        <v>58.901843999999997</v>
      </c>
    </row>
    <row r="2597" spans="2:3">
      <c r="B2597" s="412" t="s">
        <v>2834</v>
      </c>
      <c r="C2597" s="1110">
        <v>54.733034596595104</v>
      </c>
    </row>
    <row r="2598" spans="2:3">
      <c r="B2598" s="412" t="s">
        <v>2835</v>
      </c>
      <c r="C2598" s="1110">
        <v>47.167523722533076</v>
      </c>
    </row>
    <row r="2599" spans="2:3">
      <c r="B2599" s="412" t="s">
        <v>2836</v>
      </c>
      <c r="C2599" s="1110">
        <v>40.974708176868191</v>
      </c>
    </row>
    <row r="2600" spans="2:3">
      <c r="B2600" s="412" t="s">
        <v>2837</v>
      </c>
      <c r="C2600" s="1110">
        <v>37.089023564957849</v>
      </c>
    </row>
    <row r="2601" spans="2:3">
      <c r="B2601" s="412" t="s">
        <v>2838</v>
      </c>
      <c r="C2601" s="1110">
        <v>37.089023564957849</v>
      </c>
    </row>
    <row r="2602" spans="2:3">
      <c r="B2602" s="412" t="s">
        <v>2839</v>
      </c>
      <c r="C2602" s="1110">
        <v>37.089023564957849</v>
      </c>
    </row>
    <row r="2603" spans="2:3">
      <c r="B2603" s="412" t="s">
        <v>2840</v>
      </c>
      <c r="C2603" s="1110">
        <v>37.089023564957849</v>
      </c>
    </row>
    <row r="2604" spans="2:3">
      <c r="B2604" s="412" t="s">
        <v>2841</v>
      </c>
      <c r="C2604" s="1110">
        <v>58.901843999999997</v>
      </c>
    </row>
    <row r="2605" spans="2:3">
      <c r="B2605" s="412" t="s">
        <v>2842</v>
      </c>
      <c r="C2605" s="1110">
        <v>37.089023564957849</v>
      </c>
    </row>
    <row r="2606" spans="2:3">
      <c r="B2606" s="412" t="s">
        <v>2843</v>
      </c>
      <c r="C2606" s="1110">
        <v>37.516725926429267</v>
      </c>
    </row>
    <row r="2607" spans="2:3">
      <c r="B2607" s="412" t="s">
        <v>2844</v>
      </c>
      <c r="C2607" s="1110">
        <v>37.997891083084603</v>
      </c>
    </row>
    <row r="2608" spans="2:3">
      <c r="B2608" s="412" t="s">
        <v>2845</v>
      </c>
      <c r="C2608" s="1110">
        <v>37.089023564957849</v>
      </c>
    </row>
    <row r="2609" spans="2:3">
      <c r="B2609" s="412" t="s">
        <v>2846</v>
      </c>
      <c r="C2609" s="1110">
        <v>37.089023564957849</v>
      </c>
    </row>
    <row r="2610" spans="2:3">
      <c r="B2610" s="412" t="s">
        <v>2847</v>
      </c>
      <c r="C2610" s="1110">
        <v>37.089023564957849</v>
      </c>
    </row>
    <row r="2611" spans="2:3">
      <c r="B2611" s="412" t="s">
        <v>2848</v>
      </c>
      <c r="C2611" s="1110">
        <v>58.901843999999997</v>
      </c>
    </row>
    <row r="2612" spans="2:3">
      <c r="B2612" s="412" t="s">
        <v>2849</v>
      </c>
      <c r="C2612" s="1110">
        <v>59.025812767506999</v>
      </c>
    </row>
    <row r="2613" spans="2:3">
      <c r="B2613" s="412" t="s">
        <v>2850</v>
      </c>
      <c r="C2613" s="1110">
        <v>58.239595182237807</v>
      </c>
    </row>
    <row r="2614" spans="2:3">
      <c r="B2614" s="412" t="s">
        <v>2851</v>
      </c>
      <c r="C2614" s="1110">
        <v>58.901843999999997</v>
      </c>
    </row>
    <row r="2615" spans="2:3">
      <c r="B2615" s="412" t="s">
        <v>2852</v>
      </c>
      <c r="C2615" s="1110">
        <v>58.135746833449119</v>
      </c>
    </row>
    <row r="2616" spans="2:3">
      <c r="B2616" s="412" t="s">
        <v>2853</v>
      </c>
      <c r="C2616" s="1110">
        <v>57.958203697270463</v>
      </c>
    </row>
    <row r="2617" spans="2:3">
      <c r="B2617" s="412" t="s">
        <v>2854</v>
      </c>
      <c r="C2617" s="1110">
        <v>58.58106722889643</v>
      </c>
    </row>
    <row r="2618" spans="2:3" ht="17" thickBot="1">
      <c r="B2618" s="413" t="s">
        <v>2855</v>
      </c>
      <c r="C2618" s="655">
        <v>58.901843999999997</v>
      </c>
    </row>
    <row r="2619" spans="2:3">
      <c r="B2619" s="415" t="s">
        <v>2856</v>
      </c>
      <c r="C2619" s="1109">
        <v>49.245804</v>
      </c>
    </row>
    <row r="2620" spans="2:3">
      <c r="B2620" s="412" t="s">
        <v>2857</v>
      </c>
      <c r="C2620" s="1110">
        <v>49.245804</v>
      </c>
    </row>
    <row r="2621" spans="2:3">
      <c r="B2621" s="412" t="s">
        <v>2858</v>
      </c>
      <c r="C2621" s="1110">
        <v>49.245804</v>
      </c>
    </row>
    <row r="2622" spans="2:3">
      <c r="B2622" s="412" t="s">
        <v>2859</v>
      </c>
      <c r="C2622" s="1110">
        <v>49.245804</v>
      </c>
    </row>
    <row r="2623" spans="2:3">
      <c r="B2623" s="412" t="s">
        <v>2860</v>
      </c>
      <c r="C2623" s="1110">
        <v>49.245804</v>
      </c>
    </row>
    <row r="2624" spans="2:3">
      <c r="B2624" s="412" t="s">
        <v>2861</v>
      </c>
      <c r="C2624" s="1110">
        <v>49.245804</v>
      </c>
    </row>
    <row r="2625" spans="2:3">
      <c r="B2625" s="412" t="s">
        <v>2862</v>
      </c>
      <c r="C2625" s="1110">
        <v>49.245804</v>
      </c>
    </row>
    <row r="2626" spans="2:3">
      <c r="B2626" s="412" t="s">
        <v>2863</v>
      </c>
      <c r="C2626" s="1110">
        <v>49.245804</v>
      </c>
    </row>
    <row r="2627" spans="2:3">
      <c r="B2627" s="412" t="s">
        <v>2864</v>
      </c>
      <c r="C2627" s="1110">
        <v>49.245804</v>
      </c>
    </row>
    <row r="2628" spans="2:3">
      <c r="B2628" s="412" t="s">
        <v>2865</v>
      </c>
      <c r="C2628" s="1110">
        <v>49.358740140350868</v>
      </c>
    </row>
    <row r="2629" spans="2:3">
      <c r="B2629" s="412" t="s">
        <v>2866</v>
      </c>
      <c r="C2629" s="1110">
        <v>49.245804</v>
      </c>
    </row>
    <row r="2630" spans="2:3">
      <c r="B2630" s="412" t="s">
        <v>2867</v>
      </c>
      <c r="C2630" s="1110">
        <v>49.245804</v>
      </c>
    </row>
    <row r="2631" spans="2:3">
      <c r="B2631" s="412" t="s">
        <v>2868</v>
      </c>
      <c r="C2631" s="1110">
        <v>49.662339058823527</v>
      </c>
    </row>
    <row r="2632" spans="2:3">
      <c r="B2632" s="412" t="s">
        <v>2869</v>
      </c>
      <c r="C2632" s="1110">
        <v>49.61562064025356</v>
      </c>
    </row>
    <row r="2633" spans="2:3">
      <c r="B2633" s="412" t="s">
        <v>2870</v>
      </c>
      <c r="C2633" s="1110">
        <v>49.60061170760234</v>
      </c>
    </row>
    <row r="2634" spans="2:3">
      <c r="B2634" s="412" t="s">
        <v>2871</v>
      </c>
      <c r="C2634" s="1110">
        <v>49.245804</v>
      </c>
    </row>
    <row r="2635" spans="2:3">
      <c r="B2635" s="412" t="s">
        <v>2872</v>
      </c>
      <c r="C2635" s="1110">
        <v>49.245804</v>
      </c>
    </row>
    <row r="2636" spans="2:3">
      <c r="B2636" s="412" t="s">
        <v>2873</v>
      </c>
      <c r="C2636" s="1110">
        <v>49.267179966412215</v>
      </c>
    </row>
    <row r="2637" spans="2:3">
      <c r="B2637" s="412" t="s">
        <v>2874</v>
      </c>
      <c r="C2637" s="1110">
        <v>49.256083925110133</v>
      </c>
    </row>
    <row r="2638" spans="2:3">
      <c r="B2638" s="412" t="s">
        <v>2875</v>
      </c>
      <c r="C2638" s="1110">
        <v>49.245804</v>
      </c>
    </row>
    <row r="2639" spans="2:3">
      <c r="B2639" s="412" t="s">
        <v>2876</v>
      </c>
      <c r="C2639" s="1110">
        <v>49.245804</v>
      </c>
    </row>
    <row r="2640" spans="2:3">
      <c r="B2640" s="412" t="s">
        <v>2877</v>
      </c>
      <c r="C2640" s="1110">
        <v>49.245804</v>
      </c>
    </row>
    <row r="2641" spans="2:3">
      <c r="B2641" s="412" t="s">
        <v>2878</v>
      </c>
      <c r="C2641" s="1110">
        <v>49.245804</v>
      </c>
    </row>
    <row r="2642" spans="2:3">
      <c r="B2642" s="412" t="s">
        <v>2879</v>
      </c>
      <c r="C2642" s="1110">
        <v>49.245804</v>
      </c>
    </row>
    <row r="2643" spans="2:3">
      <c r="B2643" s="412" t="s">
        <v>2880</v>
      </c>
      <c r="C2643" s="1110">
        <v>37.089023564957849</v>
      </c>
    </row>
    <row r="2644" spans="2:3">
      <c r="B2644" s="412" t="s">
        <v>2881</v>
      </c>
      <c r="C2644" s="1110">
        <v>37.089023564957849</v>
      </c>
    </row>
    <row r="2645" spans="2:3">
      <c r="B2645" s="412" t="s">
        <v>2882</v>
      </c>
      <c r="C2645" s="1110">
        <v>37.089023564957849</v>
      </c>
    </row>
    <row r="2646" spans="2:3">
      <c r="B2646" s="412" t="s">
        <v>2883</v>
      </c>
      <c r="C2646" s="1110">
        <v>45.68330998089376</v>
      </c>
    </row>
    <row r="2647" spans="2:3">
      <c r="B2647" s="412" t="s">
        <v>2884</v>
      </c>
      <c r="C2647" s="1110">
        <v>37.089023564957849</v>
      </c>
    </row>
    <row r="2648" spans="2:3">
      <c r="B2648" s="412" t="s">
        <v>2885</v>
      </c>
      <c r="C2648" s="1110">
        <v>37.171715301032229</v>
      </c>
    </row>
    <row r="2649" spans="2:3">
      <c r="B2649" s="412" t="s">
        <v>2886</v>
      </c>
      <c r="C2649" s="1110">
        <v>57.050602292475318</v>
      </c>
    </row>
    <row r="2650" spans="2:3">
      <c r="B2650" s="412" t="s">
        <v>2887</v>
      </c>
      <c r="C2650" s="1110">
        <v>37.089023564957849</v>
      </c>
    </row>
    <row r="2651" spans="2:3">
      <c r="B2651" s="412" t="s">
        <v>2888</v>
      </c>
      <c r="C2651" s="1110">
        <v>37.089023564957849</v>
      </c>
    </row>
    <row r="2652" spans="2:3">
      <c r="B2652" s="412" t="s">
        <v>2889</v>
      </c>
      <c r="C2652" s="1110">
        <v>37.089023564957849</v>
      </c>
    </row>
    <row r="2653" spans="2:3">
      <c r="B2653" s="412" t="s">
        <v>2890</v>
      </c>
      <c r="C2653" s="1110">
        <v>37.136170746327657</v>
      </c>
    </row>
    <row r="2654" spans="2:3">
      <c r="B2654" s="412" t="s">
        <v>2891</v>
      </c>
      <c r="C2654" s="1110">
        <v>37.089023564957849</v>
      </c>
    </row>
    <row r="2655" spans="2:3">
      <c r="B2655" s="412" t="s">
        <v>2892</v>
      </c>
      <c r="C2655" s="1110">
        <v>37.089023564957849</v>
      </c>
    </row>
    <row r="2656" spans="2:3">
      <c r="B2656" s="412" t="s">
        <v>2893</v>
      </c>
      <c r="C2656" s="1110">
        <v>37.089023564957849</v>
      </c>
    </row>
    <row r="2657" spans="2:3">
      <c r="B2657" s="412" t="s">
        <v>2894</v>
      </c>
      <c r="C2657" s="1110">
        <v>37.222448161578612</v>
      </c>
    </row>
    <row r="2658" spans="2:3">
      <c r="B2658" s="412" t="s">
        <v>2895</v>
      </c>
      <c r="C2658" s="1110">
        <v>64.212665999999999</v>
      </c>
    </row>
    <row r="2659" spans="2:3">
      <c r="B2659" s="412" t="s">
        <v>2896</v>
      </c>
      <c r="C2659" s="1110">
        <v>62.539966157480308</v>
      </c>
    </row>
    <row r="2660" spans="2:3">
      <c r="B2660" s="412" t="s">
        <v>2897</v>
      </c>
      <c r="C2660" s="1110">
        <v>57.487847051224939</v>
      </c>
    </row>
    <row r="2661" spans="2:3">
      <c r="B2661" s="412" t="s">
        <v>2898</v>
      </c>
      <c r="C2661" s="1110">
        <v>58.901843999999997</v>
      </c>
    </row>
    <row r="2662" spans="2:3">
      <c r="B2662" s="412" t="s">
        <v>2899</v>
      </c>
      <c r="C2662" s="1110">
        <v>58.901843999999997</v>
      </c>
    </row>
    <row r="2663" spans="2:3">
      <c r="B2663" s="412" t="s">
        <v>2900</v>
      </c>
      <c r="C2663" s="1110">
        <v>64.203036223028093</v>
      </c>
    </row>
    <row r="2664" spans="2:3">
      <c r="B2664" s="412" t="s">
        <v>2901</v>
      </c>
      <c r="C2664" s="1110">
        <v>64.212665999999999</v>
      </c>
    </row>
    <row r="2665" spans="2:3">
      <c r="B2665" s="412" t="s">
        <v>2902</v>
      </c>
      <c r="C2665" s="1110">
        <v>64.212665999999999</v>
      </c>
    </row>
    <row r="2666" spans="2:3">
      <c r="B2666" s="412" t="s">
        <v>2903</v>
      </c>
      <c r="C2666" s="1110">
        <v>64.212665999999999</v>
      </c>
    </row>
    <row r="2667" spans="2:3">
      <c r="B2667" s="412" t="s">
        <v>2904</v>
      </c>
      <c r="C2667" s="1110">
        <v>63.746804421052637</v>
      </c>
    </row>
    <row r="2668" spans="2:3">
      <c r="B2668" s="412" t="s">
        <v>2905</v>
      </c>
      <c r="C2668" s="1110">
        <v>64.212665999999999</v>
      </c>
    </row>
    <row r="2669" spans="2:3">
      <c r="B2669" s="412" t="s">
        <v>2906</v>
      </c>
      <c r="C2669" s="1110">
        <v>63.297007034482753</v>
      </c>
    </row>
    <row r="2670" spans="2:3">
      <c r="B2670" s="412" t="s">
        <v>2907</v>
      </c>
      <c r="C2670" s="1110">
        <v>56.101560116349049</v>
      </c>
    </row>
    <row r="2671" spans="2:3">
      <c r="B2671" s="412" t="s">
        <v>2908</v>
      </c>
      <c r="C2671" s="1110">
        <v>47.153661999999997</v>
      </c>
    </row>
    <row r="2672" spans="2:3">
      <c r="B2672" s="412" t="s">
        <v>2909</v>
      </c>
      <c r="C2672" s="1110">
        <v>47.153661999999997</v>
      </c>
    </row>
    <row r="2673" spans="2:3">
      <c r="B2673" s="412" t="s">
        <v>2910</v>
      </c>
      <c r="C2673" s="1110">
        <v>47.153661999999997</v>
      </c>
    </row>
    <row r="2674" spans="2:3">
      <c r="B2674" s="412" t="s">
        <v>2911</v>
      </c>
      <c r="C2674" s="1110">
        <v>47.153661999999997</v>
      </c>
    </row>
    <row r="2675" spans="2:3">
      <c r="B2675" s="412" t="s">
        <v>2912</v>
      </c>
      <c r="C2675" s="1110">
        <v>47.153661999999997</v>
      </c>
    </row>
    <row r="2676" spans="2:3">
      <c r="B2676" s="412" t="s">
        <v>2913</v>
      </c>
      <c r="C2676" s="1110">
        <v>46.447000249134938</v>
      </c>
    </row>
    <row r="2677" spans="2:3">
      <c r="B2677" s="412" t="s">
        <v>2914</v>
      </c>
      <c r="C2677" s="1110">
        <v>47.153661999999997</v>
      </c>
    </row>
    <row r="2678" spans="2:3">
      <c r="B2678" s="412" t="s">
        <v>2915</v>
      </c>
      <c r="C2678" s="1110">
        <v>38.921992402597404</v>
      </c>
    </row>
    <row r="2679" spans="2:3">
      <c r="B2679" s="412" t="s">
        <v>2916</v>
      </c>
      <c r="C2679" s="1110">
        <v>47.153661999999997</v>
      </c>
    </row>
    <row r="2680" spans="2:3">
      <c r="B2680" s="412" t="s">
        <v>2917</v>
      </c>
      <c r="C2680" s="1110">
        <v>47.153195524637674</v>
      </c>
    </row>
    <row r="2681" spans="2:3">
      <c r="B2681" s="412" t="s">
        <v>2918</v>
      </c>
      <c r="C2681" s="1110">
        <v>46.992728</v>
      </c>
    </row>
    <row r="2682" spans="2:3">
      <c r="B2682" s="412" t="s">
        <v>2919</v>
      </c>
      <c r="C2682" s="1110">
        <v>47.144366173285192</v>
      </c>
    </row>
    <row r="2683" spans="2:3">
      <c r="B2683" s="412" t="s">
        <v>2920</v>
      </c>
      <c r="C2683" s="1110">
        <v>46.992728</v>
      </c>
    </row>
    <row r="2684" spans="2:3">
      <c r="B2684" s="412" t="s">
        <v>2921</v>
      </c>
      <c r="C2684" s="1110">
        <v>46.992728</v>
      </c>
    </row>
    <row r="2685" spans="2:3">
      <c r="B2685" s="412" t="s">
        <v>2922</v>
      </c>
      <c r="C2685" s="1110">
        <v>46.992728</v>
      </c>
    </row>
    <row r="2686" spans="2:3">
      <c r="B2686" s="412" t="s">
        <v>2923</v>
      </c>
      <c r="C2686" s="1110">
        <v>47.153661999999997</v>
      </c>
    </row>
    <row r="2687" spans="2:3">
      <c r="B2687" s="412" t="s">
        <v>2924</v>
      </c>
      <c r="C2687" s="1110">
        <v>47.153661999999997</v>
      </c>
    </row>
    <row r="2688" spans="2:3">
      <c r="B2688" s="412" t="s">
        <v>2925</v>
      </c>
      <c r="C2688" s="1110">
        <v>47.153661999999997</v>
      </c>
    </row>
    <row r="2689" spans="2:3">
      <c r="B2689" s="412" t="s">
        <v>2926</v>
      </c>
      <c r="C2689" s="1110">
        <v>47.153661999999997</v>
      </c>
    </row>
    <row r="2690" spans="2:3">
      <c r="B2690" s="412" t="s">
        <v>2927</v>
      </c>
      <c r="C2690" s="1110">
        <v>47.153661999999997</v>
      </c>
    </row>
    <row r="2691" spans="2:3">
      <c r="B2691" s="412" t="s">
        <v>2928</v>
      </c>
      <c r="C2691" s="1110">
        <v>47.153661999999997</v>
      </c>
    </row>
    <row r="2692" spans="2:3">
      <c r="B2692" s="412" t="s">
        <v>2929</v>
      </c>
      <c r="C2692" s="1110">
        <v>47.153661999999997</v>
      </c>
    </row>
    <row r="2693" spans="2:3">
      <c r="B2693" s="412" t="s">
        <v>2930</v>
      </c>
      <c r="C2693" s="1110">
        <v>47.094776735346358</v>
      </c>
    </row>
    <row r="2694" spans="2:3">
      <c r="B2694" s="412" t="s">
        <v>2931</v>
      </c>
      <c r="C2694" s="1110">
        <v>47.153661999999997</v>
      </c>
    </row>
    <row r="2695" spans="2:3">
      <c r="B2695" s="412" t="s">
        <v>2932</v>
      </c>
      <c r="C2695" s="1110">
        <v>46.99392676350093</v>
      </c>
    </row>
    <row r="2696" spans="2:3">
      <c r="B2696" s="412" t="s">
        <v>2933</v>
      </c>
      <c r="C2696" s="1110">
        <v>46.992728</v>
      </c>
    </row>
    <row r="2697" spans="2:3">
      <c r="B2697" s="412" t="s">
        <v>2934</v>
      </c>
      <c r="C2697" s="1110">
        <v>46.992728</v>
      </c>
    </row>
    <row r="2698" spans="2:3">
      <c r="B2698" s="412" t="s">
        <v>2935</v>
      </c>
      <c r="C2698" s="1110">
        <v>46.992728</v>
      </c>
    </row>
    <row r="2699" spans="2:3">
      <c r="B2699" s="412" t="s">
        <v>2936</v>
      </c>
      <c r="C2699" s="1110">
        <v>46.992728</v>
      </c>
    </row>
    <row r="2700" spans="2:3">
      <c r="B2700" s="412" t="s">
        <v>2937</v>
      </c>
      <c r="C2700" s="1110">
        <v>46.992728</v>
      </c>
    </row>
    <row r="2701" spans="2:3">
      <c r="B2701" s="412" t="s">
        <v>2938</v>
      </c>
      <c r="C2701" s="1110">
        <v>46.992728</v>
      </c>
    </row>
    <row r="2702" spans="2:3">
      <c r="B2702" s="412" t="s">
        <v>2939</v>
      </c>
      <c r="C2702" s="1110">
        <v>46.992728</v>
      </c>
    </row>
    <row r="2703" spans="2:3">
      <c r="B2703" s="412" t="s">
        <v>2940</v>
      </c>
      <c r="C2703" s="1110">
        <v>46.992728</v>
      </c>
    </row>
    <row r="2704" spans="2:3">
      <c r="B2704" s="412" t="s">
        <v>2941</v>
      </c>
      <c r="C2704" s="1110">
        <v>47.153661999999997</v>
      </c>
    </row>
    <row r="2705" spans="2:3">
      <c r="B2705" s="412" t="s">
        <v>2942</v>
      </c>
      <c r="C2705" s="1110">
        <v>46.992728</v>
      </c>
    </row>
    <row r="2706" spans="2:3">
      <c r="B2706" s="412" t="s">
        <v>2943</v>
      </c>
      <c r="C2706" s="1110">
        <v>46.99830492079208</v>
      </c>
    </row>
    <row r="2707" spans="2:3">
      <c r="B2707" s="412" t="s">
        <v>2944</v>
      </c>
      <c r="C2707" s="1110">
        <v>46.992728</v>
      </c>
    </row>
    <row r="2708" spans="2:3">
      <c r="B2708" s="412" t="s">
        <v>2945</v>
      </c>
      <c r="C2708" s="1110">
        <v>46.992728</v>
      </c>
    </row>
    <row r="2709" spans="2:3">
      <c r="B2709" s="412" t="s">
        <v>2946</v>
      </c>
      <c r="C2709" s="1110">
        <v>46.878944838596482</v>
      </c>
    </row>
    <row r="2710" spans="2:3">
      <c r="B2710" s="412" t="s">
        <v>2947</v>
      </c>
      <c r="C2710" s="1110">
        <v>47.153661999999997</v>
      </c>
    </row>
    <row r="2711" spans="2:3">
      <c r="B2711" s="412" t="s">
        <v>2948</v>
      </c>
      <c r="C2711" s="1110">
        <v>38.014687367741935</v>
      </c>
    </row>
    <row r="2712" spans="2:3">
      <c r="B2712" s="412" t="s">
        <v>2949</v>
      </c>
      <c r="C2712" s="1110">
        <v>53.912889999999997</v>
      </c>
    </row>
    <row r="2713" spans="2:3">
      <c r="B2713" s="412" t="s">
        <v>2950</v>
      </c>
      <c r="C2713" s="1110">
        <v>53.912889999999997</v>
      </c>
    </row>
    <row r="2714" spans="2:3">
      <c r="B2714" s="412" t="s">
        <v>2951</v>
      </c>
      <c r="C2714" s="1110">
        <v>53.903440138790032</v>
      </c>
    </row>
    <row r="2715" spans="2:3">
      <c r="B2715" s="412" t="s">
        <v>2952</v>
      </c>
      <c r="C2715" s="1110">
        <v>53.912889999999997</v>
      </c>
    </row>
    <row r="2716" spans="2:3">
      <c r="B2716" s="412" t="s">
        <v>2953</v>
      </c>
      <c r="C2716" s="1110">
        <v>53.912889999999997</v>
      </c>
    </row>
    <row r="2717" spans="2:3">
      <c r="B2717" s="412" t="s">
        <v>2954</v>
      </c>
      <c r="C2717" s="1110">
        <v>37.997500598070737</v>
      </c>
    </row>
    <row r="2718" spans="2:3">
      <c r="B2718" s="412" t="s">
        <v>2955</v>
      </c>
      <c r="C2718" s="1110">
        <v>39.297507856000003</v>
      </c>
    </row>
    <row r="2719" spans="2:3">
      <c r="B2719" s="412" t="s">
        <v>2956</v>
      </c>
      <c r="C2719" s="1110">
        <v>37.980423999999999</v>
      </c>
    </row>
    <row r="2720" spans="2:3">
      <c r="B2720" s="412" t="s">
        <v>2957</v>
      </c>
      <c r="C2720" s="1110">
        <v>38.561547379939213</v>
      </c>
    </row>
    <row r="2721" spans="2:3">
      <c r="B2721" s="412" t="s">
        <v>2958</v>
      </c>
      <c r="C2721" s="1110">
        <v>53.912889999999997</v>
      </c>
    </row>
    <row r="2722" spans="2:3">
      <c r="B2722" s="412" t="s">
        <v>2959</v>
      </c>
      <c r="C2722" s="1110">
        <v>53.912889999999997</v>
      </c>
    </row>
    <row r="2723" spans="2:3">
      <c r="B2723" s="412" t="s">
        <v>2960</v>
      </c>
      <c r="C2723" s="1110">
        <v>53.912889999999997</v>
      </c>
    </row>
    <row r="2724" spans="2:3">
      <c r="B2724" s="412" t="s">
        <v>2961</v>
      </c>
      <c r="C2724" s="1110">
        <v>53.912889999999997</v>
      </c>
    </row>
    <row r="2725" spans="2:3">
      <c r="B2725" s="412" t="s">
        <v>2962</v>
      </c>
      <c r="C2725" s="1110">
        <v>51.659813999999997</v>
      </c>
    </row>
    <row r="2726" spans="2:3">
      <c r="B2726" s="412" t="s">
        <v>2963</v>
      </c>
      <c r="C2726" s="1110">
        <v>51.659813999999997</v>
      </c>
    </row>
    <row r="2727" spans="2:3">
      <c r="B2727" s="412" t="s">
        <v>2964</v>
      </c>
      <c r="C2727" s="1110">
        <v>51.659813999999997</v>
      </c>
    </row>
    <row r="2728" spans="2:3">
      <c r="B2728" s="412" t="s">
        <v>2965</v>
      </c>
      <c r="C2728" s="1110">
        <v>51.659813999999997</v>
      </c>
    </row>
    <row r="2729" spans="2:3">
      <c r="B2729" s="412" t="s">
        <v>2966</v>
      </c>
      <c r="C2729" s="1110">
        <v>51.659813999999997</v>
      </c>
    </row>
    <row r="2730" spans="2:3">
      <c r="B2730" s="412" t="s">
        <v>2967</v>
      </c>
      <c r="C2730" s="1110">
        <v>51.659813999999997</v>
      </c>
    </row>
    <row r="2731" spans="2:3">
      <c r="B2731" s="412" t="s">
        <v>2968</v>
      </c>
      <c r="C2731" s="1110">
        <v>51.659813999999997</v>
      </c>
    </row>
    <row r="2732" spans="2:3">
      <c r="B2732" s="412" t="s">
        <v>2969</v>
      </c>
      <c r="C2732" s="1110">
        <v>51.659813999999997</v>
      </c>
    </row>
    <row r="2733" spans="2:3">
      <c r="B2733" s="412" t="s">
        <v>2970</v>
      </c>
      <c r="C2733" s="1110">
        <v>51.659813999999997</v>
      </c>
    </row>
    <row r="2734" spans="2:3">
      <c r="B2734" s="412" t="s">
        <v>2971</v>
      </c>
      <c r="C2734" s="1110">
        <v>51.659813999999997</v>
      </c>
    </row>
    <row r="2735" spans="2:3">
      <c r="B2735" s="412" t="s">
        <v>2972</v>
      </c>
      <c r="C2735" s="1110">
        <v>51.659813999999997</v>
      </c>
    </row>
    <row r="2736" spans="2:3">
      <c r="B2736" s="412" t="s">
        <v>2973</v>
      </c>
      <c r="C2736" s="1110">
        <v>51.659813999999997</v>
      </c>
    </row>
    <row r="2737" spans="2:3">
      <c r="B2737" s="412" t="s">
        <v>2974</v>
      </c>
      <c r="C2737" s="1110">
        <v>51.659813999999997</v>
      </c>
    </row>
    <row r="2738" spans="2:3">
      <c r="B2738" s="412" t="s">
        <v>2975</v>
      </c>
      <c r="C2738" s="1110">
        <v>52.056561013888889</v>
      </c>
    </row>
    <row r="2739" spans="2:3">
      <c r="B2739" s="412" t="s">
        <v>2976</v>
      </c>
      <c r="C2739" s="1110">
        <v>52.062148999999998</v>
      </c>
    </row>
    <row r="2740" spans="2:3">
      <c r="B2740" s="412" t="s">
        <v>2977</v>
      </c>
      <c r="C2740" s="1110">
        <v>52.062148999999998</v>
      </c>
    </row>
    <row r="2741" spans="2:3">
      <c r="B2741" s="412" t="s">
        <v>2978</v>
      </c>
      <c r="C2741" s="1110">
        <v>52.062148999999998</v>
      </c>
    </row>
    <row r="2742" spans="2:3">
      <c r="B2742" s="412" t="s">
        <v>2979</v>
      </c>
      <c r="C2742" s="1110">
        <v>52.062148999999998</v>
      </c>
    </row>
    <row r="2743" spans="2:3">
      <c r="B2743" s="412" t="s">
        <v>2980</v>
      </c>
      <c r="C2743" s="1110">
        <v>51.659813999999997</v>
      </c>
    </row>
    <row r="2744" spans="2:3">
      <c r="B2744" s="412" t="s">
        <v>2981</v>
      </c>
      <c r="C2744" s="1110">
        <v>51.659813999999997</v>
      </c>
    </row>
    <row r="2745" spans="2:3">
      <c r="B2745" s="412" t="s">
        <v>2982</v>
      </c>
      <c r="C2745" s="1110">
        <v>51.659813999999997</v>
      </c>
    </row>
    <row r="2746" spans="2:3">
      <c r="B2746" s="412" t="s">
        <v>2983</v>
      </c>
      <c r="C2746" s="1110">
        <v>51.659813999999997</v>
      </c>
    </row>
    <row r="2747" spans="2:3">
      <c r="B2747" s="412" t="s">
        <v>2984</v>
      </c>
      <c r="C2747" s="1110">
        <v>51.659813999999997</v>
      </c>
    </row>
    <row r="2748" spans="2:3">
      <c r="B2748" s="412" t="s">
        <v>2985</v>
      </c>
      <c r="C2748" s="1110">
        <v>51.659813999999997</v>
      </c>
    </row>
    <row r="2749" spans="2:3">
      <c r="B2749" s="412" t="s">
        <v>2986</v>
      </c>
      <c r="C2749" s="1110">
        <v>51.659813999999997</v>
      </c>
    </row>
    <row r="2750" spans="2:3">
      <c r="B2750" s="412" t="s">
        <v>2987</v>
      </c>
      <c r="C2750" s="1110">
        <v>51.659813999999997</v>
      </c>
    </row>
    <row r="2751" spans="2:3">
      <c r="B2751" s="412" t="s">
        <v>2988</v>
      </c>
      <c r="C2751" s="1110">
        <v>51.659813999999997</v>
      </c>
    </row>
    <row r="2752" spans="2:3">
      <c r="B2752" s="412" t="s">
        <v>2989</v>
      </c>
      <c r="C2752" s="1110">
        <v>45.705255999999999</v>
      </c>
    </row>
    <row r="2753" spans="2:3">
      <c r="B2753" s="412" t="s">
        <v>2990</v>
      </c>
      <c r="C2753" s="1110">
        <v>59.062778000000002</v>
      </c>
    </row>
    <row r="2754" spans="2:3">
      <c r="B2754" s="412" t="s">
        <v>2991</v>
      </c>
      <c r="C2754" s="1110">
        <v>59.062778000000002</v>
      </c>
    </row>
    <row r="2755" spans="2:3">
      <c r="B2755" s="412" t="s">
        <v>2992</v>
      </c>
      <c r="C2755" s="1110">
        <v>59.062778000000002</v>
      </c>
    </row>
    <row r="2756" spans="2:3">
      <c r="B2756" s="412" t="s">
        <v>2993</v>
      </c>
      <c r="C2756" s="1110">
        <v>57.814507871794866</v>
      </c>
    </row>
    <row r="2757" spans="2:3">
      <c r="B2757" s="412" t="s">
        <v>2994</v>
      </c>
      <c r="C2757" s="1110">
        <v>59.062778000000002</v>
      </c>
    </row>
    <row r="2758" spans="2:3">
      <c r="B2758" s="412" t="s">
        <v>2995</v>
      </c>
      <c r="C2758" s="1110">
        <v>44.308764193548384</v>
      </c>
    </row>
    <row r="2759" spans="2:3">
      <c r="B2759" s="412" t="s">
        <v>2996</v>
      </c>
      <c r="C2759" s="1110">
        <v>40.394433999999997</v>
      </c>
    </row>
    <row r="2760" spans="2:3">
      <c r="B2760" s="412" t="s">
        <v>2997</v>
      </c>
      <c r="C2760" s="1110">
        <v>40.425370827184459</v>
      </c>
    </row>
    <row r="2761" spans="2:3">
      <c r="B2761" s="412" t="s">
        <v>2998</v>
      </c>
      <c r="C2761" s="1110">
        <v>40.394433999999997</v>
      </c>
    </row>
    <row r="2762" spans="2:3">
      <c r="B2762" s="412" t="s">
        <v>2999</v>
      </c>
      <c r="C2762" s="1110">
        <v>40.394433999999997</v>
      </c>
    </row>
    <row r="2763" spans="2:3">
      <c r="B2763" s="412" t="s">
        <v>3000</v>
      </c>
      <c r="C2763" s="1110">
        <v>44.25685</v>
      </c>
    </row>
    <row r="2764" spans="2:3">
      <c r="B2764" s="412" t="s">
        <v>3001</v>
      </c>
      <c r="C2764" s="1110">
        <v>40.394433999999997</v>
      </c>
    </row>
    <row r="2765" spans="2:3">
      <c r="B2765" s="412" t="s">
        <v>3002</v>
      </c>
      <c r="C2765" s="1110">
        <v>48.978722042553194</v>
      </c>
    </row>
    <row r="2766" spans="2:3">
      <c r="B2766" s="412" t="s">
        <v>3003</v>
      </c>
      <c r="C2766" s="1110">
        <v>42.841971916666665</v>
      </c>
    </row>
    <row r="2767" spans="2:3">
      <c r="B2767" s="412" t="s">
        <v>3004</v>
      </c>
      <c r="C2767" s="1110">
        <v>40.411922300129362</v>
      </c>
    </row>
    <row r="2768" spans="2:3">
      <c r="B2768" s="412" t="s">
        <v>3005</v>
      </c>
      <c r="C2768" s="1110">
        <v>53.912889999999997</v>
      </c>
    </row>
    <row r="2769" spans="2:3">
      <c r="B2769" s="412" t="s">
        <v>3006</v>
      </c>
      <c r="C2769" s="1110">
        <v>53.912889999999997</v>
      </c>
    </row>
    <row r="2770" spans="2:3">
      <c r="B2770" s="412" t="s">
        <v>3007</v>
      </c>
      <c r="C2770" s="1110">
        <v>53.912889999999997</v>
      </c>
    </row>
    <row r="2771" spans="2:3">
      <c r="B2771" s="412" t="s">
        <v>3008</v>
      </c>
      <c r="C2771" s="1110">
        <v>54.314134661246619</v>
      </c>
    </row>
    <row r="2772" spans="2:3">
      <c r="B2772" s="412" t="s">
        <v>3009</v>
      </c>
      <c r="C2772" s="1110">
        <v>54.556626000000001</v>
      </c>
    </row>
    <row r="2773" spans="2:3">
      <c r="B2773" s="412" t="s">
        <v>3010</v>
      </c>
      <c r="C2773" s="1110">
        <v>54.556626000000001</v>
      </c>
    </row>
    <row r="2774" spans="2:3">
      <c r="B2774" s="412" t="s">
        <v>3011</v>
      </c>
      <c r="C2774" s="1110">
        <v>45.720383431483576</v>
      </c>
    </row>
    <row r="2775" spans="2:3">
      <c r="B2775" s="412" t="s">
        <v>3012</v>
      </c>
      <c r="C2775" s="1110">
        <v>45.705255999999999</v>
      </c>
    </row>
    <row r="2776" spans="2:3">
      <c r="B2776" s="412" t="s">
        <v>3013</v>
      </c>
      <c r="C2776" s="1110">
        <v>45.705255999999999</v>
      </c>
    </row>
    <row r="2777" spans="2:3">
      <c r="B2777" s="412" t="s">
        <v>3014</v>
      </c>
      <c r="C2777" s="1110">
        <v>59.062778000000002</v>
      </c>
    </row>
    <row r="2778" spans="2:3">
      <c r="B2778" s="412" t="s">
        <v>3015</v>
      </c>
      <c r="C2778" s="1110">
        <v>51.020987850847462</v>
      </c>
    </row>
    <row r="2779" spans="2:3">
      <c r="B2779" s="412" t="s">
        <v>3016</v>
      </c>
      <c r="C2779" s="1110">
        <v>45.842028327077749</v>
      </c>
    </row>
    <row r="2780" spans="2:3">
      <c r="B2780" s="412" t="s">
        <v>3017</v>
      </c>
      <c r="C2780" s="1110">
        <v>55.081669456561926</v>
      </c>
    </row>
    <row r="2781" spans="2:3">
      <c r="B2781" s="412" t="s">
        <v>3018</v>
      </c>
      <c r="C2781" s="1110">
        <v>23.826030563876653</v>
      </c>
    </row>
    <row r="2782" spans="2:3">
      <c r="B2782" s="412" t="s">
        <v>3019</v>
      </c>
      <c r="C2782" s="1110">
        <v>23.698707918128655</v>
      </c>
    </row>
    <row r="2783" spans="2:3">
      <c r="B2783" s="412" t="s">
        <v>3020</v>
      </c>
      <c r="C2783" s="1110">
        <v>23.657298000000001</v>
      </c>
    </row>
    <row r="2784" spans="2:3">
      <c r="B2784" s="412" t="s">
        <v>3021</v>
      </c>
      <c r="C2784" s="1110">
        <v>23.687278674868189</v>
      </c>
    </row>
    <row r="2785" spans="2:3">
      <c r="B2785" s="412" t="s">
        <v>3022</v>
      </c>
      <c r="C2785" s="1110">
        <v>25.852437760000004</v>
      </c>
    </row>
    <row r="2786" spans="2:3">
      <c r="B2786" s="412" t="s">
        <v>3023</v>
      </c>
      <c r="C2786" s="1110">
        <v>26.112412354978357</v>
      </c>
    </row>
    <row r="2787" spans="2:3">
      <c r="B2787" s="412" t="s">
        <v>3024</v>
      </c>
      <c r="C2787" s="1110">
        <v>40.581498406676779</v>
      </c>
    </row>
    <row r="2788" spans="2:3">
      <c r="B2788" s="412" t="s">
        <v>3025</v>
      </c>
      <c r="C2788" s="1110">
        <v>40.716301999999999</v>
      </c>
    </row>
    <row r="2789" spans="2:3">
      <c r="B2789" s="412" t="s">
        <v>3026</v>
      </c>
      <c r="C2789" s="1110">
        <v>40.716301999999999</v>
      </c>
    </row>
    <row r="2790" spans="2:3">
      <c r="B2790" s="412" t="s">
        <v>3027</v>
      </c>
      <c r="C2790" s="1110">
        <v>40.75774140871934</v>
      </c>
    </row>
    <row r="2791" spans="2:3">
      <c r="B2791" s="412" t="s">
        <v>3028</v>
      </c>
      <c r="C2791" s="1110">
        <v>41.66365575257732</v>
      </c>
    </row>
    <row r="2792" spans="2:3">
      <c r="B2792" s="412" t="s">
        <v>3029</v>
      </c>
      <c r="C2792" s="1110">
        <v>23.673624637681158</v>
      </c>
    </row>
    <row r="2793" spans="2:3">
      <c r="B2793" s="412" t="s">
        <v>3030</v>
      </c>
      <c r="C2793" s="1110">
        <v>40.716301999999999</v>
      </c>
    </row>
    <row r="2794" spans="2:3">
      <c r="B2794" s="412" t="s">
        <v>3031</v>
      </c>
      <c r="C2794" s="1110">
        <v>25.825921352074968</v>
      </c>
    </row>
    <row r="2795" spans="2:3">
      <c r="B2795" s="412" t="s">
        <v>3032</v>
      </c>
      <c r="C2795" s="1110">
        <v>25.562511909738717</v>
      </c>
    </row>
    <row r="2796" spans="2:3">
      <c r="B2796" s="412" t="s">
        <v>3033</v>
      </c>
      <c r="C2796" s="1110">
        <v>25.910374000000001</v>
      </c>
    </row>
    <row r="2797" spans="2:3">
      <c r="B2797" s="412" t="s">
        <v>3034</v>
      </c>
      <c r="C2797" s="1110">
        <v>37.87271226771653</v>
      </c>
    </row>
    <row r="2798" spans="2:3">
      <c r="B2798" s="412" t="s">
        <v>3035</v>
      </c>
      <c r="C2798" s="1110">
        <v>25.884107569948185</v>
      </c>
    </row>
    <row r="2799" spans="2:3">
      <c r="B2799" s="412" t="s">
        <v>3036</v>
      </c>
      <c r="C2799" s="1110">
        <v>25.893400492187503</v>
      </c>
    </row>
    <row r="2800" spans="2:3" ht="17" thickBot="1">
      <c r="B2800" s="413" t="s">
        <v>3037</v>
      </c>
      <c r="C2800" s="655">
        <v>23.657298000000001</v>
      </c>
    </row>
    <row r="2801" spans="2:3">
      <c r="B2801" s="415" t="s">
        <v>3038</v>
      </c>
      <c r="C2801" s="1109">
        <v>23.166884256756756</v>
      </c>
    </row>
    <row r="2802" spans="2:3">
      <c r="B2802" s="412" t="s">
        <v>3039</v>
      </c>
      <c r="C2802" s="1110">
        <v>38.141357999999997</v>
      </c>
    </row>
    <row r="2803" spans="2:3">
      <c r="B2803" s="412" t="s">
        <v>3040</v>
      </c>
      <c r="C2803" s="1110">
        <v>38.141357999999997</v>
      </c>
    </row>
    <row r="2804" spans="2:3">
      <c r="B2804" s="412" t="s">
        <v>3041</v>
      </c>
      <c r="C2804" s="1110">
        <v>23.013562</v>
      </c>
    </row>
    <row r="2805" spans="2:3">
      <c r="B2805" s="412" t="s">
        <v>3042</v>
      </c>
      <c r="C2805" s="1110">
        <v>23.71031889147287</v>
      </c>
    </row>
    <row r="2806" spans="2:3">
      <c r="B2806" s="412" t="s">
        <v>3043</v>
      </c>
      <c r="C2806" s="1110">
        <v>38.141357999999997</v>
      </c>
    </row>
    <row r="2807" spans="2:3">
      <c r="B2807" s="412" t="s">
        <v>3044</v>
      </c>
      <c r="C2807" s="1110">
        <v>38.141357999999997</v>
      </c>
    </row>
    <row r="2808" spans="2:3">
      <c r="B2808" s="412" t="s">
        <v>3045</v>
      </c>
      <c r="C2808" s="1110">
        <v>23.469281886198548</v>
      </c>
    </row>
    <row r="2809" spans="2:3">
      <c r="B2809" s="412" t="s">
        <v>3046</v>
      </c>
      <c r="C2809" s="1110">
        <v>23.018741044100118</v>
      </c>
    </row>
    <row r="2810" spans="2:3">
      <c r="B2810" s="412" t="s">
        <v>3047</v>
      </c>
      <c r="C2810" s="1110">
        <v>38.141357999999997</v>
      </c>
    </row>
    <row r="2811" spans="2:3">
      <c r="B2811" s="412" t="s">
        <v>3048</v>
      </c>
      <c r="C2811" s="1110">
        <v>38.166438623376621</v>
      </c>
    </row>
    <row r="2812" spans="2:3" ht="17" thickBot="1">
      <c r="B2812" s="413" t="s">
        <v>3049</v>
      </c>
      <c r="C2812" s="655">
        <v>43.74648060185185</v>
      </c>
    </row>
    <row r="2813" spans="2:3">
      <c r="B2813" s="415" t="s">
        <v>3050</v>
      </c>
      <c r="C2813" s="1109">
        <v>15.863290528803546</v>
      </c>
    </row>
    <row r="2814" spans="2:3">
      <c r="B2814" s="412" t="s">
        <v>3051</v>
      </c>
      <c r="C2814" s="1110">
        <v>16.493878909090906</v>
      </c>
    </row>
    <row r="2815" spans="2:3">
      <c r="B2815" s="412" t="s">
        <v>3052</v>
      </c>
      <c r="C2815" s="1110">
        <v>19.559780184343435</v>
      </c>
    </row>
    <row r="2816" spans="2:3">
      <c r="B2816" s="412" t="s">
        <v>3053</v>
      </c>
      <c r="C2816" s="1110">
        <v>23.013562</v>
      </c>
    </row>
    <row r="2817" spans="2:3">
      <c r="B2817" s="412" t="s">
        <v>3054</v>
      </c>
      <c r="C2817" s="1110">
        <v>18.547580733229331</v>
      </c>
    </row>
    <row r="2818" spans="2:3">
      <c r="B2818" s="412" t="s">
        <v>3055</v>
      </c>
      <c r="C2818" s="1110">
        <v>16.357099084337349</v>
      </c>
    </row>
    <row r="2819" spans="2:3">
      <c r="B2819" s="412" t="s">
        <v>3056</v>
      </c>
      <c r="C2819" s="1110">
        <v>14.001258</v>
      </c>
    </row>
    <row r="2820" spans="2:3">
      <c r="B2820" s="412" t="s">
        <v>3057</v>
      </c>
      <c r="C2820" s="1110">
        <v>14.001258</v>
      </c>
    </row>
    <row r="2821" spans="2:3">
      <c r="B2821" s="412" t="s">
        <v>3058</v>
      </c>
      <c r="C2821" s="1110">
        <v>14.001258</v>
      </c>
    </row>
    <row r="2822" spans="2:3">
      <c r="B2822" s="412" t="s">
        <v>3059</v>
      </c>
      <c r="C2822" s="1110">
        <v>14.001258</v>
      </c>
    </row>
    <row r="2823" spans="2:3">
      <c r="B2823" s="412" t="s">
        <v>3060</v>
      </c>
      <c r="C2823" s="1110">
        <v>14.004672441301274</v>
      </c>
    </row>
    <row r="2824" spans="2:3">
      <c r="B2824" s="412" t="s">
        <v>3061</v>
      </c>
      <c r="C2824" s="1110">
        <v>14.004721428981348</v>
      </c>
    </row>
    <row r="2825" spans="2:3">
      <c r="B2825" s="412" t="s">
        <v>3062</v>
      </c>
      <c r="C2825" s="1110">
        <v>14.004731395683455</v>
      </c>
    </row>
    <row r="2826" spans="2:3">
      <c r="B2826" s="412" t="s">
        <v>3063</v>
      </c>
      <c r="C2826" s="1110">
        <v>14.001258</v>
      </c>
    </row>
    <row r="2827" spans="2:3">
      <c r="B2827" s="412" t="s">
        <v>3064</v>
      </c>
      <c r="C2827" s="1110">
        <v>14.00965455652174</v>
      </c>
    </row>
    <row r="2828" spans="2:3">
      <c r="B2828" s="412" t="s">
        <v>3065</v>
      </c>
      <c r="C2828" s="1110">
        <v>13.765727982832619</v>
      </c>
    </row>
    <row r="2829" spans="2:3">
      <c r="B2829" s="412" t="s">
        <v>3066</v>
      </c>
      <c r="C2829" s="1110">
        <v>14.007788234445446</v>
      </c>
    </row>
    <row r="2830" spans="2:3">
      <c r="B2830" s="412" t="s">
        <v>3067</v>
      </c>
      <c r="C2830" s="1110">
        <v>14.032107968051116</v>
      </c>
    </row>
    <row r="2831" spans="2:3">
      <c r="B2831" s="412" t="s">
        <v>3068</v>
      </c>
      <c r="C2831" s="1110">
        <v>14.528470358473824</v>
      </c>
    </row>
    <row r="2832" spans="2:3">
      <c r="B2832" s="412" t="s">
        <v>3069</v>
      </c>
      <c r="C2832" s="1110">
        <v>23.012540660018132</v>
      </c>
    </row>
    <row r="2833" spans="2:3">
      <c r="B2833" s="412" t="s">
        <v>3070</v>
      </c>
      <c r="C2833" s="1110">
        <v>25.218357800000003</v>
      </c>
    </row>
    <row r="2834" spans="2:3">
      <c r="B2834" s="412" t="s">
        <v>3071</v>
      </c>
      <c r="C2834" s="1110">
        <v>23.04489428318584</v>
      </c>
    </row>
    <row r="2835" spans="2:3">
      <c r="B2835" s="412" t="s">
        <v>3072</v>
      </c>
      <c r="C2835" s="1110">
        <v>19.420659521518989</v>
      </c>
    </row>
    <row r="2836" spans="2:3">
      <c r="B2836" s="412" t="s">
        <v>3073</v>
      </c>
      <c r="C2836" s="1110">
        <v>23.013562</v>
      </c>
    </row>
    <row r="2837" spans="2:3">
      <c r="B2837" s="412" t="s">
        <v>3074</v>
      </c>
      <c r="C2837" s="1110">
        <v>15.932466</v>
      </c>
    </row>
    <row r="2838" spans="2:3">
      <c r="B2838" s="412" t="s">
        <v>3075</v>
      </c>
      <c r="C2838" s="1110">
        <v>14.183909737024223</v>
      </c>
    </row>
    <row r="2839" spans="2:3">
      <c r="B2839" s="412" t="s">
        <v>3076</v>
      </c>
      <c r="C2839" s="1110">
        <v>37.819490000000002</v>
      </c>
    </row>
    <row r="2840" spans="2:3">
      <c r="B2840" s="412" t="s">
        <v>3077</v>
      </c>
      <c r="C2840" s="1110">
        <v>39.4442412621664</v>
      </c>
    </row>
    <row r="2841" spans="2:3">
      <c r="B2841" s="412" t="s">
        <v>3078</v>
      </c>
      <c r="C2841" s="1110">
        <v>39.432290946236556</v>
      </c>
    </row>
    <row r="2842" spans="2:3">
      <c r="B2842" s="412" t="s">
        <v>3079</v>
      </c>
      <c r="C2842" s="1110">
        <v>39.398033987654323</v>
      </c>
    </row>
    <row r="2843" spans="2:3">
      <c r="B2843" s="412" t="s">
        <v>3080</v>
      </c>
      <c r="C2843" s="1110">
        <v>37.550713628865985</v>
      </c>
    </row>
    <row r="2844" spans="2:3">
      <c r="B2844" s="412" t="s">
        <v>3081</v>
      </c>
      <c r="C2844" s="1110">
        <v>31.295385432624116</v>
      </c>
    </row>
    <row r="2845" spans="2:3">
      <c r="B2845" s="412" t="s">
        <v>3082</v>
      </c>
      <c r="C2845" s="1110">
        <v>30.6199783654321</v>
      </c>
    </row>
    <row r="2846" spans="2:3">
      <c r="B2846" s="412" t="s">
        <v>3083</v>
      </c>
      <c r="C2846" s="1110">
        <v>48.409691881748067</v>
      </c>
    </row>
    <row r="2847" spans="2:3">
      <c r="B2847" s="412" t="s">
        <v>3084</v>
      </c>
      <c r="C2847" s="1110">
        <v>37.821250765864335</v>
      </c>
    </row>
    <row r="2848" spans="2:3">
      <c r="B2848" s="412" t="s">
        <v>3085</v>
      </c>
      <c r="C2848" s="1110">
        <v>35.598257702864757</v>
      </c>
    </row>
    <row r="2849" spans="2:3">
      <c r="B2849" s="412" t="s">
        <v>3086</v>
      </c>
      <c r="C2849" s="1110">
        <v>40.058784673743808</v>
      </c>
    </row>
    <row r="2850" spans="2:3">
      <c r="B2850" s="412" t="s">
        <v>3087</v>
      </c>
      <c r="C2850" s="1110">
        <v>37.820754210526317</v>
      </c>
    </row>
    <row r="2851" spans="2:3">
      <c r="B2851" s="412" t="s">
        <v>3088</v>
      </c>
      <c r="C2851" s="1110">
        <v>37.819490000000002</v>
      </c>
    </row>
    <row r="2852" spans="2:3">
      <c r="B2852" s="412" t="s">
        <v>3089</v>
      </c>
      <c r="C2852" s="1110">
        <v>47.958331999999999</v>
      </c>
    </row>
    <row r="2853" spans="2:3">
      <c r="B2853" s="412" t="s">
        <v>3090</v>
      </c>
      <c r="C2853" s="1110">
        <v>63.863345188717261</v>
      </c>
    </row>
    <row r="2854" spans="2:3">
      <c r="B2854" s="412" t="s">
        <v>3091</v>
      </c>
      <c r="C2854" s="1110">
        <v>63.151876052262594</v>
      </c>
    </row>
    <row r="2855" spans="2:3">
      <c r="B2855" s="412" t="s">
        <v>3092</v>
      </c>
      <c r="C2855" s="1110">
        <v>64.212665999999999</v>
      </c>
    </row>
    <row r="2856" spans="2:3">
      <c r="B2856" s="412" t="s">
        <v>3093</v>
      </c>
      <c r="C2856" s="1110">
        <v>39.426293609141062</v>
      </c>
    </row>
    <row r="2857" spans="2:3">
      <c r="B2857" s="412" t="s">
        <v>3094</v>
      </c>
      <c r="C2857" s="1110">
        <v>14.627112444444446</v>
      </c>
    </row>
    <row r="2858" spans="2:3">
      <c r="B2858" s="412" t="s">
        <v>3095</v>
      </c>
      <c r="C2858" s="1110">
        <v>13.7920438</v>
      </c>
    </row>
    <row r="2859" spans="2:3">
      <c r="B2859" s="412" t="s">
        <v>3096</v>
      </c>
      <c r="C2859" s="1110">
        <v>13.704489798165136</v>
      </c>
    </row>
    <row r="2860" spans="2:3">
      <c r="B2860" s="412" t="s">
        <v>3097</v>
      </c>
      <c r="C2860" s="1110">
        <v>13.748001360501567</v>
      </c>
    </row>
    <row r="2861" spans="2:3">
      <c r="B2861" s="412" t="s">
        <v>3098</v>
      </c>
      <c r="C2861" s="1110">
        <v>13.719040405797102</v>
      </c>
    </row>
    <row r="2862" spans="2:3">
      <c r="B2862" s="412" t="s">
        <v>3099</v>
      </c>
      <c r="C2862" s="1110">
        <v>13.67939</v>
      </c>
    </row>
    <row r="2863" spans="2:3">
      <c r="B2863" s="412" t="s">
        <v>3100</v>
      </c>
      <c r="C2863" s="1110">
        <v>13.677796594059405</v>
      </c>
    </row>
    <row r="2864" spans="2:3">
      <c r="B2864" s="412" t="s">
        <v>3101</v>
      </c>
      <c r="C2864" s="1110">
        <v>14.562761266457679</v>
      </c>
    </row>
    <row r="2865" spans="2:3">
      <c r="B2865" s="412" t="s">
        <v>3102</v>
      </c>
      <c r="C2865" s="1110">
        <v>13.700022564102563</v>
      </c>
    </row>
    <row r="2866" spans="2:3">
      <c r="B2866" s="412" t="s">
        <v>3103</v>
      </c>
      <c r="C2866" s="1110">
        <v>13.891685914893616</v>
      </c>
    </row>
    <row r="2867" spans="2:3">
      <c r="B2867" s="412" t="s">
        <v>3104</v>
      </c>
      <c r="C2867" s="1110">
        <v>14.001258</v>
      </c>
    </row>
    <row r="2868" spans="2:3">
      <c r="B2868" s="412" t="s">
        <v>3105</v>
      </c>
      <c r="C2868" s="1110">
        <v>13.879519959885389</v>
      </c>
    </row>
    <row r="2869" spans="2:3">
      <c r="B2869" s="412" t="s">
        <v>3106</v>
      </c>
      <c r="C2869" s="1110">
        <v>14.017459409395975</v>
      </c>
    </row>
    <row r="2870" spans="2:3">
      <c r="B2870" s="412" t="s">
        <v>3107</v>
      </c>
      <c r="C2870" s="1110">
        <v>14.110985727272729</v>
      </c>
    </row>
    <row r="2871" spans="2:3">
      <c r="B2871" s="412" t="s">
        <v>3108</v>
      </c>
      <c r="C2871" s="1110">
        <v>48.441133999999998</v>
      </c>
    </row>
    <row r="2872" spans="2:3">
      <c r="B2872" s="412" t="s">
        <v>3109</v>
      </c>
      <c r="C2872" s="1110">
        <v>48.441133999999998</v>
      </c>
    </row>
    <row r="2873" spans="2:3">
      <c r="B2873" s="412" t="s">
        <v>3110</v>
      </c>
      <c r="C2873" s="1110">
        <v>48.441133999999998</v>
      </c>
    </row>
    <row r="2874" spans="2:3">
      <c r="B2874" s="412" t="s">
        <v>3111</v>
      </c>
      <c r="C2874" s="1110">
        <v>48.386088689295029</v>
      </c>
    </row>
    <row r="2875" spans="2:3">
      <c r="B2875" s="412" t="s">
        <v>3112</v>
      </c>
      <c r="C2875" s="1110">
        <v>48.441133999999998</v>
      </c>
    </row>
    <row r="2876" spans="2:3">
      <c r="B2876" s="412" t="s">
        <v>3113</v>
      </c>
      <c r="C2876" s="1110">
        <v>48.441133999999998</v>
      </c>
    </row>
    <row r="2877" spans="2:3">
      <c r="B2877" s="412" t="s">
        <v>3114</v>
      </c>
      <c r="C2877" s="1110">
        <v>48.373226163137254</v>
      </c>
    </row>
    <row r="2878" spans="2:3">
      <c r="B2878" s="412" t="s">
        <v>3115</v>
      </c>
      <c r="C2878" s="1110">
        <v>48.441133999999998</v>
      </c>
    </row>
    <row r="2879" spans="2:3">
      <c r="B2879" s="412" t="s">
        <v>3116</v>
      </c>
      <c r="C2879" s="1110">
        <v>48.441133999999998</v>
      </c>
    </row>
    <row r="2880" spans="2:3">
      <c r="B2880" s="412" t="s">
        <v>3117</v>
      </c>
      <c r="C2880" s="1110">
        <v>48.404450514705879</v>
      </c>
    </row>
    <row r="2881" spans="2:3">
      <c r="B2881" s="412" t="s">
        <v>3118</v>
      </c>
      <c r="C2881" s="1110">
        <v>48.441133999999998</v>
      </c>
    </row>
    <row r="2882" spans="2:3">
      <c r="B2882" s="412" t="s">
        <v>3119</v>
      </c>
      <c r="C2882" s="1110">
        <v>48.441133999999998</v>
      </c>
    </row>
    <row r="2883" spans="2:3">
      <c r="B2883" s="412" t="s">
        <v>3120</v>
      </c>
      <c r="C2883" s="1110">
        <v>41.360038000000003</v>
      </c>
    </row>
    <row r="2884" spans="2:3">
      <c r="B2884" s="412" t="s">
        <v>3121</v>
      </c>
      <c r="C2884" s="1110">
        <v>41.025999609010462</v>
      </c>
    </row>
    <row r="2885" spans="2:3">
      <c r="B2885" s="412" t="s">
        <v>3122</v>
      </c>
      <c r="C2885" s="1110">
        <v>44.62833156454721</v>
      </c>
    </row>
    <row r="2886" spans="2:3">
      <c r="B2886" s="412" t="s">
        <v>3123</v>
      </c>
      <c r="C2886" s="1110">
        <v>33.399302745341622</v>
      </c>
    </row>
    <row r="2887" spans="2:3">
      <c r="B2887" s="412" t="s">
        <v>3124</v>
      </c>
      <c r="C2887" s="1110">
        <v>33.313338000000002</v>
      </c>
    </row>
    <row r="2888" spans="2:3">
      <c r="B2888" s="412" t="s">
        <v>3125</v>
      </c>
      <c r="C2888" s="1110">
        <v>33.323955173611111</v>
      </c>
    </row>
    <row r="2889" spans="2:3">
      <c r="B2889" s="412" t="s">
        <v>3126</v>
      </c>
      <c r="C2889" s="1110">
        <v>33.313338000000002</v>
      </c>
    </row>
    <row r="2890" spans="2:3">
      <c r="B2890" s="412" t="s">
        <v>3127</v>
      </c>
      <c r="C2890" s="1110">
        <v>33.313338000000002</v>
      </c>
    </row>
    <row r="2891" spans="2:3">
      <c r="B2891" s="412" t="s">
        <v>3128</v>
      </c>
      <c r="C2891" s="1110">
        <v>33.322116218181826</v>
      </c>
    </row>
    <row r="2892" spans="2:3">
      <c r="B2892" s="412" t="s">
        <v>3129</v>
      </c>
      <c r="C2892" s="1110">
        <v>41.35014198155266</v>
      </c>
    </row>
    <row r="2893" spans="2:3">
      <c r="B2893" s="412" t="s">
        <v>3130</v>
      </c>
      <c r="C2893" s="1110">
        <v>39.096847180695846</v>
      </c>
    </row>
    <row r="2894" spans="2:3">
      <c r="B2894" s="412" t="s">
        <v>3131</v>
      </c>
      <c r="C2894" s="1110">
        <v>40.752592296414349</v>
      </c>
    </row>
    <row r="2895" spans="2:3">
      <c r="B2895" s="412" t="s">
        <v>3132</v>
      </c>
      <c r="C2895" s="1110">
        <v>41.335727728096678</v>
      </c>
    </row>
    <row r="2896" spans="2:3">
      <c r="B2896" s="412" t="s">
        <v>3133</v>
      </c>
      <c r="C2896" s="1110">
        <v>41.360038000000003</v>
      </c>
    </row>
    <row r="2897" spans="2:3">
      <c r="B2897" s="412" t="s">
        <v>3134</v>
      </c>
      <c r="C2897" s="1110">
        <v>41.360038000000003</v>
      </c>
    </row>
    <row r="2898" spans="2:3">
      <c r="B2898" s="412" t="s">
        <v>3135</v>
      </c>
      <c r="C2898" s="1110">
        <v>41.791116933333335</v>
      </c>
    </row>
    <row r="2899" spans="2:3">
      <c r="B2899" s="412" t="s">
        <v>3136</v>
      </c>
      <c r="C2899" s="1110">
        <v>41.360038000000003</v>
      </c>
    </row>
    <row r="2900" spans="2:3">
      <c r="B2900" s="412" t="s">
        <v>3137</v>
      </c>
      <c r="C2900" s="1110">
        <v>41.360038000000003</v>
      </c>
    </row>
    <row r="2901" spans="2:3">
      <c r="B2901" s="412" t="s">
        <v>3138</v>
      </c>
      <c r="C2901" s="1110">
        <v>33.318018905817176</v>
      </c>
    </row>
    <row r="2902" spans="2:3">
      <c r="B2902" s="412" t="s">
        <v>3139</v>
      </c>
      <c r="C2902" s="1110">
        <v>33.316050370786513</v>
      </c>
    </row>
    <row r="2903" spans="2:3">
      <c r="B2903" s="412" t="s">
        <v>3140</v>
      </c>
      <c r="C2903" s="1110">
        <v>33.313338000000002</v>
      </c>
    </row>
    <row r="2904" spans="2:3">
      <c r="B2904" s="412" t="s">
        <v>3141</v>
      </c>
      <c r="C2904" s="1110">
        <v>34.266002582914574</v>
      </c>
    </row>
    <row r="2905" spans="2:3">
      <c r="B2905" s="412" t="s">
        <v>3142</v>
      </c>
      <c r="C2905" s="1110">
        <v>34.224779860664526</v>
      </c>
    </row>
    <row r="2906" spans="2:3">
      <c r="B2906" s="412" t="s">
        <v>3143</v>
      </c>
      <c r="C2906" s="1110">
        <v>34.272889172566373</v>
      </c>
    </row>
    <row r="2907" spans="2:3">
      <c r="B2907" s="412" t="s">
        <v>3144</v>
      </c>
      <c r="C2907" s="1110">
        <v>33.313338000000002</v>
      </c>
    </row>
    <row r="2908" spans="2:3">
      <c r="B2908" s="412" t="s">
        <v>3145</v>
      </c>
      <c r="C2908" s="1110">
        <v>41.199103999999998</v>
      </c>
    </row>
    <row r="2909" spans="2:3">
      <c r="B2909" s="412" t="s">
        <v>3146</v>
      </c>
      <c r="C2909" s="1110">
        <v>51.49888</v>
      </c>
    </row>
    <row r="2910" spans="2:3">
      <c r="B2910" s="412" t="s">
        <v>3147</v>
      </c>
      <c r="C2910" s="1110">
        <v>51.49888</v>
      </c>
    </row>
    <row r="2911" spans="2:3">
      <c r="B2911" s="412" t="s">
        <v>3148</v>
      </c>
      <c r="C2911" s="1110">
        <v>51.333611077441077</v>
      </c>
    </row>
    <row r="2912" spans="2:3">
      <c r="B2912" s="412" t="s">
        <v>3149</v>
      </c>
      <c r="C2912" s="1110">
        <v>50.33308980487805</v>
      </c>
    </row>
    <row r="2913" spans="2:3">
      <c r="B2913" s="412" t="s">
        <v>3150</v>
      </c>
      <c r="C2913" s="1110">
        <v>52.059962396739138</v>
      </c>
    </row>
    <row r="2914" spans="2:3">
      <c r="B2914" s="412" t="s">
        <v>3151</v>
      </c>
      <c r="C2914" s="1110">
        <v>51.506270596063729</v>
      </c>
    </row>
    <row r="2915" spans="2:3">
      <c r="B2915" s="412" t="s">
        <v>3152</v>
      </c>
      <c r="C2915" s="1110">
        <v>53.197699303999997</v>
      </c>
    </row>
    <row r="2916" spans="2:3">
      <c r="B2916" s="412" t="s">
        <v>3153</v>
      </c>
      <c r="C2916" s="1110">
        <v>51.49888</v>
      </c>
    </row>
    <row r="2917" spans="2:3">
      <c r="B2917" s="412" t="s">
        <v>3154</v>
      </c>
      <c r="C2917" s="1110">
        <v>51.49888</v>
      </c>
    </row>
    <row r="2918" spans="2:3">
      <c r="B2918" s="412" t="s">
        <v>3155</v>
      </c>
      <c r="C2918" s="1110">
        <v>51.49888</v>
      </c>
    </row>
    <row r="2919" spans="2:3">
      <c r="B2919" s="412" t="s">
        <v>3156</v>
      </c>
      <c r="C2919" s="1110">
        <v>51.49888</v>
      </c>
    </row>
    <row r="2920" spans="2:3">
      <c r="B2920" s="412" t="s">
        <v>3157</v>
      </c>
      <c r="C2920" s="1110">
        <v>51.758005699805068</v>
      </c>
    </row>
    <row r="2921" spans="2:3">
      <c r="B2921" s="412" t="s">
        <v>3158</v>
      </c>
      <c r="C2921" s="1110">
        <v>51.49888</v>
      </c>
    </row>
    <row r="2922" spans="2:3">
      <c r="B2922" s="412" t="s">
        <v>3159</v>
      </c>
      <c r="C2922" s="1110">
        <v>51.486062247787608</v>
      </c>
    </row>
    <row r="2923" spans="2:3">
      <c r="B2923" s="412" t="s">
        <v>3160</v>
      </c>
      <c r="C2923" s="1110">
        <v>51.49888</v>
      </c>
    </row>
    <row r="2924" spans="2:3">
      <c r="B2924" s="412" t="s">
        <v>3161</v>
      </c>
      <c r="C2924" s="1110">
        <v>51.49888</v>
      </c>
    </row>
    <row r="2925" spans="2:3">
      <c r="B2925" s="412" t="s">
        <v>3162</v>
      </c>
      <c r="C2925" s="1110">
        <v>33.7926576568779</v>
      </c>
    </row>
    <row r="2926" spans="2:3">
      <c r="B2926" s="412" t="s">
        <v>3163</v>
      </c>
      <c r="C2926" s="1110">
        <v>32.484684315334775</v>
      </c>
    </row>
    <row r="2927" spans="2:3">
      <c r="B2927" s="412" t="s">
        <v>3164</v>
      </c>
      <c r="C2927" s="1110">
        <v>46.348992000000003</v>
      </c>
    </row>
    <row r="2928" spans="2:3">
      <c r="B2928" s="412" t="s">
        <v>3165</v>
      </c>
      <c r="C2928" s="1110">
        <v>46.348992000000003</v>
      </c>
    </row>
    <row r="2929" spans="2:3">
      <c r="B2929" s="412" t="s">
        <v>3166</v>
      </c>
      <c r="C2929" s="1110">
        <v>46.348992000000003</v>
      </c>
    </row>
    <row r="2930" spans="2:3">
      <c r="B2930" s="412" t="s">
        <v>3167</v>
      </c>
      <c r="C2930" s="1110">
        <v>46.348992000000003</v>
      </c>
    </row>
    <row r="2931" spans="2:3">
      <c r="B2931" s="412" t="s">
        <v>3168</v>
      </c>
      <c r="C2931" s="1110">
        <v>46.348992000000003</v>
      </c>
    </row>
    <row r="2932" spans="2:3">
      <c r="B2932" s="412" t="s">
        <v>3169</v>
      </c>
      <c r="C2932" s="1110">
        <v>33.796140000000001</v>
      </c>
    </row>
    <row r="2933" spans="2:3">
      <c r="B2933" s="412" t="s">
        <v>3170</v>
      </c>
      <c r="C2933" s="1110">
        <v>33.949848391836738</v>
      </c>
    </row>
    <row r="2934" spans="2:3">
      <c r="B2934" s="412" t="s">
        <v>3171</v>
      </c>
      <c r="C2934" s="1110">
        <v>33.796140000000001</v>
      </c>
    </row>
    <row r="2935" spans="2:3">
      <c r="B2935" s="412" t="s">
        <v>3172</v>
      </c>
      <c r="C2935" s="1110">
        <v>33.045114666666663</v>
      </c>
    </row>
    <row r="2936" spans="2:3">
      <c r="B2936" s="412" t="s">
        <v>3173</v>
      </c>
      <c r="C2936" s="1110">
        <v>46.348992000000003</v>
      </c>
    </row>
    <row r="2937" spans="2:3">
      <c r="B2937" s="412" t="s">
        <v>3174</v>
      </c>
      <c r="C2937" s="1110">
        <v>46.348992000000003</v>
      </c>
    </row>
    <row r="2938" spans="2:3">
      <c r="B2938" s="412" t="s">
        <v>3175</v>
      </c>
      <c r="C2938" s="1110">
        <v>34.110945065830727</v>
      </c>
    </row>
    <row r="2939" spans="2:3">
      <c r="B2939" s="412" t="s">
        <v>3176</v>
      </c>
      <c r="C2939" s="1110">
        <v>34.613071638095242</v>
      </c>
    </row>
    <row r="2940" spans="2:3">
      <c r="B2940" s="412" t="s">
        <v>3177</v>
      </c>
      <c r="C2940" s="1110">
        <v>27.841581999999999</v>
      </c>
    </row>
    <row r="2941" spans="2:3">
      <c r="B2941" s="412" t="s">
        <v>3178</v>
      </c>
      <c r="C2941" s="1110">
        <v>31.11522194746059</v>
      </c>
    </row>
    <row r="2942" spans="2:3">
      <c r="B2942" s="412" t="s">
        <v>3179</v>
      </c>
      <c r="C2942" s="1110">
        <v>30.3636856011994</v>
      </c>
    </row>
    <row r="2943" spans="2:3">
      <c r="B2943" s="412" t="s">
        <v>3180</v>
      </c>
      <c r="C2943" s="1110">
        <v>33.404704912350603</v>
      </c>
    </row>
    <row r="2944" spans="2:3">
      <c r="B2944" s="412" t="s">
        <v>3181</v>
      </c>
      <c r="C2944" s="1110">
        <v>32.236612904761905</v>
      </c>
    </row>
    <row r="2945" spans="2:3">
      <c r="B2945" s="412" t="s">
        <v>3182</v>
      </c>
      <c r="C2945" s="1110">
        <v>29.159670712195123</v>
      </c>
    </row>
    <row r="2946" spans="2:3">
      <c r="B2946" s="412" t="s">
        <v>3183</v>
      </c>
      <c r="C2946" s="1110">
        <v>58.772876342465757</v>
      </c>
    </row>
    <row r="2947" spans="2:3">
      <c r="B2947" s="412" t="s">
        <v>3184</v>
      </c>
      <c r="C2947" s="1110">
        <v>58.901843999999997</v>
      </c>
    </row>
    <row r="2948" spans="2:3">
      <c r="B2948" s="412" t="s">
        <v>3185</v>
      </c>
      <c r="C2948" s="1110">
        <v>27.841581999999999</v>
      </c>
    </row>
    <row r="2949" spans="2:3">
      <c r="B2949" s="412" t="s">
        <v>3186</v>
      </c>
      <c r="C2949" s="1110">
        <v>27.901670993506492</v>
      </c>
    </row>
    <row r="2950" spans="2:3">
      <c r="B2950" s="412" t="s">
        <v>3187</v>
      </c>
      <c r="C2950" s="1110">
        <v>29.745057818181817</v>
      </c>
    </row>
    <row r="2951" spans="2:3">
      <c r="B2951" s="412" t="s">
        <v>3188</v>
      </c>
      <c r="C2951" s="1110">
        <v>47.854259049250537</v>
      </c>
    </row>
    <row r="2952" spans="2:3">
      <c r="B2952" s="412" t="s">
        <v>3189</v>
      </c>
      <c r="C2952" s="1110">
        <v>33.932718088122606</v>
      </c>
    </row>
    <row r="2953" spans="2:3">
      <c r="B2953" s="412" t="s">
        <v>3190</v>
      </c>
      <c r="C2953" s="1110">
        <v>58.331259818181813</v>
      </c>
    </row>
    <row r="2954" spans="2:3">
      <c r="B2954" s="412" t="s">
        <v>3191</v>
      </c>
      <c r="C2954" s="1110">
        <v>43.312401643192487</v>
      </c>
    </row>
    <row r="2955" spans="2:3">
      <c r="B2955" s="412" t="s">
        <v>3192</v>
      </c>
      <c r="C2955" s="1110">
        <v>36.290617000000005</v>
      </c>
    </row>
    <row r="2956" spans="2:3">
      <c r="B2956" s="412" t="s">
        <v>3193</v>
      </c>
      <c r="C2956" s="1110">
        <v>44.177568829473685</v>
      </c>
    </row>
    <row r="2957" spans="2:3" ht="17" thickBot="1">
      <c r="B2957" s="413" t="s">
        <v>3194</v>
      </c>
      <c r="C2957" s="655">
        <v>64.212665999999999</v>
      </c>
    </row>
    <row r="2958" spans="2:3">
      <c r="B2958" s="415" t="s">
        <v>3195</v>
      </c>
      <c r="C2958" s="1109">
        <v>37.336688000000002</v>
      </c>
    </row>
    <row r="2959" spans="2:3">
      <c r="B2959" s="412" t="s">
        <v>3196</v>
      </c>
      <c r="C2959" s="1110">
        <v>37.336688000000002</v>
      </c>
    </row>
    <row r="2960" spans="2:3">
      <c r="B2960" s="412" t="s">
        <v>3197</v>
      </c>
      <c r="C2960" s="1110">
        <v>55.039428000000001</v>
      </c>
    </row>
    <row r="2961" spans="2:3">
      <c r="B2961" s="412" t="s">
        <v>3198</v>
      </c>
      <c r="C2961" s="1110">
        <v>55.039428000000001</v>
      </c>
    </row>
    <row r="2962" spans="2:3">
      <c r="B2962" s="412" t="s">
        <v>3199</v>
      </c>
      <c r="C2962" s="1110">
        <v>55.039428000000001</v>
      </c>
    </row>
    <row r="2963" spans="2:3">
      <c r="B2963" s="412" t="s">
        <v>3200</v>
      </c>
      <c r="C2963" s="1110">
        <v>55.039428000000001</v>
      </c>
    </row>
    <row r="2964" spans="2:3">
      <c r="B2964" s="412" t="s">
        <v>3201</v>
      </c>
      <c r="C2964" s="1110">
        <v>58.579976000000002</v>
      </c>
    </row>
    <row r="2965" spans="2:3">
      <c r="B2965" s="412" t="s">
        <v>3202</v>
      </c>
      <c r="C2965" s="1110">
        <v>58.579976000000002</v>
      </c>
    </row>
    <row r="2966" spans="2:3">
      <c r="B2966" s="412" t="s">
        <v>3203</v>
      </c>
      <c r="C2966" s="1110">
        <v>55.039428000000001</v>
      </c>
    </row>
    <row r="2967" spans="2:3">
      <c r="B2967" s="412" t="s">
        <v>3204</v>
      </c>
      <c r="C2967" s="1110">
        <v>55.039428000000001</v>
      </c>
    </row>
    <row r="2968" spans="2:3">
      <c r="B2968" s="412" t="s">
        <v>3205</v>
      </c>
      <c r="C2968" s="1110">
        <v>44.054079907756815</v>
      </c>
    </row>
    <row r="2969" spans="2:3">
      <c r="B2969" s="412" t="s">
        <v>3206</v>
      </c>
      <c r="C2969" s="1110">
        <v>55.039428000000001</v>
      </c>
    </row>
    <row r="2970" spans="2:3">
      <c r="B2970" s="412" t="s">
        <v>3207</v>
      </c>
      <c r="C2970" s="1110">
        <v>55.039428000000001</v>
      </c>
    </row>
    <row r="2971" spans="2:3">
      <c r="B2971" s="412" t="s">
        <v>3208</v>
      </c>
      <c r="C2971" s="1110">
        <v>39.967339923076928</v>
      </c>
    </row>
    <row r="2972" spans="2:3">
      <c r="B2972" s="412" t="s">
        <v>3209</v>
      </c>
      <c r="C2972" s="1110">
        <v>37.336688000000002</v>
      </c>
    </row>
    <row r="2973" spans="2:3">
      <c r="B2973" s="412" t="s">
        <v>3210</v>
      </c>
      <c r="C2973" s="1110">
        <v>58.51786112280702</v>
      </c>
    </row>
    <row r="2974" spans="2:3">
      <c r="B2974" s="412" t="s">
        <v>3211</v>
      </c>
      <c r="C2974" s="1110">
        <v>42.53609415384615</v>
      </c>
    </row>
    <row r="2975" spans="2:3">
      <c r="B2975" s="412" t="s">
        <v>3212</v>
      </c>
      <c r="C2975" s="1110">
        <v>39.981624005917162</v>
      </c>
    </row>
    <row r="2976" spans="2:3">
      <c r="B2976" s="412" t="s">
        <v>3213</v>
      </c>
      <c r="C2976" s="1110">
        <v>37.336688000000002</v>
      </c>
    </row>
    <row r="2977" spans="2:3">
      <c r="B2977" s="412" t="s">
        <v>3214</v>
      </c>
      <c r="C2977" s="1110">
        <v>37.539133565438377</v>
      </c>
    </row>
    <row r="2978" spans="2:3">
      <c r="B2978" s="412" t="s">
        <v>3215</v>
      </c>
      <c r="C2978" s="1110">
        <v>54.891905166666675</v>
      </c>
    </row>
    <row r="2979" spans="2:3">
      <c r="B2979" s="412" t="s">
        <v>3216</v>
      </c>
      <c r="C2979" s="1110">
        <v>58.579976000000002</v>
      </c>
    </row>
    <row r="2980" spans="2:3">
      <c r="B2980" s="412" t="s">
        <v>3217</v>
      </c>
      <c r="C2980" s="1110">
        <v>58.579976000000002</v>
      </c>
    </row>
    <row r="2981" spans="2:3">
      <c r="B2981" s="412" t="s">
        <v>3218</v>
      </c>
      <c r="C2981" s="1110">
        <v>55.039428000000001</v>
      </c>
    </row>
    <row r="2982" spans="2:3">
      <c r="B2982" s="412" t="s">
        <v>3219</v>
      </c>
      <c r="C2982" s="1110">
        <v>54.970545743190662</v>
      </c>
    </row>
    <row r="2983" spans="2:3">
      <c r="B2983" s="412" t="s">
        <v>3220</v>
      </c>
      <c r="C2983" s="1110">
        <v>55.039428000000001</v>
      </c>
    </row>
    <row r="2984" spans="2:3">
      <c r="B2984" s="412" t="s">
        <v>3221</v>
      </c>
      <c r="C2984" s="1110">
        <v>55.039428000000001</v>
      </c>
    </row>
    <row r="2985" spans="2:3">
      <c r="B2985" s="412" t="s">
        <v>3222</v>
      </c>
      <c r="C2985" s="1110">
        <v>55.039428000000001</v>
      </c>
    </row>
    <row r="2986" spans="2:3">
      <c r="B2986" s="412" t="s">
        <v>3223</v>
      </c>
      <c r="C2986" s="1110">
        <v>55.173498210200918</v>
      </c>
    </row>
    <row r="2987" spans="2:3" ht="17" thickBot="1">
      <c r="B2987" s="413" t="s">
        <v>3224</v>
      </c>
      <c r="C2987" s="655">
        <v>37.336688000000002</v>
      </c>
    </row>
    <row r="2988" spans="2:3">
      <c r="B2988" s="412" t="s">
        <v>3225</v>
      </c>
      <c r="C2988" s="1109">
        <v>46.826459704738603</v>
      </c>
    </row>
    <row r="2989" spans="2:3">
      <c r="B2989" s="412" t="s">
        <v>3226</v>
      </c>
      <c r="C2989" s="1110">
        <v>46.826459704738603</v>
      </c>
    </row>
    <row r="2990" spans="2:3" ht="17" thickBot="1">
      <c r="B2990" s="413" t="s">
        <v>3227</v>
      </c>
      <c r="C2990" s="655">
        <v>46.826459704738603</v>
      </c>
    </row>
    <row r="3000" spans="1:88" s="713" customFormat="1">
      <c r="A3000" s="588"/>
      <c r="B3000" s="589"/>
      <c r="C3000" s="712"/>
      <c r="D3000" s="588"/>
      <c r="E3000" s="588"/>
      <c r="F3000" s="588"/>
      <c r="G3000" s="588"/>
      <c r="H3000" s="588"/>
      <c r="I3000" s="588"/>
      <c r="J3000" s="588"/>
      <c r="K3000" s="588"/>
      <c r="L3000" s="588"/>
      <c r="M3000" s="588"/>
      <c r="N3000" s="588"/>
      <c r="O3000" s="588"/>
      <c r="P3000" s="588"/>
      <c r="Q3000" s="588"/>
      <c r="R3000" s="588"/>
      <c r="S3000" s="588"/>
      <c r="T3000" s="588"/>
      <c r="U3000" s="588"/>
      <c r="V3000" s="588"/>
      <c r="W3000" s="588"/>
      <c r="X3000" s="588"/>
      <c r="Y3000" s="588"/>
      <c r="Z3000" s="588"/>
      <c r="AA3000" s="588"/>
      <c r="AB3000" s="588"/>
      <c r="AC3000" s="588"/>
      <c r="AD3000" s="588"/>
      <c r="AE3000" s="588"/>
      <c r="AF3000" s="588"/>
      <c r="AG3000" s="588"/>
      <c r="AH3000" s="588"/>
      <c r="AI3000" s="588"/>
      <c r="AJ3000" s="588"/>
      <c r="AK3000" s="588"/>
      <c r="AL3000" s="588"/>
      <c r="AM3000" s="588"/>
      <c r="AN3000" s="588"/>
      <c r="AO3000" s="588"/>
      <c r="AP3000" s="588"/>
      <c r="AQ3000" s="588"/>
      <c r="AR3000" s="588"/>
      <c r="AS3000" s="588"/>
      <c r="AT3000" s="588"/>
      <c r="AU3000" s="588"/>
      <c r="AV3000" s="588"/>
      <c r="AW3000" s="588"/>
      <c r="AX3000" s="588"/>
      <c r="AY3000" s="588"/>
      <c r="AZ3000" s="588"/>
      <c r="BA3000" s="588"/>
      <c r="BB3000" s="588"/>
      <c r="BC3000" s="588"/>
      <c r="BD3000" s="588"/>
      <c r="BE3000" s="588"/>
      <c r="BF3000" s="588"/>
      <c r="BG3000" s="588"/>
      <c r="BH3000" s="588"/>
      <c r="BI3000" s="588"/>
      <c r="BJ3000" s="588"/>
      <c r="BK3000" s="588"/>
      <c r="BL3000" s="588"/>
      <c r="BM3000" s="588"/>
      <c r="BN3000" s="588"/>
      <c r="BO3000" s="588"/>
      <c r="BP3000" s="588"/>
      <c r="BQ3000" s="588"/>
      <c r="BR3000" s="588"/>
      <c r="BS3000" s="588"/>
      <c r="BT3000" s="588"/>
      <c r="BU3000" s="588"/>
      <c r="BV3000" s="588"/>
      <c r="BW3000" s="588"/>
      <c r="BX3000" s="588"/>
      <c r="BY3000" s="588"/>
      <c r="BZ3000" s="588"/>
      <c r="CA3000" s="588"/>
      <c r="CB3000" s="588"/>
      <c r="CC3000" s="588"/>
      <c r="CD3000" s="588"/>
      <c r="CE3000" s="588"/>
      <c r="CF3000" s="588"/>
      <c r="CG3000" s="588"/>
      <c r="CH3000" s="588"/>
      <c r="CI3000" s="588"/>
      <c r="CJ3000" s="588"/>
    </row>
  </sheetData>
  <sheetProtection algorithmName="SHA-512" hashValue="PjgIw7oy7aIijClxx4EVKBvoHQMBS8/TMTdxI4ONpNKd1b1p7COwAWRlLKdhq6amK2Lyhmo3locThR4zIvrmjQ==" saltValue="sngzA/0vqSXPUYOOkSG9lQ==" spinCount="100000" sheet="1" objects="1" scenarios="1"/>
  <hyperlinks>
    <hyperlink ref="O2" r:id="rId1" xr:uid="{737F2701-8B42-CA4F-84EB-E482E53F60D5}"/>
    <hyperlink ref="O3" r:id="rId2" xr:uid="{B34B73CA-083F-5846-B06A-FB59820B582E}"/>
    <hyperlink ref="O4" r:id="rId3" xr:uid="{50A685CA-D607-D045-82C6-4482D72D8751}"/>
    <hyperlink ref="O5" r:id="rId4" xr:uid="{377CB540-530C-E745-9B56-7264F5CAB9AD}"/>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EC291-5454-1445-B55C-E50927633DE6}">
  <sheetPr codeName="Sheet15">
    <tabColor theme="6"/>
  </sheetPr>
  <dimension ref="A1:CJ2994"/>
  <sheetViews>
    <sheetView zoomScale="75" zoomScaleNormal="100" workbookViewId="0">
      <selection activeCell="H59" sqref="H59"/>
    </sheetView>
  </sheetViews>
  <sheetFormatPr baseColWidth="10" defaultRowHeight="16"/>
  <cols>
    <col min="2" max="2" width="7.1640625" style="173" bestFit="1" customWidth="1"/>
    <col min="3" max="3" width="19.83203125" bestFit="1" customWidth="1"/>
    <col min="5" max="6" width="21" bestFit="1" customWidth="1"/>
  </cols>
  <sheetData>
    <row r="1" spans="2:15" ht="26">
      <c r="B1" s="178"/>
      <c r="C1" s="768" t="s">
        <v>3388</v>
      </c>
      <c r="D1" s="178" t="str">
        <f>'Data Tables'!C13</f>
        <v>Average speed of bus at different regions</v>
      </c>
    </row>
    <row r="2" spans="2:15" ht="21">
      <c r="B2" s="762"/>
      <c r="C2" s="769" t="s">
        <v>3366</v>
      </c>
      <c r="D2" s="762" t="s">
        <v>3382</v>
      </c>
      <c r="E2" s="761"/>
      <c r="F2" s="761"/>
      <c r="G2" s="761"/>
      <c r="H2" s="761"/>
      <c r="I2" s="761"/>
      <c r="J2" s="761"/>
      <c r="K2" s="761"/>
      <c r="L2" s="761"/>
      <c r="M2" s="761"/>
      <c r="N2" s="761"/>
      <c r="O2" s="766" t="s">
        <v>3386</v>
      </c>
    </row>
    <row r="3" spans="2:15" ht="21">
      <c r="B3" s="762"/>
      <c r="C3" s="763"/>
      <c r="D3" s="762" t="s">
        <v>3383</v>
      </c>
      <c r="E3" s="761"/>
      <c r="F3" s="761"/>
      <c r="G3" s="761"/>
      <c r="H3" s="761"/>
      <c r="I3" s="761"/>
      <c r="J3" s="761"/>
      <c r="K3" s="761"/>
      <c r="L3" s="761"/>
      <c r="M3" s="761"/>
      <c r="N3" s="761"/>
      <c r="O3" s="756" t="s">
        <v>3387</v>
      </c>
    </row>
    <row r="4" spans="2:15" ht="24">
      <c r="B4" s="762"/>
      <c r="C4" s="763"/>
      <c r="D4" s="758" t="s">
        <v>3380</v>
      </c>
      <c r="E4" s="757"/>
      <c r="O4" s="756" t="s">
        <v>3379</v>
      </c>
    </row>
    <row r="5" spans="2:15" ht="17" thickBot="1">
      <c r="B5"/>
      <c r="C5" s="173"/>
    </row>
    <row r="6" spans="2:15" ht="17" thickBot="1">
      <c r="B6" s="702"/>
      <c r="C6" s="703" t="s">
        <v>3228</v>
      </c>
      <c r="H6" s="181"/>
      <c r="I6" s="181"/>
      <c r="J6" s="181"/>
      <c r="K6" s="180"/>
      <c r="L6" s="180"/>
      <c r="M6" s="180"/>
      <c r="N6" s="181"/>
    </row>
    <row r="7" spans="2:15">
      <c r="B7" s="415" t="s">
        <v>266</v>
      </c>
      <c r="C7" s="1109">
        <v>13.821154278217543</v>
      </c>
    </row>
    <row r="8" spans="2:15">
      <c r="B8" s="412" t="s">
        <v>267</v>
      </c>
      <c r="C8" s="1110">
        <v>13.821154278217543</v>
      </c>
    </row>
    <row r="9" spans="2:15">
      <c r="B9" s="412" t="s">
        <v>268</v>
      </c>
      <c r="C9" s="1110">
        <v>13.821154278217543</v>
      </c>
    </row>
    <row r="10" spans="2:15">
      <c r="B10" s="412" t="s">
        <v>269</v>
      </c>
      <c r="C10" s="1110">
        <v>13.821154278217543</v>
      </c>
    </row>
    <row r="11" spans="2:15">
      <c r="B11" s="412" t="s">
        <v>270</v>
      </c>
      <c r="C11" s="1110">
        <v>13.821154278217543</v>
      </c>
    </row>
    <row r="12" spans="2:15">
      <c r="B12" s="412" t="s">
        <v>271</v>
      </c>
      <c r="C12" s="1110">
        <v>13.821154278217543</v>
      </c>
    </row>
    <row r="13" spans="2:15">
      <c r="B13" s="412" t="s">
        <v>272</v>
      </c>
      <c r="C13" s="1110">
        <v>13.821154278217543</v>
      </c>
    </row>
    <row r="14" spans="2:15">
      <c r="B14" s="412" t="s">
        <v>273</v>
      </c>
      <c r="C14" s="1110">
        <v>13.821154278217543</v>
      </c>
    </row>
    <row r="15" spans="2:15">
      <c r="B15" s="412" t="s">
        <v>274</v>
      </c>
      <c r="C15" s="1110">
        <v>13.821154278217543</v>
      </c>
    </row>
    <row r="16" spans="2:15">
      <c r="B16" s="412" t="s">
        <v>275</v>
      </c>
      <c r="C16" s="1110">
        <v>13.821154278217543</v>
      </c>
    </row>
    <row r="17" spans="2:3">
      <c r="B17" s="412" t="s">
        <v>276</v>
      </c>
      <c r="C17" s="1110">
        <v>13.821154278217543</v>
      </c>
    </row>
    <row r="18" spans="2:3">
      <c r="B18" s="412" t="s">
        <v>277</v>
      </c>
      <c r="C18" s="1110">
        <v>13.821154278217543</v>
      </c>
    </row>
    <row r="19" spans="2:3">
      <c r="B19" s="412" t="s">
        <v>278</v>
      </c>
      <c r="C19" s="1110">
        <v>13.821154278217543</v>
      </c>
    </row>
    <row r="20" spans="2:3">
      <c r="B20" s="412" t="s">
        <v>279</v>
      </c>
      <c r="C20" s="1110">
        <v>13.821154278217543</v>
      </c>
    </row>
    <row r="21" spans="2:3">
      <c r="B21" s="412" t="s">
        <v>280</v>
      </c>
      <c r="C21" s="1110">
        <v>13.821154278217543</v>
      </c>
    </row>
    <row r="22" spans="2:3">
      <c r="B22" s="412" t="s">
        <v>281</v>
      </c>
      <c r="C22" s="1110">
        <v>13.821154278217543</v>
      </c>
    </row>
    <row r="23" spans="2:3">
      <c r="B23" s="412" t="s">
        <v>282</v>
      </c>
      <c r="C23" s="1110">
        <v>13.821154278217543</v>
      </c>
    </row>
    <row r="24" spans="2:3">
      <c r="B24" s="412" t="s">
        <v>283</v>
      </c>
      <c r="C24" s="1110">
        <v>13.821154278217543</v>
      </c>
    </row>
    <row r="25" spans="2:3">
      <c r="B25" s="412" t="s">
        <v>284</v>
      </c>
      <c r="C25" s="1110">
        <v>13.821154278217543</v>
      </c>
    </row>
    <row r="26" spans="2:3">
      <c r="B26" s="412" t="s">
        <v>285</v>
      </c>
      <c r="C26" s="1110">
        <v>13.821154278217543</v>
      </c>
    </row>
    <row r="27" spans="2:3">
      <c r="B27" s="412" t="s">
        <v>286</v>
      </c>
      <c r="C27" s="1110">
        <v>13.821154278217543</v>
      </c>
    </row>
    <row r="28" spans="2:3">
      <c r="B28" s="412" t="s">
        <v>287</v>
      </c>
      <c r="C28" s="1110">
        <v>13.821154278217543</v>
      </c>
    </row>
    <row r="29" spans="2:3">
      <c r="B29" s="412" t="s">
        <v>288</v>
      </c>
      <c r="C29" s="1110">
        <v>13.821154278217543</v>
      </c>
    </row>
    <row r="30" spans="2:3">
      <c r="B30" s="412" t="s">
        <v>289</v>
      </c>
      <c r="C30" s="1110">
        <v>13.821154278217543</v>
      </c>
    </row>
    <row r="31" spans="2:3">
      <c r="B31" s="412" t="s">
        <v>290</v>
      </c>
      <c r="C31" s="1110">
        <v>13.821154278217543</v>
      </c>
    </row>
    <row r="32" spans="2:3">
      <c r="B32" s="412" t="s">
        <v>291</v>
      </c>
      <c r="C32" s="1110">
        <v>13.821154278217543</v>
      </c>
    </row>
    <row r="33" spans="2:3">
      <c r="B33" s="412" t="s">
        <v>292</v>
      </c>
      <c r="C33" s="1110">
        <v>13.821154278217543</v>
      </c>
    </row>
    <row r="34" spans="2:3">
      <c r="B34" s="412" t="s">
        <v>293</v>
      </c>
      <c r="C34" s="1110">
        <v>13.821154278217543</v>
      </c>
    </row>
    <row r="35" spans="2:3">
      <c r="B35" s="412" t="s">
        <v>294</v>
      </c>
      <c r="C35" s="1110">
        <v>13.821154278217543</v>
      </c>
    </row>
    <row r="36" spans="2:3">
      <c r="B36" s="412" t="s">
        <v>295</v>
      </c>
      <c r="C36" s="1110">
        <v>13.821154278217543</v>
      </c>
    </row>
    <row r="37" spans="2:3">
      <c r="B37" s="412" t="s">
        <v>296</v>
      </c>
      <c r="C37" s="1110">
        <v>13.821154278217543</v>
      </c>
    </row>
    <row r="38" spans="2:3">
      <c r="B38" s="412" t="s">
        <v>297</v>
      </c>
      <c r="C38" s="1110">
        <v>13.821154278217543</v>
      </c>
    </row>
    <row r="39" spans="2:3">
      <c r="B39" s="412" t="s">
        <v>298</v>
      </c>
      <c r="C39" s="1110">
        <v>13.821154278217543</v>
      </c>
    </row>
    <row r="40" spans="2:3">
      <c r="B40" s="412" t="s">
        <v>299</v>
      </c>
      <c r="C40" s="1110">
        <v>13.821154278217543</v>
      </c>
    </row>
    <row r="41" spans="2:3">
      <c r="B41" s="412" t="s">
        <v>300</v>
      </c>
      <c r="C41" s="1110">
        <v>13.821154278217543</v>
      </c>
    </row>
    <row r="42" spans="2:3">
      <c r="B42" s="412" t="s">
        <v>301</v>
      </c>
      <c r="C42" s="1110">
        <v>13.821154278217543</v>
      </c>
    </row>
    <row r="43" spans="2:3">
      <c r="B43" s="412" t="s">
        <v>302</v>
      </c>
      <c r="C43" s="1110">
        <v>13.821154278217543</v>
      </c>
    </row>
    <row r="44" spans="2:3">
      <c r="B44" s="412" t="s">
        <v>303</v>
      </c>
      <c r="C44" s="1110">
        <v>13.821154278217543</v>
      </c>
    </row>
    <row r="45" spans="2:3">
      <c r="B45" s="412" t="s">
        <v>304</v>
      </c>
      <c r="C45" s="1110">
        <v>13.821154278217543</v>
      </c>
    </row>
    <row r="46" spans="2:3">
      <c r="B46" s="412" t="s">
        <v>305</v>
      </c>
      <c r="C46" s="1110">
        <v>13.821154278217543</v>
      </c>
    </row>
    <row r="47" spans="2:3">
      <c r="B47" s="412" t="s">
        <v>306</v>
      </c>
      <c r="C47" s="1110">
        <v>13.821154278217543</v>
      </c>
    </row>
    <row r="48" spans="2:3">
      <c r="B48" s="412" t="s">
        <v>307</v>
      </c>
      <c r="C48" s="1110">
        <v>13.821154278217543</v>
      </c>
    </row>
    <row r="49" spans="2:3">
      <c r="B49" s="412" t="s">
        <v>308</v>
      </c>
      <c r="C49" s="1110">
        <v>13.821154278217543</v>
      </c>
    </row>
    <row r="50" spans="2:3" ht="17" thickBot="1">
      <c r="B50" s="413" t="s">
        <v>309</v>
      </c>
      <c r="C50" s="655">
        <v>13.821154278217543</v>
      </c>
    </row>
    <row r="51" spans="2:3">
      <c r="B51" s="415" t="s">
        <v>310</v>
      </c>
      <c r="C51" s="1109">
        <v>11.714334012402938</v>
      </c>
    </row>
    <row r="52" spans="2:3">
      <c r="B52" s="412" t="s">
        <v>311</v>
      </c>
      <c r="C52" s="1110">
        <v>11.714334012402938</v>
      </c>
    </row>
    <row r="53" spans="2:3">
      <c r="B53" s="412" t="s">
        <v>312</v>
      </c>
      <c r="C53" s="1110">
        <v>11.714334012402938</v>
      </c>
    </row>
    <row r="54" spans="2:3">
      <c r="B54" s="412" t="s">
        <v>313</v>
      </c>
      <c r="C54" s="1110">
        <v>11.714334012402938</v>
      </c>
    </row>
    <row r="55" spans="2:3">
      <c r="B55" s="412" t="s">
        <v>314</v>
      </c>
      <c r="C55" s="1110">
        <v>11.714334012402938</v>
      </c>
    </row>
    <row r="56" spans="2:3">
      <c r="B56" s="412" t="s">
        <v>315</v>
      </c>
      <c r="C56" s="1110">
        <v>11.725165993204042</v>
      </c>
    </row>
    <row r="57" spans="2:3">
      <c r="B57" s="412" t="s">
        <v>316</v>
      </c>
      <c r="C57" s="1110">
        <v>11.714334012402938</v>
      </c>
    </row>
    <row r="58" spans="2:3">
      <c r="B58" s="412" t="s">
        <v>317</v>
      </c>
      <c r="C58" s="1110">
        <v>11.714334012402938</v>
      </c>
    </row>
    <row r="59" spans="2:3">
      <c r="B59" s="412" t="s">
        <v>318</v>
      </c>
      <c r="C59" s="1110">
        <v>11.714334012402938</v>
      </c>
    </row>
    <row r="60" spans="2:3">
      <c r="B60" s="412" t="s">
        <v>319</v>
      </c>
      <c r="C60" s="1110">
        <v>11.714334012402938</v>
      </c>
    </row>
    <row r="61" spans="2:3">
      <c r="B61" s="412" t="s">
        <v>320</v>
      </c>
      <c r="C61" s="1110">
        <v>11.714334012402938</v>
      </c>
    </row>
    <row r="62" spans="2:3">
      <c r="B62" s="412" t="s">
        <v>321</v>
      </c>
      <c r="C62" s="1110">
        <v>11.714334012402938</v>
      </c>
    </row>
    <row r="63" spans="2:3">
      <c r="B63" s="412" t="s">
        <v>322</v>
      </c>
      <c r="C63" s="1110">
        <v>11.714334012402938</v>
      </c>
    </row>
    <row r="64" spans="2:3">
      <c r="B64" s="412" t="s">
        <v>323</v>
      </c>
      <c r="C64" s="1110">
        <v>11.714334012402938</v>
      </c>
    </row>
    <row r="65" spans="2:7">
      <c r="B65" s="412" t="s">
        <v>324</v>
      </c>
      <c r="C65" s="1110">
        <v>11.714334012402938</v>
      </c>
    </row>
    <row r="66" spans="2:7">
      <c r="B66" s="412" t="s">
        <v>325</v>
      </c>
      <c r="C66" s="1110">
        <v>11.714334012402938</v>
      </c>
    </row>
    <row r="67" spans="2:7">
      <c r="B67" s="412" t="s">
        <v>326</v>
      </c>
      <c r="C67" s="1110">
        <v>11.714334012402938</v>
      </c>
    </row>
    <row r="68" spans="2:7">
      <c r="B68" s="412" t="s">
        <v>327</v>
      </c>
      <c r="C68" s="1110">
        <v>11.714334012402938</v>
      </c>
    </row>
    <row r="69" spans="2:7">
      <c r="B69" s="412" t="s">
        <v>328</v>
      </c>
      <c r="C69" s="1110">
        <v>11.714334012402938</v>
      </c>
    </row>
    <row r="70" spans="2:7">
      <c r="B70" s="412" t="s">
        <v>329</v>
      </c>
      <c r="C70" s="1110">
        <v>11.714334012402938</v>
      </c>
    </row>
    <row r="71" spans="2:7">
      <c r="B71" s="412" t="s">
        <v>330</v>
      </c>
      <c r="C71" s="1110">
        <v>11.714334012402938</v>
      </c>
      <c r="E71" s="184"/>
      <c r="F71" s="185"/>
      <c r="G71" s="186"/>
    </row>
    <row r="72" spans="2:7">
      <c r="B72" s="412" t="s">
        <v>331</v>
      </c>
      <c r="C72" s="1110">
        <v>11.714334012402938</v>
      </c>
    </row>
    <row r="73" spans="2:7">
      <c r="B73" s="412" t="s">
        <v>332</v>
      </c>
      <c r="C73" s="1110">
        <v>11.714334012402938</v>
      </c>
    </row>
    <row r="74" spans="2:7">
      <c r="B74" s="412" t="s">
        <v>333</v>
      </c>
      <c r="C74" s="1110">
        <v>11.7236397556265</v>
      </c>
    </row>
    <row r="75" spans="2:7">
      <c r="B75" s="412" t="s">
        <v>334</v>
      </c>
      <c r="C75" s="1110">
        <v>11.753041996289296</v>
      </c>
    </row>
    <row r="76" spans="2:7">
      <c r="B76" s="412" t="s">
        <v>335</v>
      </c>
      <c r="C76" s="1110">
        <v>11.714334012402938</v>
      </c>
    </row>
    <row r="77" spans="2:7">
      <c r="B77" s="412" t="s">
        <v>336</v>
      </c>
      <c r="C77" s="1110">
        <v>11.714334012402938</v>
      </c>
    </row>
    <row r="78" spans="2:7">
      <c r="B78" s="412" t="s">
        <v>337</v>
      </c>
      <c r="C78" s="1110">
        <v>11.714334012402938</v>
      </c>
    </row>
    <row r="79" spans="2:7">
      <c r="B79" s="412" t="s">
        <v>338</v>
      </c>
      <c r="C79" s="1110">
        <v>11.714334012402938</v>
      </c>
    </row>
    <row r="80" spans="2:7">
      <c r="B80" s="412" t="s">
        <v>339</v>
      </c>
      <c r="C80" s="1110">
        <v>11.714334012402938</v>
      </c>
    </row>
    <row r="81" spans="2:3">
      <c r="B81" s="412" t="s">
        <v>340</v>
      </c>
      <c r="C81" s="1110">
        <v>11.942461047554838</v>
      </c>
    </row>
    <row r="82" spans="2:3">
      <c r="B82" s="412" t="s">
        <v>341</v>
      </c>
      <c r="C82" s="1110">
        <v>11.714334012402938</v>
      </c>
    </row>
    <row r="83" spans="2:3">
      <c r="B83" s="412" t="s">
        <v>342</v>
      </c>
      <c r="C83" s="1110">
        <v>11.714334012402938</v>
      </c>
    </row>
    <row r="84" spans="2:3">
      <c r="B84" s="412" t="s">
        <v>343</v>
      </c>
      <c r="C84" s="1110">
        <v>11.714334012402938</v>
      </c>
    </row>
    <row r="85" spans="2:3">
      <c r="B85" s="412" t="s">
        <v>344</v>
      </c>
      <c r="C85" s="1110">
        <v>11.714334012402938</v>
      </c>
    </row>
    <row r="86" spans="2:3">
      <c r="B86" s="412" t="s">
        <v>345</v>
      </c>
      <c r="C86" s="1110">
        <v>11.714334012402938</v>
      </c>
    </row>
    <row r="87" spans="2:3">
      <c r="B87" s="412" t="s">
        <v>346</v>
      </c>
      <c r="C87" s="1110">
        <v>12.704898654426565</v>
      </c>
    </row>
    <row r="88" spans="2:3">
      <c r="B88" s="412" t="s">
        <v>347</v>
      </c>
      <c r="C88" s="1110">
        <v>13.821154278217543</v>
      </c>
    </row>
    <row r="89" spans="2:3">
      <c r="B89" s="412" t="s">
        <v>348</v>
      </c>
      <c r="C89" s="1110">
        <v>13.768919065015528</v>
      </c>
    </row>
    <row r="90" spans="2:3">
      <c r="B90" s="412" t="s">
        <v>349</v>
      </c>
      <c r="C90" s="1110">
        <v>13.821154278217543</v>
      </c>
    </row>
    <row r="91" spans="2:3">
      <c r="B91" s="412" t="s">
        <v>350</v>
      </c>
      <c r="C91" s="1110">
        <v>13.821154278217543</v>
      </c>
    </row>
    <row r="92" spans="2:3">
      <c r="B92" s="412" t="s">
        <v>351</v>
      </c>
      <c r="C92" s="1110">
        <v>11.714334012402938</v>
      </c>
    </row>
    <row r="93" spans="2:3">
      <c r="B93" s="412" t="s">
        <v>352</v>
      </c>
      <c r="C93" s="1110">
        <v>13.821154278217543</v>
      </c>
    </row>
    <row r="94" spans="2:3">
      <c r="B94" s="412" t="s">
        <v>353</v>
      </c>
      <c r="C94" s="1110">
        <v>11.714334012402938</v>
      </c>
    </row>
    <row r="95" spans="2:3">
      <c r="B95" s="412" t="s">
        <v>354</v>
      </c>
      <c r="C95" s="1110">
        <v>13.821154278217543</v>
      </c>
    </row>
    <row r="96" spans="2:3">
      <c r="B96" s="412" t="s">
        <v>355</v>
      </c>
      <c r="C96" s="1110">
        <v>13.821154278217543</v>
      </c>
    </row>
    <row r="97" spans="2:3">
      <c r="B97" s="412" t="s">
        <v>356</v>
      </c>
      <c r="C97" s="1110">
        <v>11.962195220145832</v>
      </c>
    </row>
    <row r="98" spans="2:3">
      <c r="B98" s="412" t="s">
        <v>357</v>
      </c>
      <c r="C98" s="1110">
        <v>11.714334012402938</v>
      </c>
    </row>
    <row r="99" spans="2:3">
      <c r="B99" s="412" t="s">
        <v>358</v>
      </c>
      <c r="C99" s="1110">
        <v>11.714334012402938</v>
      </c>
    </row>
    <row r="100" spans="2:3">
      <c r="B100" s="412" t="s">
        <v>359</v>
      </c>
      <c r="C100" s="1110">
        <v>11.714334012402938</v>
      </c>
    </row>
    <row r="101" spans="2:3">
      <c r="B101" s="412" t="s">
        <v>360</v>
      </c>
      <c r="C101" s="1110">
        <v>11.714334012402938</v>
      </c>
    </row>
    <row r="102" spans="2:3">
      <c r="B102" s="412" t="s">
        <v>361</v>
      </c>
      <c r="C102" s="1110">
        <v>11.714334012402938</v>
      </c>
    </row>
    <row r="103" spans="2:3">
      <c r="B103" s="412" t="s">
        <v>362</v>
      </c>
      <c r="C103" s="1110">
        <v>11.714334012402938</v>
      </c>
    </row>
    <row r="104" spans="2:3">
      <c r="B104" s="412" t="s">
        <v>363</v>
      </c>
      <c r="C104" s="1110">
        <v>11.714334012402938</v>
      </c>
    </row>
    <row r="105" spans="2:3">
      <c r="B105" s="412" t="s">
        <v>364</v>
      </c>
      <c r="C105" s="1110">
        <v>11.714334012402938</v>
      </c>
    </row>
    <row r="106" spans="2:3">
      <c r="B106" s="412" t="s">
        <v>365</v>
      </c>
      <c r="C106" s="1110">
        <v>11.714334012402938</v>
      </c>
    </row>
    <row r="107" spans="2:3">
      <c r="B107" s="412" t="s">
        <v>366</v>
      </c>
      <c r="C107" s="1110">
        <v>11.714334012402938</v>
      </c>
    </row>
    <row r="108" spans="2:3">
      <c r="B108" s="412" t="s">
        <v>367</v>
      </c>
      <c r="C108" s="1110">
        <v>11.714334012402938</v>
      </c>
    </row>
    <row r="109" spans="2:3">
      <c r="B109" s="412" t="s">
        <v>368</v>
      </c>
      <c r="C109" s="1110">
        <v>11.714334012402938</v>
      </c>
    </row>
    <row r="110" spans="2:3">
      <c r="B110" s="412" t="s">
        <v>369</v>
      </c>
      <c r="C110" s="1110">
        <v>11.929710133940999</v>
      </c>
    </row>
    <row r="111" spans="2:3">
      <c r="B111" s="412" t="s">
        <v>370</v>
      </c>
      <c r="C111" s="1110">
        <v>11.80905926466437</v>
      </c>
    </row>
    <row r="112" spans="2:3">
      <c r="B112" s="412" t="s">
        <v>371</v>
      </c>
      <c r="C112" s="1110">
        <v>12.064130506917957</v>
      </c>
    </row>
    <row r="113" spans="2:3">
      <c r="B113" s="412" t="s">
        <v>372</v>
      </c>
      <c r="C113" s="1110">
        <v>13.821154278217543</v>
      </c>
    </row>
    <row r="114" spans="2:3">
      <c r="B114" s="412" t="s">
        <v>373</v>
      </c>
      <c r="C114" s="1110">
        <v>13.821154278217543</v>
      </c>
    </row>
    <row r="115" spans="2:3">
      <c r="B115" s="412" t="s">
        <v>374</v>
      </c>
      <c r="C115" s="1110">
        <v>13.821154278217543</v>
      </c>
    </row>
    <row r="116" spans="2:3">
      <c r="B116" s="412" t="s">
        <v>375</v>
      </c>
      <c r="C116" s="1110">
        <v>11.714334012402938</v>
      </c>
    </row>
    <row r="117" spans="2:3">
      <c r="B117" s="412" t="s">
        <v>376</v>
      </c>
      <c r="C117" s="1110">
        <v>13.821154278217543</v>
      </c>
    </row>
    <row r="118" spans="2:3">
      <c r="B118" s="412" t="s">
        <v>377</v>
      </c>
      <c r="C118" s="1110">
        <v>11.714334012402938</v>
      </c>
    </row>
    <row r="119" spans="2:3">
      <c r="B119" s="412" t="s">
        <v>378</v>
      </c>
      <c r="C119" s="1110">
        <v>11.788716025604408</v>
      </c>
    </row>
    <row r="120" spans="2:3">
      <c r="B120" s="412" t="s">
        <v>379</v>
      </c>
      <c r="C120" s="1110">
        <v>11.714334012402938</v>
      </c>
    </row>
    <row r="121" spans="2:3">
      <c r="B121" s="412" t="s">
        <v>380</v>
      </c>
      <c r="C121" s="1110">
        <v>11.714334012402938</v>
      </c>
    </row>
    <row r="122" spans="2:3">
      <c r="B122" s="412" t="s">
        <v>381</v>
      </c>
      <c r="C122" s="1110">
        <v>11.781530906434549</v>
      </c>
    </row>
    <row r="123" spans="2:3">
      <c r="B123" s="412" t="s">
        <v>382</v>
      </c>
      <c r="C123" s="1110">
        <v>13.156502646740318</v>
      </c>
    </row>
    <row r="124" spans="2:3">
      <c r="B124" s="412" t="s">
        <v>383</v>
      </c>
      <c r="C124" s="1110">
        <v>13.821154278217543</v>
      </c>
    </row>
    <row r="125" spans="2:3">
      <c r="B125" s="412" t="s">
        <v>384</v>
      </c>
      <c r="C125" s="1110">
        <v>13.821154278217543</v>
      </c>
    </row>
    <row r="126" spans="2:3">
      <c r="B126" s="412" t="s">
        <v>385</v>
      </c>
      <c r="C126" s="1110">
        <v>13.821154278217543</v>
      </c>
    </row>
    <row r="127" spans="2:3">
      <c r="B127" s="412" t="s">
        <v>386</v>
      </c>
      <c r="C127" s="1110">
        <v>13.821154278217543</v>
      </c>
    </row>
    <row r="128" spans="2:3">
      <c r="B128" s="412" t="s">
        <v>387</v>
      </c>
      <c r="C128" s="1110">
        <v>11.714334012402938</v>
      </c>
    </row>
    <row r="129" spans="2:3">
      <c r="B129" s="412" t="s">
        <v>388</v>
      </c>
      <c r="C129" s="1110">
        <v>13.821154278217543</v>
      </c>
    </row>
    <row r="130" spans="2:3">
      <c r="B130" s="412" t="s">
        <v>389</v>
      </c>
      <c r="C130" s="1110">
        <v>13.821154278217543</v>
      </c>
    </row>
    <row r="131" spans="2:3">
      <c r="B131" s="412" t="s">
        <v>390</v>
      </c>
      <c r="C131" s="1110">
        <v>13.821154278217543</v>
      </c>
    </row>
    <row r="132" spans="2:3">
      <c r="B132" s="412" t="s">
        <v>391</v>
      </c>
      <c r="C132" s="1110">
        <v>13.821154278217543</v>
      </c>
    </row>
    <row r="133" spans="2:3">
      <c r="B133" s="412" t="s">
        <v>392</v>
      </c>
      <c r="C133" s="1110">
        <v>13.821154278217543</v>
      </c>
    </row>
    <row r="134" spans="2:3">
      <c r="B134" s="412" t="s">
        <v>393</v>
      </c>
      <c r="C134" s="1110">
        <v>13.821154278217543</v>
      </c>
    </row>
    <row r="135" spans="2:3">
      <c r="B135" s="412" t="s">
        <v>394</v>
      </c>
      <c r="C135" s="1110">
        <v>13.821154278217543</v>
      </c>
    </row>
    <row r="136" spans="2:3">
      <c r="B136" s="412" t="s">
        <v>395</v>
      </c>
      <c r="C136" s="1110">
        <v>13.821154278217543</v>
      </c>
    </row>
    <row r="137" spans="2:3">
      <c r="B137" s="412" t="s">
        <v>396</v>
      </c>
      <c r="C137" s="1110">
        <v>13.821154278217543</v>
      </c>
    </row>
    <row r="138" spans="2:3">
      <c r="B138" s="412" t="s">
        <v>397</v>
      </c>
      <c r="C138" s="1110">
        <v>13.821154278217543</v>
      </c>
    </row>
    <row r="139" spans="2:3">
      <c r="B139" s="412" t="s">
        <v>398</v>
      </c>
      <c r="C139" s="1110">
        <v>13.821154278217543</v>
      </c>
    </row>
    <row r="140" spans="2:3">
      <c r="B140" s="412" t="s">
        <v>399</v>
      </c>
      <c r="C140" s="1110">
        <v>13.821154278217543</v>
      </c>
    </row>
    <row r="141" spans="2:3">
      <c r="B141" s="412" t="s">
        <v>400</v>
      </c>
      <c r="C141" s="1110">
        <v>13.821154278217543</v>
      </c>
    </row>
    <row r="142" spans="2:3">
      <c r="B142" s="412" t="s">
        <v>401</v>
      </c>
      <c r="C142" s="1110">
        <v>13.821154278217543</v>
      </c>
    </row>
    <row r="143" spans="2:3">
      <c r="B143" s="412" t="s">
        <v>402</v>
      </c>
      <c r="C143" s="1110">
        <v>13.821154278217543</v>
      </c>
    </row>
    <row r="144" spans="2:3">
      <c r="B144" s="412" t="s">
        <v>403</v>
      </c>
      <c r="C144" s="1110">
        <v>13.821154278217543</v>
      </c>
    </row>
    <row r="145" spans="2:3">
      <c r="B145" s="412" t="s">
        <v>404</v>
      </c>
      <c r="C145" s="1110">
        <v>13.821154278217543</v>
      </c>
    </row>
    <row r="146" spans="2:3">
      <c r="B146" s="412" t="s">
        <v>405</v>
      </c>
      <c r="C146" s="1110">
        <v>13.821154278217543</v>
      </c>
    </row>
    <row r="147" spans="2:3">
      <c r="B147" s="412" t="s">
        <v>406</v>
      </c>
      <c r="C147" s="1110">
        <v>13.821154278217543</v>
      </c>
    </row>
    <row r="148" spans="2:3">
      <c r="B148" s="412" t="s">
        <v>407</v>
      </c>
      <c r="C148" s="1110">
        <v>13.821154278217543</v>
      </c>
    </row>
    <row r="149" spans="2:3">
      <c r="B149" s="412" t="s">
        <v>408</v>
      </c>
      <c r="C149" s="1110">
        <v>13.821154278217543</v>
      </c>
    </row>
    <row r="150" spans="2:3">
      <c r="B150" s="412" t="s">
        <v>409</v>
      </c>
      <c r="C150" s="1110">
        <v>13.821154278217543</v>
      </c>
    </row>
    <row r="151" spans="2:3">
      <c r="B151" s="412" t="s">
        <v>410</v>
      </c>
      <c r="C151" s="1110">
        <v>13.821154278217543</v>
      </c>
    </row>
    <row r="152" spans="2:3">
      <c r="B152" s="412" t="s">
        <v>411</v>
      </c>
      <c r="C152" s="1110">
        <v>13.821154278217543</v>
      </c>
    </row>
    <row r="153" spans="2:3">
      <c r="B153" s="412" t="s">
        <v>412</v>
      </c>
      <c r="C153" s="1110">
        <v>13.821154278217543</v>
      </c>
    </row>
    <row r="154" spans="2:3">
      <c r="B154" s="412" t="s">
        <v>413</v>
      </c>
      <c r="C154" s="1110">
        <v>13.821154278217543</v>
      </c>
    </row>
    <row r="155" spans="2:3">
      <c r="B155" s="412" t="s">
        <v>414</v>
      </c>
      <c r="C155" s="1110">
        <v>13.821154278217543</v>
      </c>
    </row>
    <row r="156" spans="2:3">
      <c r="B156" s="412" t="s">
        <v>415</v>
      </c>
      <c r="C156" s="1110">
        <v>13.821154278217543</v>
      </c>
    </row>
    <row r="157" spans="2:3">
      <c r="B157" s="412" t="s">
        <v>416</v>
      </c>
      <c r="C157" s="1110">
        <v>13.821154278217543</v>
      </c>
    </row>
    <row r="158" spans="2:3">
      <c r="B158" s="412" t="s">
        <v>417</v>
      </c>
      <c r="C158" s="1110">
        <v>13.821154278217543</v>
      </c>
    </row>
    <row r="159" spans="2:3">
      <c r="B159" s="412" t="s">
        <v>418</v>
      </c>
      <c r="C159" s="1110">
        <v>13.821154278217543</v>
      </c>
    </row>
    <row r="160" spans="2:3">
      <c r="B160" s="412" t="s">
        <v>419</v>
      </c>
      <c r="C160" s="1110">
        <v>13.821154278217543</v>
      </c>
    </row>
    <row r="161" spans="2:3">
      <c r="B161" s="412" t="s">
        <v>420</v>
      </c>
      <c r="C161" s="1110">
        <v>13.821154278217543</v>
      </c>
    </row>
    <row r="162" spans="2:3">
      <c r="B162" s="412" t="s">
        <v>421</v>
      </c>
      <c r="C162" s="1110">
        <v>11.714334012402938</v>
      </c>
    </row>
    <row r="163" spans="2:3">
      <c r="B163" s="412" t="s">
        <v>422</v>
      </c>
      <c r="C163" s="1110">
        <v>11.714334012402938</v>
      </c>
    </row>
    <row r="164" spans="2:3">
      <c r="B164" s="412" t="s">
        <v>423</v>
      </c>
      <c r="C164" s="1110">
        <v>11.714334012402938</v>
      </c>
    </row>
    <row r="165" spans="2:3">
      <c r="B165" s="412" t="s">
        <v>424</v>
      </c>
      <c r="C165" s="1110">
        <v>11.714334012402938</v>
      </c>
    </row>
    <row r="166" spans="2:3">
      <c r="B166" s="412" t="s">
        <v>425</v>
      </c>
      <c r="C166" s="1110">
        <v>11.714334012402938</v>
      </c>
    </row>
    <row r="167" spans="2:3">
      <c r="B167" s="412" t="s">
        <v>426</v>
      </c>
      <c r="C167" s="1110">
        <v>11.714334012402938</v>
      </c>
    </row>
    <row r="168" spans="2:3">
      <c r="B168" s="412" t="s">
        <v>427</v>
      </c>
      <c r="C168" s="1110">
        <v>11.714334012402938</v>
      </c>
    </row>
    <row r="169" spans="2:3">
      <c r="B169" s="412" t="s">
        <v>428</v>
      </c>
      <c r="C169" s="1110">
        <v>11.714334012402938</v>
      </c>
    </row>
    <row r="170" spans="2:3">
      <c r="B170" s="412" t="s">
        <v>429</v>
      </c>
      <c r="C170" s="1110">
        <v>11.714334012402938</v>
      </c>
    </row>
    <row r="171" spans="2:3">
      <c r="B171" s="412" t="s">
        <v>430</v>
      </c>
      <c r="C171" s="1110">
        <v>11.714334012402938</v>
      </c>
    </row>
    <row r="172" spans="2:3">
      <c r="B172" s="412" t="s">
        <v>431</v>
      </c>
      <c r="C172" s="1110">
        <v>11.714334012402938</v>
      </c>
    </row>
    <row r="173" spans="2:3">
      <c r="B173" s="412" t="s">
        <v>432</v>
      </c>
      <c r="C173" s="1110">
        <v>11.714334012402938</v>
      </c>
    </row>
    <row r="174" spans="2:3">
      <c r="B174" s="412" t="s">
        <v>433</v>
      </c>
      <c r="C174" s="1110">
        <v>12.49888872332942</v>
      </c>
    </row>
    <row r="175" spans="2:3">
      <c r="B175" s="412" t="s">
        <v>434</v>
      </c>
      <c r="C175" s="1110">
        <v>11.714334012402938</v>
      </c>
    </row>
    <row r="176" spans="2:3">
      <c r="B176" s="412" t="s">
        <v>435</v>
      </c>
      <c r="C176" s="1110">
        <v>11.917065773830382</v>
      </c>
    </row>
    <row r="177" spans="2:3">
      <c r="B177" s="412" t="s">
        <v>436</v>
      </c>
      <c r="C177" s="1110">
        <v>13.821154278217543</v>
      </c>
    </row>
    <row r="178" spans="2:3">
      <c r="B178" s="412" t="s">
        <v>437</v>
      </c>
      <c r="C178" s="1110">
        <v>13.821154278217543</v>
      </c>
    </row>
    <row r="179" spans="2:3">
      <c r="B179" s="412" t="s">
        <v>438</v>
      </c>
      <c r="C179" s="1110">
        <v>11.714334012402938</v>
      </c>
    </row>
    <row r="180" spans="2:3">
      <c r="B180" s="412" t="s">
        <v>439</v>
      </c>
      <c r="C180" s="1110">
        <v>11.714334012402938</v>
      </c>
    </row>
    <row r="181" spans="2:3">
      <c r="B181" s="412" t="s">
        <v>440</v>
      </c>
      <c r="C181" s="1110">
        <v>11.714334012402938</v>
      </c>
    </row>
    <row r="182" spans="2:3">
      <c r="B182" s="412" t="s">
        <v>441</v>
      </c>
      <c r="C182" s="1110">
        <v>11.714334012402938</v>
      </c>
    </row>
    <row r="183" spans="2:3">
      <c r="B183" s="412" t="s">
        <v>442</v>
      </c>
      <c r="C183" s="1110">
        <v>11.714334012402938</v>
      </c>
    </row>
    <row r="184" spans="2:3">
      <c r="B184" s="412" t="s">
        <v>443</v>
      </c>
      <c r="C184" s="1110">
        <v>11.714334012402938</v>
      </c>
    </row>
    <row r="185" spans="2:3">
      <c r="B185" s="412" t="s">
        <v>444</v>
      </c>
      <c r="C185" s="1110">
        <v>11.714334012402938</v>
      </c>
    </row>
    <row r="186" spans="2:3">
      <c r="B186" s="412" t="s">
        <v>445</v>
      </c>
      <c r="C186" s="1110">
        <v>11.714334012402938</v>
      </c>
    </row>
    <row r="187" spans="2:3">
      <c r="B187" s="412" t="s">
        <v>446</v>
      </c>
      <c r="C187" s="1110">
        <v>11.714334012402938</v>
      </c>
    </row>
    <row r="188" spans="2:3">
      <c r="B188" s="412" t="s">
        <v>447</v>
      </c>
      <c r="C188" s="1110">
        <v>11.714334012402938</v>
      </c>
    </row>
    <row r="189" spans="2:3">
      <c r="B189" s="412" t="s">
        <v>448</v>
      </c>
      <c r="C189" s="1110">
        <v>13.821154278217543</v>
      </c>
    </row>
    <row r="190" spans="2:3">
      <c r="B190" s="412" t="s">
        <v>449</v>
      </c>
      <c r="C190" s="1110">
        <v>13.821154278217543</v>
      </c>
    </row>
    <row r="191" spans="2:3">
      <c r="B191" s="412" t="s">
        <v>450</v>
      </c>
      <c r="C191" s="1110">
        <v>13.821154278217543</v>
      </c>
    </row>
    <row r="192" spans="2:3">
      <c r="B192" s="412" t="s">
        <v>451</v>
      </c>
      <c r="C192" s="1110">
        <v>13.821154278217543</v>
      </c>
    </row>
    <row r="193" spans="2:3">
      <c r="B193" s="412" t="s">
        <v>452</v>
      </c>
      <c r="C193" s="1110">
        <v>13.821154278217543</v>
      </c>
    </row>
    <row r="194" spans="2:3">
      <c r="B194" s="412" t="s">
        <v>453</v>
      </c>
      <c r="C194" s="1110">
        <v>13.821154278217543</v>
      </c>
    </row>
    <row r="195" spans="2:3">
      <c r="B195" s="412" t="s">
        <v>454</v>
      </c>
      <c r="C195" s="1110">
        <v>13.821154278217543</v>
      </c>
    </row>
    <row r="196" spans="2:3">
      <c r="B196" s="412" t="s">
        <v>455</v>
      </c>
      <c r="C196" s="1110">
        <v>13.821154278217543</v>
      </c>
    </row>
    <row r="197" spans="2:3">
      <c r="B197" s="412" t="s">
        <v>456</v>
      </c>
      <c r="C197" s="1110">
        <v>13.821154278217543</v>
      </c>
    </row>
    <row r="198" spans="2:3">
      <c r="B198" s="412" t="s">
        <v>457</v>
      </c>
      <c r="C198" s="1110">
        <v>13.821154278217543</v>
      </c>
    </row>
    <row r="199" spans="2:3">
      <c r="B199" s="412" t="s">
        <v>458</v>
      </c>
      <c r="C199" s="1110">
        <v>13.821154278217543</v>
      </c>
    </row>
    <row r="200" spans="2:3">
      <c r="B200" s="412" t="s">
        <v>459</v>
      </c>
      <c r="C200" s="1110">
        <v>13.821154278217543</v>
      </c>
    </row>
    <row r="201" spans="2:3">
      <c r="B201" s="412" t="s">
        <v>460</v>
      </c>
      <c r="C201" s="1110">
        <v>13.821154278217543</v>
      </c>
    </row>
    <row r="202" spans="2:3">
      <c r="B202" s="412" t="s">
        <v>461</v>
      </c>
      <c r="C202" s="1110">
        <v>13.821154278217543</v>
      </c>
    </row>
    <row r="203" spans="2:3">
      <c r="B203" s="412" t="s">
        <v>462</v>
      </c>
      <c r="C203" s="1110">
        <v>13.821154278217543</v>
      </c>
    </row>
    <row r="204" spans="2:3">
      <c r="B204" s="412" t="s">
        <v>463</v>
      </c>
      <c r="C204" s="1110">
        <v>13.821154278217543</v>
      </c>
    </row>
    <row r="205" spans="2:3">
      <c r="B205" s="412" t="s">
        <v>464</v>
      </c>
      <c r="C205" s="1110">
        <v>13.821154278217543</v>
      </c>
    </row>
    <row r="206" spans="2:3">
      <c r="B206" s="412" t="s">
        <v>465</v>
      </c>
      <c r="C206" s="1110">
        <v>13.821154278217543</v>
      </c>
    </row>
    <row r="207" spans="2:3">
      <c r="B207" s="412" t="s">
        <v>466</v>
      </c>
      <c r="C207" s="1110">
        <v>13.821154278217543</v>
      </c>
    </row>
    <row r="208" spans="2:3">
      <c r="B208" s="412" t="s">
        <v>467</v>
      </c>
      <c r="C208" s="1110">
        <v>13.821154278217543</v>
      </c>
    </row>
    <row r="209" spans="2:3">
      <c r="B209" s="412" t="s">
        <v>468</v>
      </c>
      <c r="C209" s="1110">
        <v>13.821154278217543</v>
      </c>
    </row>
    <row r="210" spans="2:3">
      <c r="B210" s="412" t="s">
        <v>469</v>
      </c>
      <c r="C210" s="1110">
        <v>13.821154278217543</v>
      </c>
    </row>
    <row r="211" spans="2:3">
      <c r="B211" s="412" t="s">
        <v>470</v>
      </c>
      <c r="C211" s="1110">
        <v>13.821154278217543</v>
      </c>
    </row>
    <row r="212" spans="2:3">
      <c r="B212" s="412" t="s">
        <v>471</v>
      </c>
      <c r="C212" s="1110">
        <v>13.821154278217543</v>
      </c>
    </row>
    <row r="213" spans="2:3">
      <c r="B213" s="412" t="s">
        <v>472</v>
      </c>
      <c r="C213" s="1110">
        <v>13.821154278217543</v>
      </c>
    </row>
    <row r="214" spans="2:3">
      <c r="B214" s="412" t="s">
        <v>473</v>
      </c>
      <c r="C214" s="1110">
        <v>13.821154278217543</v>
      </c>
    </row>
    <row r="215" spans="2:3">
      <c r="B215" s="412" t="s">
        <v>474</v>
      </c>
      <c r="C215" s="1110">
        <v>12.273132219106454</v>
      </c>
    </row>
    <row r="216" spans="2:3">
      <c r="B216" s="412" t="s">
        <v>475</v>
      </c>
      <c r="C216" s="1110">
        <v>11.714334012402938</v>
      </c>
    </row>
    <row r="217" spans="2:3">
      <c r="B217" s="412" t="s">
        <v>476</v>
      </c>
      <c r="C217" s="1110">
        <v>11.714334012402938</v>
      </c>
    </row>
    <row r="218" spans="2:3">
      <c r="B218" s="412" t="s">
        <v>477</v>
      </c>
      <c r="C218" s="1110">
        <v>11.714334012402938</v>
      </c>
    </row>
    <row r="219" spans="2:3">
      <c r="B219" s="412" t="s">
        <v>478</v>
      </c>
      <c r="C219" s="1110">
        <v>11.714334012402938</v>
      </c>
    </row>
    <row r="220" spans="2:3">
      <c r="B220" s="412" t="s">
        <v>479</v>
      </c>
      <c r="C220" s="1110">
        <v>11.714334012402938</v>
      </c>
    </row>
    <row r="221" spans="2:3">
      <c r="B221" s="412" t="s">
        <v>480</v>
      </c>
      <c r="C221" s="1110">
        <v>11.714334012402938</v>
      </c>
    </row>
    <row r="222" spans="2:3">
      <c r="B222" s="412" t="s">
        <v>481</v>
      </c>
      <c r="C222" s="1110">
        <v>11.756260783861935</v>
      </c>
    </row>
    <row r="223" spans="2:3">
      <c r="B223" s="412" t="s">
        <v>482</v>
      </c>
      <c r="C223" s="1110">
        <v>12.601197088724104</v>
      </c>
    </row>
    <row r="224" spans="2:3">
      <c r="B224" s="412" t="s">
        <v>483</v>
      </c>
      <c r="C224" s="1110">
        <v>11.714334012402938</v>
      </c>
    </row>
    <row r="225" spans="2:3">
      <c r="B225" s="412" t="s">
        <v>484</v>
      </c>
      <c r="C225" s="1110">
        <v>11.730890556731538</v>
      </c>
    </row>
    <row r="226" spans="2:3">
      <c r="B226" s="412" t="s">
        <v>485</v>
      </c>
      <c r="C226" s="1110">
        <v>11.727239496420179</v>
      </c>
    </row>
    <row r="227" spans="2:3">
      <c r="B227" s="412" t="s">
        <v>486</v>
      </c>
      <c r="C227" s="1110">
        <v>13.821154278217543</v>
      </c>
    </row>
    <row r="228" spans="2:3">
      <c r="B228" s="412" t="s">
        <v>487</v>
      </c>
      <c r="C228" s="1110">
        <v>13.821154278217543</v>
      </c>
    </row>
    <row r="229" spans="2:3">
      <c r="B229" s="412" t="s">
        <v>488</v>
      </c>
      <c r="C229" s="1110">
        <v>13.821154278217543</v>
      </c>
    </row>
    <row r="230" spans="2:3">
      <c r="B230" s="412" t="s">
        <v>489</v>
      </c>
      <c r="C230" s="1110">
        <v>13.821154278217543</v>
      </c>
    </row>
    <row r="231" spans="2:3">
      <c r="B231" s="412" t="s">
        <v>490</v>
      </c>
      <c r="C231" s="1110">
        <v>13.821154278217543</v>
      </c>
    </row>
    <row r="232" spans="2:3">
      <c r="B232" s="412" t="s">
        <v>491</v>
      </c>
      <c r="C232" s="1110">
        <v>13.821154278217543</v>
      </c>
    </row>
    <row r="233" spans="2:3">
      <c r="B233" s="412" t="s">
        <v>492</v>
      </c>
      <c r="C233" s="1110">
        <v>13.821154278217543</v>
      </c>
    </row>
    <row r="234" spans="2:3">
      <c r="B234" s="412" t="s">
        <v>493</v>
      </c>
      <c r="C234" s="1110">
        <v>13.821154278217543</v>
      </c>
    </row>
    <row r="235" spans="2:3">
      <c r="B235" s="412" t="s">
        <v>494</v>
      </c>
      <c r="C235" s="1110">
        <v>13.821154278217543</v>
      </c>
    </row>
    <row r="236" spans="2:3">
      <c r="B236" s="412" t="s">
        <v>495</v>
      </c>
      <c r="C236" s="1110">
        <v>13.821154278217543</v>
      </c>
    </row>
    <row r="237" spans="2:3">
      <c r="B237" s="412" t="s">
        <v>496</v>
      </c>
      <c r="C237" s="1110">
        <v>13.821154278217543</v>
      </c>
    </row>
    <row r="238" spans="2:3">
      <c r="B238" s="412" t="s">
        <v>497</v>
      </c>
      <c r="C238" s="1110">
        <v>13.821154278217543</v>
      </c>
    </row>
    <row r="239" spans="2:3">
      <c r="B239" s="412" t="s">
        <v>498</v>
      </c>
      <c r="C239" s="1110">
        <v>13.821154278217543</v>
      </c>
    </row>
    <row r="240" spans="2:3">
      <c r="B240" s="412" t="s">
        <v>499</v>
      </c>
      <c r="C240" s="1110">
        <v>13.821154278217543</v>
      </c>
    </row>
    <row r="241" spans="2:3">
      <c r="B241" s="412" t="s">
        <v>500</v>
      </c>
      <c r="C241" s="1110">
        <v>13.821154278217543</v>
      </c>
    </row>
    <row r="242" spans="2:3">
      <c r="B242" s="412" t="s">
        <v>501</v>
      </c>
      <c r="C242" s="1110">
        <v>13.821154278217543</v>
      </c>
    </row>
    <row r="243" spans="2:3">
      <c r="B243" s="412" t="s">
        <v>502</v>
      </c>
      <c r="C243" s="1110">
        <v>13.821154278217543</v>
      </c>
    </row>
    <row r="244" spans="2:3">
      <c r="B244" s="412" t="s">
        <v>503</v>
      </c>
      <c r="C244" s="1110">
        <v>13.821154278217543</v>
      </c>
    </row>
    <row r="245" spans="2:3">
      <c r="B245" s="412" t="s">
        <v>504</v>
      </c>
      <c r="C245" s="1110">
        <v>13.821154278217543</v>
      </c>
    </row>
    <row r="246" spans="2:3">
      <c r="B246" s="412" t="s">
        <v>505</v>
      </c>
      <c r="C246" s="1110">
        <v>13.821154278217543</v>
      </c>
    </row>
    <row r="247" spans="2:3">
      <c r="B247" s="412" t="s">
        <v>506</v>
      </c>
      <c r="C247" s="1110">
        <v>13.821154278217543</v>
      </c>
    </row>
    <row r="248" spans="2:3">
      <c r="B248" s="412" t="s">
        <v>507</v>
      </c>
      <c r="C248" s="1110">
        <v>13.821154278217543</v>
      </c>
    </row>
    <row r="249" spans="2:3">
      <c r="B249" s="412" t="s">
        <v>508</v>
      </c>
      <c r="C249" s="1110">
        <v>13.821154278217543</v>
      </c>
    </row>
    <row r="250" spans="2:3">
      <c r="B250" s="412" t="s">
        <v>509</v>
      </c>
      <c r="C250" s="1110">
        <v>13.821154278217543</v>
      </c>
    </row>
    <row r="251" spans="2:3">
      <c r="B251" s="412" t="s">
        <v>510</v>
      </c>
      <c r="C251" s="1110">
        <v>13.821154278217543</v>
      </c>
    </row>
    <row r="252" spans="2:3">
      <c r="B252" s="412" t="s">
        <v>511</v>
      </c>
      <c r="C252" s="1110">
        <v>13.821154278217543</v>
      </c>
    </row>
    <row r="253" spans="2:3">
      <c r="B253" s="412" t="s">
        <v>512</v>
      </c>
      <c r="C253" s="1110">
        <v>13.821154278217543</v>
      </c>
    </row>
    <row r="254" spans="2:3">
      <c r="B254" s="412" t="s">
        <v>513</v>
      </c>
      <c r="C254" s="1110">
        <v>13.821154278217543</v>
      </c>
    </row>
    <row r="255" spans="2:3">
      <c r="B255" s="412" t="s">
        <v>514</v>
      </c>
      <c r="C255" s="1110">
        <v>13.821154278217543</v>
      </c>
    </row>
    <row r="256" spans="2:3">
      <c r="B256" s="412" t="s">
        <v>515</v>
      </c>
      <c r="C256" s="1110">
        <v>13.821154278217543</v>
      </c>
    </row>
    <row r="257" spans="2:3">
      <c r="B257" s="412" t="s">
        <v>516</v>
      </c>
      <c r="C257" s="1110">
        <v>13.821154278217543</v>
      </c>
    </row>
    <row r="258" spans="2:3">
      <c r="B258" s="412" t="s">
        <v>517</v>
      </c>
      <c r="C258" s="1110">
        <v>13.821154278217543</v>
      </c>
    </row>
    <row r="259" spans="2:3">
      <c r="B259" s="412" t="s">
        <v>518</v>
      </c>
      <c r="C259" s="1110">
        <v>13.821154278217543</v>
      </c>
    </row>
    <row r="260" spans="2:3">
      <c r="B260" s="412" t="s">
        <v>519</v>
      </c>
      <c r="C260" s="1110">
        <v>13.821154278217543</v>
      </c>
    </row>
    <row r="261" spans="2:3">
      <c r="B261" s="412" t="s">
        <v>520</v>
      </c>
      <c r="C261" s="1110">
        <v>13.821154278217543</v>
      </c>
    </row>
    <row r="262" spans="2:3">
      <c r="B262" s="412" t="s">
        <v>521</v>
      </c>
      <c r="C262" s="1110">
        <v>13.821154278217543</v>
      </c>
    </row>
    <row r="263" spans="2:3">
      <c r="B263" s="412" t="s">
        <v>522</v>
      </c>
      <c r="C263" s="1110">
        <v>13.821154278217543</v>
      </c>
    </row>
    <row r="264" spans="2:3">
      <c r="B264" s="412" t="s">
        <v>523</v>
      </c>
      <c r="C264" s="1110">
        <v>9.4919290855704439</v>
      </c>
    </row>
    <row r="265" spans="2:3">
      <c r="B265" s="412" t="s">
        <v>524</v>
      </c>
      <c r="C265" s="1110">
        <v>9.4919290855704439</v>
      </c>
    </row>
    <row r="266" spans="2:3">
      <c r="B266" s="412" t="s">
        <v>525</v>
      </c>
      <c r="C266" s="1110">
        <v>9.4919290855704439</v>
      </c>
    </row>
    <row r="267" spans="2:3">
      <c r="B267" s="412" t="s">
        <v>526</v>
      </c>
      <c r="C267" s="1110">
        <v>9.4919290855704439</v>
      </c>
    </row>
    <row r="268" spans="2:3">
      <c r="B268" s="412" t="s">
        <v>527</v>
      </c>
      <c r="C268" s="1110">
        <v>9.4919290855704439</v>
      </c>
    </row>
    <row r="269" spans="2:3">
      <c r="B269" s="412" t="s">
        <v>528</v>
      </c>
      <c r="C269" s="1110">
        <v>9.5679470871972594</v>
      </c>
    </row>
    <row r="270" spans="2:3">
      <c r="B270" s="412" t="s">
        <v>529</v>
      </c>
      <c r="C270" s="1110">
        <v>9.4919290855704439</v>
      </c>
    </row>
    <row r="271" spans="2:3">
      <c r="B271" s="412" t="s">
        <v>530</v>
      </c>
      <c r="C271" s="1110">
        <v>13.732075570549908</v>
      </c>
    </row>
    <row r="272" spans="2:3">
      <c r="B272" s="412" t="s">
        <v>531</v>
      </c>
      <c r="C272" s="1110">
        <v>13.821154278217543</v>
      </c>
    </row>
    <row r="273" spans="2:3">
      <c r="B273" s="412" t="s">
        <v>532</v>
      </c>
      <c r="C273" s="1110">
        <v>13.821154278217543</v>
      </c>
    </row>
    <row r="274" spans="2:3">
      <c r="B274" s="412" t="s">
        <v>533</v>
      </c>
      <c r="C274" s="1110">
        <v>13.821154278217543</v>
      </c>
    </row>
    <row r="275" spans="2:3">
      <c r="B275" s="412" t="s">
        <v>534</v>
      </c>
      <c r="C275" s="1110">
        <v>13.821154278217543</v>
      </c>
    </row>
    <row r="276" spans="2:3">
      <c r="B276" s="412" t="s">
        <v>535</v>
      </c>
      <c r="C276" s="1110">
        <v>13.821154278217543</v>
      </c>
    </row>
    <row r="277" spans="2:3">
      <c r="B277" s="412" t="s">
        <v>536</v>
      </c>
      <c r="C277" s="1110">
        <v>13.821154278217543</v>
      </c>
    </row>
    <row r="278" spans="2:3">
      <c r="B278" s="412" t="s">
        <v>537</v>
      </c>
      <c r="C278" s="1110">
        <v>13.821154278217543</v>
      </c>
    </row>
    <row r="279" spans="2:3">
      <c r="B279" s="412" t="s">
        <v>538</v>
      </c>
      <c r="C279" s="1110">
        <v>13.821154278217543</v>
      </c>
    </row>
    <row r="280" spans="2:3">
      <c r="B280" s="412" t="s">
        <v>539</v>
      </c>
      <c r="C280" s="1110">
        <v>13.821154278217543</v>
      </c>
    </row>
    <row r="281" spans="2:3">
      <c r="B281" s="412" t="s">
        <v>540</v>
      </c>
      <c r="C281" s="1110">
        <v>13.821154278217543</v>
      </c>
    </row>
    <row r="282" spans="2:3">
      <c r="B282" s="412" t="s">
        <v>541</v>
      </c>
      <c r="C282" s="1110">
        <v>13.821154278217543</v>
      </c>
    </row>
    <row r="283" spans="2:3">
      <c r="B283" s="412" t="s">
        <v>542</v>
      </c>
      <c r="C283" s="1110">
        <v>13.821154278217543</v>
      </c>
    </row>
    <row r="284" spans="2:3">
      <c r="B284" s="412" t="s">
        <v>543</v>
      </c>
      <c r="C284" s="1110">
        <v>13.821154278217543</v>
      </c>
    </row>
    <row r="285" spans="2:3">
      <c r="B285" s="412" t="s">
        <v>544</v>
      </c>
      <c r="C285" s="1110">
        <v>13.821154278217543</v>
      </c>
    </row>
    <row r="286" spans="2:3">
      <c r="B286" s="412" t="s">
        <v>545</v>
      </c>
      <c r="C286" s="1110">
        <v>13.821154278217543</v>
      </c>
    </row>
    <row r="287" spans="2:3">
      <c r="B287" s="412" t="s">
        <v>546</v>
      </c>
      <c r="C287" s="1110">
        <v>13.821154278217543</v>
      </c>
    </row>
    <row r="288" spans="2:3">
      <c r="B288" s="412" t="s">
        <v>547</v>
      </c>
      <c r="C288" s="1110">
        <v>13.821154278217543</v>
      </c>
    </row>
    <row r="289" spans="2:3">
      <c r="B289" s="412" t="s">
        <v>548</v>
      </c>
      <c r="C289" s="1110">
        <v>13.821154278217543</v>
      </c>
    </row>
    <row r="290" spans="2:3">
      <c r="B290" s="412" t="s">
        <v>549</v>
      </c>
      <c r="C290" s="1110">
        <v>13.821154278217543</v>
      </c>
    </row>
    <row r="291" spans="2:3">
      <c r="B291" s="412" t="s">
        <v>550</v>
      </c>
      <c r="C291" s="1110">
        <v>13.821154278217543</v>
      </c>
    </row>
    <row r="292" spans="2:3">
      <c r="B292" s="412" t="s">
        <v>551</v>
      </c>
      <c r="C292" s="1110">
        <v>13.821154278217543</v>
      </c>
    </row>
    <row r="293" spans="2:3">
      <c r="B293" s="412" t="s">
        <v>552</v>
      </c>
      <c r="C293" s="1110">
        <v>13.821154278217543</v>
      </c>
    </row>
    <row r="294" spans="2:3">
      <c r="B294" s="412" t="s">
        <v>553</v>
      </c>
      <c r="C294" s="1110">
        <v>13.821154278217543</v>
      </c>
    </row>
    <row r="295" spans="2:3">
      <c r="B295" s="412" t="s">
        <v>554</v>
      </c>
      <c r="C295" s="1110">
        <v>13.821154278217543</v>
      </c>
    </row>
    <row r="296" spans="2:3">
      <c r="B296" s="412" t="s">
        <v>555</v>
      </c>
      <c r="C296" s="1110">
        <v>13.821154278217543</v>
      </c>
    </row>
    <row r="297" spans="2:3">
      <c r="B297" s="412" t="s">
        <v>556</v>
      </c>
      <c r="C297" s="1110">
        <v>13.821154278217543</v>
      </c>
    </row>
    <row r="298" spans="2:3">
      <c r="B298" s="412" t="s">
        <v>557</v>
      </c>
      <c r="C298" s="1110">
        <v>13.821154278217543</v>
      </c>
    </row>
    <row r="299" spans="2:3">
      <c r="B299" s="412" t="s">
        <v>558</v>
      </c>
      <c r="C299" s="1110">
        <v>13.821154278217543</v>
      </c>
    </row>
    <row r="300" spans="2:3">
      <c r="B300" s="412" t="s">
        <v>559</v>
      </c>
      <c r="C300" s="1110">
        <v>13.821154278217543</v>
      </c>
    </row>
    <row r="301" spans="2:3">
      <c r="B301" s="412" t="s">
        <v>560</v>
      </c>
      <c r="C301" s="1110">
        <v>13.821154278217543</v>
      </c>
    </row>
    <row r="302" spans="2:3">
      <c r="B302" s="412" t="s">
        <v>561</v>
      </c>
      <c r="C302" s="1110">
        <v>13.821154278217543</v>
      </c>
    </row>
    <row r="303" spans="2:3">
      <c r="B303" s="412" t="s">
        <v>562</v>
      </c>
      <c r="C303" s="1110">
        <v>13.821154278217543</v>
      </c>
    </row>
    <row r="304" spans="2:3">
      <c r="B304" s="412" t="s">
        <v>563</v>
      </c>
      <c r="C304" s="1110">
        <v>13.821154278217543</v>
      </c>
    </row>
    <row r="305" spans="2:3">
      <c r="B305" s="412" t="s">
        <v>564</v>
      </c>
      <c r="C305" s="1110">
        <v>13.821154278217543</v>
      </c>
    </row>
    <row r="306" spans="2:3">
      <c r="B306" s="412" t="s">
        <v>565</v>
      </c>
      <c r="C306" s="1110">
        <v>13.821154278217543</v>
      </c>
    </row>
    <row r="307" spans="2:3">
      <c r="B307" s="412" t="s">
        <v>566</v>
      </c>
      <c r="C307" s="1110">
        <v>13.821154278217543</v>
      </c>
    </row>
    <row r="308" spans="2:3">
      <c r="B308" s="412" t="s">
        <v>567</v>
      </c>
      <c r="C308" s="1110">
        <v>13.821154278217543</v>
      </c>
    </row>
    <row r="309" spans="2:3">
      <c r="B309" s="412" t="s">
        <v>568</v>
      </c>
      <c r="C309" s="1110">
        <v>13.821154278217543</v>
      </c>
    </row>
    <row r="310" spans="2:3">
      <c r="B310" s="412" t="s">
        <v>569</v>
      </c>
      <c r="C310" s="1110">
        <v>13.821154278217543</v>
      </c>
    </row>
    <row r="311" spans="2:3">
      <c r="B311" s="412" t="s">
        <v>570</v>
      </c>
      <c r="C311" s="1110">
        <v>13.821154278217543</v>
      </c>
    </row>
    <row r="312" spans="2:3">
      <c r="B312" s="412" t="s">
        <v>571</v>
      </c>
      <c r="C312" s="1110">
        <v>13.821154278217543</v>
      </c>
    </row>
    <row r="313" spans="2:3">
      <c r="B313" s="412" t="s">
        <v>572</v>
      </c>
      <c r="C313" s="1110">
        <v>13.821154278217543</v>
      </c>
    </row>
    <row r="314" spans="2:3">
      <c r="B314" s="412" t="s">
        <v>573</v>
      </c>
      <c r="C314" s="1110">
        <v>13.821154278217543</v>
      </c>
    </row>
    <row r="315" spans="2:3">
      <c r="B315" s="412" t="s">
        <v>574</v>
      </c>
      <c r="C315" s="1110">
        <v>13.821154278217543</v>
      </c>
    </row>
    <row r="316" spans="2:3">
      <c r="B316" s="412" t="s">
        <v>575</v>
      </c>
      <c r="C316" s="1110">
        <v>13.821154278217543</v>
      </c>
    </row>
    <row r="317" spans="2:3">
      <c r="B317" s="412" t="s">
        <v>576</v>
      </c>
      <c r="C317" s="1110">
        <v>13.821154278217543</v>
      </c>
    </row>
    <row r="318" spans="2:3">
      <c r="B318" s="412" t="s">
        <v>577</v>
      </c>
      <c r="C318" s="1110">
        <v>13.821154278217543</v>
      </c>
    </row>
    <row r="319" spans="2:3">
      <c r="B319" s="412" t="s">
        <v>578</v>
      </c>
      <c r="C319" s="1110">
        <v>13.821154278217543</v>
      </c>
    </row>
    <row r="320" spans="2:3">
      <c r="B320" s="412" t="s">
        <v>579</v>
      </c>
      <c r="C320" s="1110">
        <v>13.821154278217543</v>
      </c>
    </row>
    <row r="321" spans="2:3">
      <c r="B321" s="412" t="s">
        <v>580</v>
      </c>
      <c r="C321" s="1110">
        <v>13.821154278217543</v>
      </c>
    </row>
    <row r="322" spans="2:3">
      <c r="B322" s="412" t="s">
        <v>581</v>
      </c>
      <c r="C322" s="1110">
        <v>13.821154278217543</v>
      </c>
    </row>
    <row r="323" spans="2:3">
      <c r="B323" s="412" t="s">
        <v>582</v>
      </c>
      <c r="C323" s="1110">
        <v>13.821154278217543</v>
      </c>
    </row>
    <row r="324" spans="2:3">
      <c r="B324" s="412" t="s">
        <v>583</v>
      </c>
      <c r="C324" s="1110">
        <v>13.821154278217543</v>
      </c>
    </row>
    <row r="325" spans="2:3">
      <c r="B325" s="412" t="s">
        <v>584</v>
      </c>
      <c r="C325" s="1110">
        <v>13.821154278217543</v>
      </c>
    </row>
    <row r="326" spans="2:3">
      <c r="B326" s="412" t="s">
        <v>585</v>
      </c>
      <c r="C326" s="1110">
        <v>13.821154278217543</v>
      </c>
    </row>
    <row r="327" spans="2:3">
      <c r="B327" s="412" t="s">
        <v>586</v>
      </c>
      <c r="C327" s="1110">
        <v>13.821154278217543</v>
      </c>
    </row>
    <row r="328" spans="2:3">
      <c r="B328" s="412" t="s">
        <v>587</v>
      </c>
      <c r="C328" s="1110">
        <v>13.821154278217543</v>
      </c>
    </row>
    <row r="329" spans="2:3">
      <c r="B329" s="412" t="s">
        <v>588</v>
      </c>
      <c r="C329" s="1110">
        <v>13.821154278217543</v>
      </c>
    </row>
    <row r="330" spans="2:3">
      <c r="B330" s="412" t="s">
        <v>589</v>
      </c>
      <c r="C330" s="1110">
        <v>13.821154278217543</v>
      </c>
    </row>
    <row r="331" spans="2:3">
      <c r="B331" s="412" t="s">
        <v>590</v>
      </c>
      <c r="C331" s="1110">
        <v>13.821154278217543</v>
      </c>
    </row>
    <row r="332" spans="2:3">
      <c r="B332" s="412" t="s">
        <v>591</v>
      </c>
      <c r="C332" s="1110">
        <v>13.821154278217543</v>
      </c>
    </row>
    <row r="333" spans="2:3">
      <c r="B333" s="412" t="s">
        <v>592</v>
      </c>
      <c r="C333" s="1110">
        <v>13.821154278217543</v>
      </c>
    </row>
    <row r="334" spans="2:3">
      <c r="B334" s="412" t="s">
        <v>593</v>
      </c>
      <c r="C334" s="1110">
        <v>13.821154278217543</v>
      </c>
    </row>
    <row r="335" spans="2:3">
      <c r="B335" s="412" t="s">
        <v>594</v>
      </c>
      <c r="C335" s="1110">
        <v>13.821154278217543</v>
      </c>
    </row>
    <row r="336" spans="2:3">
      <c r="B336" s="412" t="s">
        <v>595</v>
      </c>
      <c r="C336" s="1110">
        <v>13.821154278217543</v>
      </c>
    </row>
    <row r="337" spans="2:3">
      <c r="B337" s="412" t="s">
        <v>596</v>
      </c>
      <c r="C337" s="1110">
        <v>13.821154278217543</v>
      </c>
    </row>
    <row r="338" spans="2:3">
      <c r="B338" s="412" t="s">
        <v>597</v>
      </c>
      <c r="C338" s="1110">
        <v>13.821154278217543</v>
      </c>
    </row>
    <row r="339" spans="2:3">
      <c r="B339" s="412" t="s">
        <v>598</v>
      </c>
      <c r="C339" s="1110">
        <v>13.821154278217543</v>
      </c>
    </row>
    <row r="340" spans="2:3">
      <c r="B340" s="412" t="s">
        <v>599</v>
      </c>
      <c r="C340" s="1110">
        <v>13.821154278217543</v>
      </c>
    </row>
    <row r="341" spans="2:3">
      <c r="B341" s="412" t="s">
        <v>600</v>
      </c>
      <c r="C341" s="1110">
        <v>13.821154278217543</v>
      </c>
    </row>
    <row r="342" spans="2:3">
      <c r="B342" s="412" t="s">
        <v>601</v>
      </c>
      <c r="C342" s="1110">
        <v>13.821154278217543</v>
      </c>
    </row>
    <row r="343" spans="2:3">
      <c r="B343" s="412" t="s">
        <v>602</v>
      </c>
      <c r="C343" s="1110">
        <v>13.821154278217543</v>
      </c>
    </row>
    <row r="344" spans="2:3">
      <c r="B344" s="412" t="s">
        <v>603</v>
      </c>
      <c r="C344" s="1110">
        <v>13.821154278217543</v>
      </c>
    </row>
    <row r="345" spans="2:3">
      <c r="B345" s="412" t="s">
        <v>604</v>
      </c>
      <c r="C345" s="1110">
        <v>13.821154278217543</v>
      </c>
    </row>
    <row r="346" spans="2:3">
      <c r="B346" s="412" t="s">
        <v>605</v>
      </c>
      <c r="C346" s="1110">
        <v>13.821154278217543</v>
      </c>
    </row>
    <row r="347" spans="2:3">
      <c r="B347" s="412" t="s">
        <v>606</v>
      </c>
      <c r="C347" s="1110">
        <v>13.821154278217543</v>
      </c>
    </row>
    <row r="348" spans="2:3">
      <c r="B348" s="412" t="s">
        <v>607</v>
      </c>
      <c r="C348" s="1110">
        <v>13.821154278217543</v>
      </c>
    </row>
    <row r="349" spans="2:3">
      <c r="B349" s="412" t="s">
        <v>608</v>
      </c>
      <c r="C349" s="1110">
        <v>13.821154278217543</v>
      </c>
    </row>
    <row r="350" spans="2:3">
      <c r="B350" s="412" t="s">
        <v>609</v>
      </c>
      <c r="C350" s="1110">
        <v>13.821154278217543</v>
      </c>
    </row>
    <row r="351" spans="2:3">
      <c r="B351" s="412" t="s">
        <v>610</v>
      </c>
      <c r="C351" s="1110">
        <v>13.821154278217543</v>
      </c>
    </row>
    <row r="352" spans="2:3">
      <c r="B352" s="412" t="s">
        <v>611</v>
      </c>
      <c r="C352" s="1110">
        <v>13.821154278217543</v>
      </c>
    </row>
    <row r="353" spans="2:3">
      <c r="B353" s="412" t="s">
        <v>612</v>
      </c>
      <c r="C353" s="1110">
        <v>13.821154278217543</v>
      </c>
    </row>
    <row r="354" spans="2:3">
      <c r="B354" s="412" t="s">
        <v>613</v>
      </c>
      <c r="C354" s="1110">
        <v>13.821154278217543</v>
      </c>
    </row>
    <row r="355" spans="2:3">
      <c r="B355" s="412" t="s">
        <v>614</v>
      </c>
      <c r="C355" s="1110">
        <v>13.821154278217543</v>
      </c>
    </row>
    <row r="356" spans="2:3">
      <c r="B356" s="412" t="s">
        <v>615</v>
      </c>
      <c r="C356" s="1110">
        <v>13.821154278217543</v>
      </c>
    </row>
    <row r="357" spans="2:3">
      <c r="B357" s="412" t="s">
        <v>616</v>
      </c>
      <c r="C357" s="1110">
        <v>13.821154278217543</v>
      </c>
    </row>
    <row r="358" spans="2:3">
      <c r="B358" s="412" t="s">
        <v>617</v>
      </c>
      <c r="C358" s="1110">
        <v>13.821154278217543</v>
      </c>
    </row>
    <row r="359" spans="2:3">
      <c r="B359" s="412" t="s">
        <v>618</v>
      </c>
      <c r="C359" s="1110">
        <v>13.821154278217543</v>
      </c>
    </row>
    <row r="360" spans="2:3">
      <c r="B360" s="412" t="s">
        <v>619</v>
      </c>
      <c r="C360" s="1110">
        <v>13.821154278217543</v>
      </c>
    </row>
    <row r="361" spans="2:3">
      <c r="B361" s="412" t="s">
        <v>620</v>
      </c>
      <c r="C361" s="1110">
        <v>13.821154278217543</v>
      </c>
    </row>
    <row r="362" spans="2:3">
      <c r="B362" s="412" t="s">
        <v>621</v>
      </c>
      <c r="C362" s="1110">
        <v>13.821154278217543</v>
      </c>
    </row>
    <row r="363" spans="2:3">
      <c r="B363" s="412" t="s">
        <v>622</v>
      </c>
      <c r="C363" s="1110">
        <v>13.821154278217543</v>
      </c>
    </row>
    <row r="364" spans="2:3">
      <c r="B364" s="412" t="s">
        <v>623</v>
      </c>
      <c r="C364" s="1110">
        <v>13.821154278217543</v>
      </c>
    </row>
    <row r="365" spans="2:3">
      <c r="B365" s="412" t="s">
        <v>624</v>
      </c>
      <c r="C365" s="1110">
        <v>13.821154278217543</v>
      </c>
    </row>
    <row r="366" spans="2:3">
      <c r="B366" s="412" t="s">
        <v>625</v>
      </c>
      <c r="C366" s="1110">
        <v>13.821154278217543</v>
      </c>
    </row>
    <row r="367" spans="2:3">
      <c r="B367" s="412" t="s">
        <v>626</v>
      </c>
      <c r="C367" s="1110">
        <v>13.821154278217543</v>
      </c>
    </row>
    <row r="368" spans="2:3">
      <c r="B368" s="412" t="s">
        <v>627</v>
      </c>
      <c r="C368" s="1110">
        <v>13.821154278217543</v>
      </c>
    </row>
    <row r="369" spans="2:3">
      <c r="B369" s="412" t="s">
        <v>628</v>
      </c>
      <c r="C369" s="1110">
        <v>13.821154278217543</v>
      </c>
    </row>
    <row r="370" spans="2:3">
      <c r="B370" s="412" t="s">
        <v>629</v>
      </c>
      <c r="C370" s="1110">
        <v>13.821154278217543</v>
      </c>
    </row>
    <row r="371" spans="2:3">
      <c r="B371" s="412" t="s">
        <v>630</v>
      </c>
      <c r="C371" s="1110">
        <v>13.821154278217543</v>
      </c>
    </row>
    <row r="372" spans="2:3">
      <c r="B372" s="412" t="s">
        <v>631</v>
      </c>
      <c r="C372" s="1110">
        <v>13.821154278217543</v>
      </c>
    </row>
    <row r="373" spans="2:3">
      <c r="B373" s="412" t="s">
        <v>632</v>
      </c>
      <c r="C373" s="1110">
        <v>13.821154278217543</v>
      </c>
    </row>
    <row r="374" spans="2:3">
      <c r="B374" s="412" t="s">
        <v>633</v>
      </c>
      <c r="C374" s="1110">
        <v>13.821154278217543</v>
      </c>
    </row>
    <row r="375" spans="2:3">
      <c r="B375" s="412" t="s">
        <v>634</v>
      </c>
      <c r="C375" s="1110">
        <v>13.821154278217543</v>
      </c>
    </row>
    <row r="376" spans="2:3">
      <c r="B376" s="412" t="s">
        <v>635</v>
      </c>
      <c r="C376" s="1110">
        <v>13.821154278217543</v>
      </c>
    </row>
    <row r="377" spans="2:3">
      <c r="B377" s="412" t="s">
        <v>636</v>
      </c>
      <c r="C377" s="1110">
        <v>13.821154278217543</v>
      </c>
    </row>
    <row r="378" spans="2:3">
      <c r="B378" s="412" t="s">
        <v>637</v>
      </c>
      <c r="C378" s="1110">
        <v>13.821154278217543</v>
      </c>
    </row>
    <row r="379" spans="2:3">
      <c r="B379" s="412" t="s">
        <v>638</v>
      </c>
      <c r="C379" s="1110">
        <v>13.821154278217543</v>
      </c>
    </row>
    <row r="380" spans="2:3">
      <c r="B380" s="412" t="s">
        <v>639</v>
      </c>
      <c r="C380" s="1110">
        <v>13.821154278217543</v>
      </c>
    </row>
    <row r="381" spans="2:3">
      <c r="B381" s="412" t="s">
        <v>640</v>
      </c>
      <c r="C381" s="1110">
        <v>13.821154278217543</v>
      </c>
    </row>
    <row r="382" spans="2:3">
      <c r="B382" s="412" t="s">
        <v>641</v>
      </c>
      <c r="C382" s="1110">
        <v>13.821154278217543</v>
      </c>
    </row>
    <row r="383" spans="2:3">
      <c r="B383" s="412" t="s">
        <v>642</v>
      </c>
      <c r="C383" s="1110">
        <v>13.821154278217543</v>
      </c>
    </row>
    <row r="384" spans="2:3">
      <c r="B384" s="412" t="s">
        <v>643</v>
      </c>
      <c r="C384" s="1110">
        <v>13.821154278217543</v>
      </c>
    </row>
    <row r="385" spans="2:3">
      <c r="B385" s="412" t="s">
        <v>644</v>
      </c>
      <c r="C385" s="1110">
        <v>13.821154278217543</v>
      </c>
    </row>
    <row r="386" spans="2:3">
      <c r="B386" s="412" t="s">
        <v>645</v>
      </c>
      <c r="C386" s="1110">
        <v>13.821154278217543</v>
      </c>
    </row>
    <row r="387" spans="2:3">
      <c r="B387" s="412" t="s">
        <v>646</v>
      </c>
      <c r="C387" s="1110">
        <v>13.821154278217543</v>
      </c>
    </row>
    <row r="388" spans="2:3">
      <c r="B388" s="412" t="s">
        <v>647</v>
      </c>
      <c r="C388" s="1110">
        <v>13.821154278217543</v>
      </c>
    </row>
    <row r="389" spans="2:3">
      <c r="B389" s="412" t="s">
        <v>648</v>
      </c>
      <c r="C389" s="1110">
        <v>13.821154278217543</v>
      </c>
    </row>
    <row r="390" spans="2:3" ht="17" thickBot="1">
      <c r="B390" s="413" t="s">
        <v>649</v>
      </c>
      <c r="C390" s="655">
        <v>13.821154278217543</v>
      </c>
    </row>
    <row r="391" spans="2:3">
      <c r="B391" s="415" t="s">
        <v>650</v>
      </c>
      <c r="C391" s="1109">
        <v>13.821154278217543</v>
      </c>
    </row>
    <row r="392" spans="2:3">
      <c r="B392" s="412" t="s">
        <v>651</v>
      </c>
      <c r="C392" s="1110">
        <v>13.821154278217543</v>
      </c>
    </row>
    <row r="393" spans="2:3">
      <c r="B393" s="412" t="s">
        <v>652</v>
      </c>
      <c r="C393" s="1110">
        <v>13.821154278217543</v>
      </c>
    </row>
    <row r="394" spans="2:3">
      <c r="B394" s="412" t="s">
        <v>653</v>
      </c>
      <c r="C394" s="1110">
        <v>13.821154278217543</v>
      </c>
    </row>
    <row r="395" spans="2:3">
      <c r="B395" s="412" t="s">
        <v>654</v>
      </c>
      <c r="C395" s="1110">
        <v>13.821154278217543</v>
      </c>
    </row>
    <row r="396" spans="2:3">
      <c r="B396" s="412" t="s">
        <v>655</v>
      </c>
      <c r="C396" s="1110">
        <v>13.821154278217543</v>
      </c>
    </row>
    <row r="397" spans="2:3">
      <c r="B397" s="412" t="s">
        <v>656</v>
      </c>
      <c r="C397" s="1110">
        <v>13.821154278217543</v>
      </c>
    </row>
    <row r="398" spans="2:3">
      <c r="B398" s="412" t="s">
        <v>657</v>
      </c>
      <c r="C398" s="1110">
        <v>13.821154278217543</v>
      </c>
    </row>
    <row r="399" spans="2:3">
      <c r="B399" s="412" t="s">
        <v>658</v>
      </c>
      <c r="C399" s="1110">
        <v>13.821154278217543</v>
      </c>
    </row>
    <row r="400" spans="2:3">
      <c r="B400" s="412" t="s">
        <v>659</v>
      </c>
      <c r="C400" s="1110">
        <v>13.821154278217543</v>
      </c>
    </row>
    <row r="401" spans="2:3">
      <c r="B401" s="412" t="s">
        <v>660</v>
      </c>
      <c r="C401" s="1110">
        <v>13.821154278217543</v>
      </c>
    </row>
    <row r="402" spans="2:3">
      <c r="B402" s="412" t="s">
        <v>661</v>
      </c>
      <c r="C402" s="1110">
        <v>13.821154278217543</v>
      </c>
    </row>
    <row r="403" spans="2:3">
      <c r="B403" s="412" t="s">
        <v>662</v>
      </c>
      <c r="C403" s="1110">
        <v>13.821154278217543</v>
      </c>
    </row>
    <row r="404" spans="2:3">
      <c r="B404" s="412" t="s">
        <v>663</v>
      </c>
      <c r="C404" s="1110">
        <v>13.821154278217543</v>
      </c>
    </row>
    <row r="405" spans="2:3">
      <c r="B405" s="412" t="s">
        <v>664</v>
      </c>
      <c r="C405" s="1110">
        <v>13.821154278217543</v>
      </c>
    </row>
    <row r="406" spans="2:3">
      <c r="B406" s="412" t="s">
        <v>665</v>
      </c>
      <c r="C406" s="1110">
        <v>13.821154278217543</v>
      </c>
    </row>
    <row r="407" spans="2:3">
      <c r="B407" s="412" t="s">
        <v>666</v>
      </c>
      <c r="C407" s="1110">
        <v>13.821154278217543</v>
      </c>
    </row>
    <row r="408" spans="2:3">
      <c r="B408" s="412" t="s">
        <v>667</v>
      </c>
      <c r="C408" s="1110">
        <v>13.821154278217543</v>
      </c>
    </row>
    <row r="409" spans="2:3">
      <c r="B409" s="412" t="s">
        <v>668</v>
      </c>
      <c r="C409" s="1110">
        <v>13.821154278217543</v>
      </c>
    </row>
    <row r="410" spans="2:3">
      <c r="B410" s="412" t="s">
        <v>669</v>
      </c>
      <c r="C410" s="1110">
        <v>13.821154278217543</v>
      </c>
    </row>
    <row r="411" spans="2:3">
      <c r="B411" s="412" t="s">
        <v>670</v>
      </c>
      <c r="C411" s="1110">
        <v>13.821154278217543</v>
      </c>
    </row>
    <row r="412" spans="2:3">
      <c r="B412" s="412" t="s">
        <v>671</v>
      </c>
      <c r="C412" s="1110">
        <v>13.821154278217543</v>
      </c>
    </row>
    <row r="413" spans="2:3">
      <c r="B413" s="412" t="s">
        <v>672</v>
      </c>
      <c r="C413" s="1110">
        <v>13.821154278217543</v>
      </c>
    </row>
    <row r="414" spans="2:3">
      <c r="B414" s="412" t="s">
        <v>673</v>
      </c>
      <c r="C414" s="1110">
        <v>13.821154278217543</v>
      </c>
    </row>
    <row r="415" spans="2:3">
      <c r="B415" s="412" t="s">
        <v>674</v>
      </c>
      <c r="C415" s="1110">
        <v>13.821154278217543</v>
      </c>
    </row>
    <row r="416" spans="2:3">
      <c r="B416" s="412" t="s">
        <v>675</v>
      </c>
      <c r="C416" s="1110">
        <v>13.821154278217543</v>
      </c>
    </row>
    <row r="417" spans="2:3">
      <c r="B417" s="412" t="s">
        <v>676</v>
      </c>
      <c r="C417" s="1110">
        <v>13.821154278217543</v>
      </c>
    </row>
    <row r="418" spans="2:3">
      <c r="B418" s="412" t="s">
        <v>677</v>
      </c>
      <c r="C418" s="1110">
        <v>13.821154278217543</v>
      </c>
    </row>
    <row r="419" spans="2:3">
      <c r="B419" s="412" t="s">
        <v>678</v>
      </c>
      <c r="C419" s="1110">
        <v>13.821154278217543</v>
      </c>
    </row>
    <row r="420" spans="2:3">
      <c r="B420" s="412" t="s">
        <v>679</v>
      </c>
      <c r="C420" s="1110">
        <v>13.821154278217543</v>
      </c>
    </row>
    <row r="421" spans="2:3">
      <c r="B421" s="412" t="s">
        <v>680</v>
      </c>
      <c r="C421" s="1110">
        <v>13.821154278217543</v>
      </c>
    </row>
    <row r="422" spans="2:3">
      <c r="B422" s="412" t="s">
        <v>681</v>
      </c>
      <c r="C422" s="1110">
        <v>13.821154278217543</v>
      </c>
    </row>
    <row r="423" spans="2:3">
      <c r="B423" s="412" t="s">
        <v>682</v>
      </c>
      <c r="C423" s="1110">
        <v>13.821154278217543</v>
      </c>
    </row>
    <row r="424" spans="2:3">
      <c r="B424" s="412" t="s">
        <v>683</v>
      </c>
      <c r="C424" s="1110">
        <v>13.821154278217543</v>
      </c>
    </row>
    <row r="425" spans="2:3">
      <c r="B425" s="412" t="s">
        <v>684</v>
      </c>
      <c r="C425" s="1110">
        <v>13.821154278217543</v>
      </c>
    </row>
    <row r="426" spans="2:3">
      <c r="B426" s="412" t="s">
        <v>685</v>
      </c>
      <c r="C426" s="1110">
        <v>13.821154278217543</v>
      </c>
    </row>
    <row r="427" spans="2:3">
      <c r="B427" s="412" t="s">
        <v>686</v>
      </c>
      <c r="C427" s="1110">
        <v>13.821154278217543</v>
      </c>
    </row>
    <row r="428" spans="2:3">
      <c r="B428" s="412" t="s">
        <v>687</v>
      </c>
      <c r="C428" s="1110">
        <v>13.821154278217543</v>
      </c>
    </row>
    <row r="429" spans="2:3">
      <c r="B429" s="412" t="s">
        <v>688</v>
      </c>
      <c r="C429" s="1110">
        <v>13.821154278217543</v>
      </c>
    </row>
    <row r="430" spans="2:3">
      <c r="B430" s="412" t="s">
        <v>689</v>
      </c>
      <c r="C430" s="1110">
        <v>13.821154278217543</v>
      </c>
    </row>
    <row r="431" spans="2:3">
      <c r="B431" s="412" t="s">
        <v>690</v>
      </c>
      <c r="C431" s="1110">
        <v>13.821154278217543</v>
      </c>
    </row>
    <row r="432" spans="2:3">
      <c r="B432" s="412" t="s">
        <v>691</v>
      </c>
      <c r="C432" s="1110">
        <v>13.821154278217543</v>
      </c>
    </row>
    <row r="433" spans="2:3">
      <c r="B433" s="412" t="s">
        <v>692</v>
      </c>
      <c r="C433" s="1110">
        <v>13.821154278217543</v>
      </c>
    </row>
    <row r="434" spans="2:3">
      <c r="B434" s="412" t="s">
        <v>693</v>
      </c>
      <c r="C434" s="1110">
        <v>13.821154278217543</v>
      </c>
    </row>
    <row r="435" spans="2:3">
      <c r="B435" s="412" t="s">
        <v>694</v>
      </c>
      <c r="C435" s="1110">
        <v>13.821154278217543</v>
      </c>
    </row>
    <row r="436" spans="2:3">
      <c r="B436" s="412" t="s">
        <v>695</v>
      </c>
      <c r="C436" s="1110">
        <v>13.821154278217543</v>
      </c>
    </row>
    <row r="437" spans="2:3">
      <c r="B437" s="412" t="s">
        <v>696</v>
      </c>
      <c r="C437" s="1110">
        <v>13.821154278217543</v>
      </c>
    </row>
    <row r="438" spans="2:3">
      <c r="B438" s="412" t="s">
        <v>697</v>
      </c>
      <c r="C438" s="1110">
        <v>13.821154278217543</v>
      </c>
    </row>
    <row r="439" spans="2:3">
      <c r="B439" s="412" t="s">
        <v>698</v>
      </c>
      <c r="C439" s="1110">
        <v>13.821154278217543</v>
      </c>
    </row>
    <row r="440" spans="2:3">
      <c r="B440" s="412" t="s">
        <v>699</v>
      </c>
      <c r="C440" s="1110">
        <v>13.821154278217543</v>
      </c>
    </row>
    <row r="441" spans="2:3">
      <c r="B441" s="412" t="s">
        <v>700</v>
      </c>
      <c r="C441" s="1110">
        <v>13.821154278217543</v>
      </c>
    </row>
    <row r="442" spans="2:3">
      <c r="B442" s="412" t="s">
        <v>701</v>
      </c>
      <c r="C442" s="1110">
        <v>13.821154278217543</v>
      </c>
    </row>
    <row r="443" spans="2:3">
      <c r="B443" s="412" t="s">
        <v>702</v>
      </c>
      <c r="C443" s="1110">
        <v>13.821154278217543</v>
      </c>
    </row>
    <row r="444" spans="2:3">
      <c r="B444" s="412" t="s">
        <v>703</v>
      </c>
      <c r="C444" s="1110">
        <v>13.821154278217543</v>
      </c>
    </row>
    <row r="445" spans="2:3">
      <c r="B445" s="412" t="s">
        <v>704</v>
      </c>
      <c r="C445" s="1110">
        <v>13.821154278217543</v>
      </c>
    </row>
    <row r="446" spans="2:3">
      <c r="B446" s="412" t="s">
        <v>705</v>
      </c>
      <c r="C446" s="1110">
        <v>13.821154278217543</v>
      </c>
    </row>
    <row r="447" spans="2:3">
      <c r="B447" s="412" t="s">
        <v>706</v>
      </c>
      <c r="C447" s="1110">
        <v>13.821154278217543</v>
      </c>
    </row>
    <row r="448" spans="2:3">
      <c r="B448" s="412" t="s">
        <v>707</v>
      </c>
      <c r="C448" s="1110">
        <v>13.821154278217543</v>
      </c>
    </row>
    <row r="449" spans="2:3">
      <c r="B449" s="412" t="s">
        <v>708</v>
      </c>
      <c r="C449" s="1110">
        <v>13.821154278217543</v>
      </c>
    </row>
    <row r="450" spans="2:3">
      <c r="B450" s="412" t="s">
        <v>709</v>
      </c>
      <c r="C450" s="1110">
        <v>13.821154278217543</v>
      </c>
    </row>
    <row r="451" spans="2:3">
      <c r="B451" s="412" t="s">
        <v>710</v>
      </c>
      <c r="C451" s="1110">
        <v>13.821154278217543</v>
      </c>
    </row>
    <row r="452" spans="2:3">
      <c r="B452" s="412" t="s">
        <v>711</v>
      </c>
      <c r="C452" s="1110">
        <v>13.821154278217543</v>
      </c>
    </row>
    <row r="453" spans="2:3">
      <c r="B453" s="412" t="s">
        <v>712</v>
      </c>
      <c r="C453" s="1110">
        <v>13.821154278217543</v>
      </c>
    </row>
    <row r="454" spans="2:3">
      <c r="B454" s="412" t="s">
        <v>713</v>
      </c>
      <c r="C454" s="1110">
        <v>13.821154278217543</v>
      </c>
    </row>
    <row r="455" spans="2:3">
      <c r="B455" s="412" t="s">
        <v>714</v>
      </c>
      <c r="C455" s="1110">
        <v>13.821154278217543</v>
      </c>
    </row>
    <row r="456" spans="2:3">
      <c r="B456" s="412" t="s">
        <v>715</v>
      </c>
      <c r="C456" s="1110">
        <v>13.821154278217543</v>
      </c>
    </row>
    <row r="457" spans="2:3">
      <c r="B457" s="412" t="s">
        <v>716</v>
      </c>
      <c r="C457" s="1110">
        <v>13.821154278217543</v>
      </c>
    </row>
    <row r="458" spans="2:3">
      <c r="B458" s="412" t="s">
        <v>717</v>
      </c>
      <c r="C458" s="1110">
        <v>13.821154278217543</v>
      </c>
    </row>
    <row r="459" spans="2:3">
      <c r="B459" s="412" t="s">
        <v>718</v>
      </c>
      <c r="C459" s="1110">
        <v>13.821154278217543</v>
      </c>
    </row>
    <row r="460" spans="2:3">
      <c r="B460" s="412" t="s">
        <v>719</v>
      </c>
      <c r="C460" s="1110">
        <v>13.821154278217543</v>
      </c>
    </row>
    <row r="461" spans="2:3">
      <c r="B461" s="412" t="s">
        <v>720</v>
      </c>
      <c r="C461" s="1110">
        <v>13.821154278217543</v>
      </c>
    </row>
    <row r="462" spans="2:3">
      <c r="B462" s="412" t="s">
        <v>721</v>
      </c>
      <c r="C462" s="1110">
        <v>13.821154278217543</v>
      </c>
    </row>
    <row r="463" spans="2:3">
      <c r="B463" s="412" t="s">
        <v>722</v>
      </c>
      <c r="C463" s="1110">
        <v>13.821154278217543</v>
      </c>
    </row>
    <row r="464" spans="2:3">
      <c r="B464" s="412" t="s">
        <v>723</v>
      </c>
      <c r="C464" s="1110">
        <v>13.821154278217543</v>
      </c>
    </row>
    <row r="465" spans="2:3">
      <c r="B465" s="412" t="s">
        <v>724</v>
      </c>
      <c r="C465" s="1110">
        <v>13.821154278217543</v>
      </c>
    </row>
    <row r="466" spans="2:3">
      <c r="B466" s="412" t="s">
        <v>725</v>
      </c>
      <c r="C466" s="1110">
        <v>13.821154278217543</v>
      </c>
    </row>
    <row r="467" spans="2:3">
      <c r="B467" s="412" t="s">
        <v>726</v>
      </c>
      <c r="C467" s="1110">
        <v>13.821154278217543</v>
      </c>
    </row>
    <row r="468" spans="2:3">
      <c r="B468" s="412" t="s">
        <v>727</v>
      </c>
      <c r="C468" s="1110">
        <v>13.821154278217543</v>
      </c>
    </row>
    <row r="469" spans="2:3">
      <c r="B469" s="412" t="s">
        <v>728</v>
      </c>
      <c r="C469" s="1110">
        <v>13.821154278217543</v>
      </c>
    </row>
    <row r="470" spans="2:3">
      <c r="B470" s="412" t="s">
        <v>729</v>
      </c>
      <c r="C470" s="1110">
        <v>13.821154278217543</v>
      </c>
    </row>
    <row r="471" spans="2:3">
      <c r="B471" s="412" t="s">
        <v>730</v>
      </c>
      <c r="C471" s="1110">
        <v>13.821154278217543</v>
      </c>
    </row>
    <row r="472" spans="2:3">
      <c r="B472" s="412" t="s">
        <v>731</v>
      </c>
      <c r="C472" s="1110">
        <v>13.821154278217543</v>
      </c>
    </row>
    <row r="473" spans="2:3">
      <c r="B473" s="412" t="s">
        <v>732</v>
      </c>
      <c r="C473" s="1110">
        <v>13.821154278217543</v>
      </c>
    </row>
    <row r="474" spans="2:3">
      <c r="B474" s="412" t="s">
        <v>733</v>
      </c>
      <c r="C474" s="1110">
        <v>13.821154278217543</v>
      </c>
    </row>
    <row r="475" spans="2:3">
      <c r="B475" s="412" t="s">
        <v>734</v>
      </c>
      <c r="C475" s="1110">
        <v>13.821154278217543</v>
      </c>
    </row>
    <row r="476" spans="2:3">
      <c r="B476" s="412" t="s">
        <v>735</v>
      </c>
      <c r="C476" s="1110">
        <v>13.821154278217543</v>
      </c>
    </row>
    <row r="477" spans="2:3">
      <c r="B477" s="412" t="s">
        <v>736</v>
      </c>
      <c r="C477" s="1110">
        <v>11.714334012402938</v>
      </c>
    </row>
    <row r="478" spans="2:3">
      <c r="B478" s="412" t="s">
        <v>737</v>
      </c>
      <c r="C478" s="1110">
        <v>11.714334012402938</v>
      </c>
    </row>
    <row r="479" spans="2:3">
      <c r="B479" s="412" t="s">
        <v>738</v>
      </c>
      <c r="C479" s="1110">
        <v>11.714334012402938</v>
      </c>
    </row>
    <row r="480" spans="2:3">
      <c r="B480" s="412" t="s">
        <v>739</v>
      </c>
      <c r="C480" s="1110">
        <v>11.714334012402938</v>
      </c>
    </row>
    <row r="481" spans="2:3">
      <c r="B481" s="412" t="s">
        <v>740</v>
      </c>
      <c r="C481" s="1110">
        <v>11.714334012402938</v>
      </c>
    </row>
    <row r="482" spans="2:3">
      <c r="B482" s="412" t="s">
        <v>741</v>
      </c>
      <c r="C482" s="1110">
        <v>13.821154278217543</v>
      </c>
    </row>
    <row r="483" spans="2:3">
      <c r="B483" s="412" t="s">
        <v>742</v>
      </c>
      <c r="C483" s="1110">
        <v>11.714334012402938</v>
      </c>
    </row>
    <row r="484" spans="2:3">
      <c r="B484" s="412" t="s">
        <v>743</v>
      </c>
      <c r="C484" s="1110">
        <v>11.714334012402938</v>
      </c>
    </row>
    <row r="485" spans="2:3">
      <c r="B485" s="412" t="s">
        <v>744</v>
      </c>
      <c r="C485" s="1110">
        <v>11.714334012402938</v>
      </c>
    </row>
    <row r="486" spans="2:3">
      <c r="B486" s="412" t="s">
        <v>745</v>
      </c>
      <c r="C486" s="1110">
        <v>13.821154278217543</v>
      </c>
    </row>
    <row r="487" spans="2:3">
      <c r="B487" s="412" t="s">
        <v>746</v>
      </c>
      <c r="C487" s="1110">
        <v>13.821154278217543</v>
      </c>
    </row>
    <row r="488" spans="2:3">
      <c r="B488" s="412" t="s">
        <v>747</v>
      </c>
      <c r="C488" s="1110">
        <v>13.821154278217543</v>
      </c>
    </row>
    <row r="489" spans="2:3">
      <c r="B489" s="412" t="s">
        <v>748</v>
      </c>
      <c r="C489" s="1110">
        <v>11.714334012402938</v>
      </c>
    </row>
    <row r="490" spans="2:3">
      <c r="B490" s="412" t="s">
        <v>749</v>
      </c>
      <c r="C490" s="1110">
        <v>11.714334012402938</v>
      </c>
    </row>
    <row r="491" spans="2:3">
      <c r="B491" s="412" t="s">
        <v>750</v>
      </c>
      <c r="C491" s="1110">
        <v>11.714334012402938</v>
      </c>
    </row>
    <row r="492" spans="2:3">
      <c r="B492" s="412" t="s">
        <v>751</v>
      </c>
      <c r="C492" s="1110">
        <v>11.714334012402938</v>
      </c>
    </row>
    <row r="493" spans="2:3">
      <c r="B493" s="412" t="s">
        <v>752</v>
      </c>
      <c r="C493" s="1110">
        <v>11.714334012402938</v>
      </c>
    </row>
    <row r="494" spans="2:3">
      <c r="B494" s="412" t="s">
        <v>753</v>
      </c>
      <c r="C494" s="1110">
        <v>11.714334012402938</v>
      </c>
    </row>
    <row r="495" spans="2:3">
      <c r="B495" s="412" t="s">
        <v>754</v>
      </c>
      <c r="C495" s="1110">
        <v>11.714334012402938</v>
      </c>
    </row>
    <row r="496" spans="2:3">
      <c r="B496" s="412" t="s">
        <v>755</v>
      </c>
      <c r="C496" s="1110">
        <v>11.714334012402938</v>
      </c>
    </row>
    <row r="497" spans="2:3">
      <c r="B497" s="412" t="s">
        <v>756</v>
      </c>
      <c r="C497" s="1110">
        <v>11.714334012402938</v>
      </c>
    </row>
    <row r="498" spans="2:3">
      <c r="B498" s="412" t="s">
        <v>757</v>
      </c>
      <c r="C498" s="1110">
        <v>13.821154278217543</v>
      </c>
    </row>
    <row r="499" spans="2:3">
      <c r="B499" s="412" t="s">
        <v>758</v>
      </c>
      <c r="C499" s="1110">
        <v>13.821154278217543</v>
      </c>
    </row>
    <row r="500" spans="2:3">
      <c r="B500" s="412" t="s">
        <v>759</v>
      </c>
      <c r="C500" s="1110">
        <v>11.714334012402938</v>
      </c>
    </row>
    <row r="501" spans="2:3">
      <c r="B501" s="412" t="s">
        <v>760</v>
      </c>
      <c r="C501" s="1110">
        <v>11.714334012402938</v>
      </c>
    </row>
    <row r="502" spans="2:3">
      <c r="B502" s="412" t="s">
        <v>761</v>
      </c>
      <c r="C502" s="1110">
        <v>11.716938240172794</v>
      </c>
    </row>
    <row r="503" spans="2:3">
      <c r="B503" s="412" t="s">
        <v>762</v>
      </c>
      <c r="C503" s="1110">
        <v>11.714334012402938</v>
      </c>
    </row>
    <row r="504" spans="2:3">
      <c r="B504" s="412" t="s">
        <v>763</v>
      </c>
      <c r="C504" s="1110">
        <v>13.798074869984831</v>
      </c>
    </row>
    <row r="505" spans="2:3">
      <c r="B505" s="412" t="s">
        <v>764</v>
      </c>
      <c r="C505" s="1110">
        <v>13.807836830266757</v>
      </c>
    </row>
    <row r="506" spans="2:3">
      <c r="B506" s="412" t="s">
        <v>765</v>
      </c>
      <c r="C506" s="1110">
        <v>13.821154278217543</v>
      </c>
    </row>
    <row r="507" spans="2:3">
      <c r="B507" s="412" t="s">
        <v>766</v>
      </c>
      <c r="C507" s="1110">
        <v>13.821154278217543</v>
      </c>
    </row>
    <row r="508" spans="2:3">
      <c r="B508" s="412" t="s">
        <v>767</v>
      </c>
      <c r="C508" s="1110">
        <v>13.821154278217543</v>
      </c>
    </row>
    <row r="509" spans="2:3">
      <c r="B509" s="412" t="s">
        <v>768</v>
      </c>
      <c r="C509" s="1110">
        <v>13.821154278217543</v>
      </c>
    </row>
    <row r="510" spans="2:3">
      <c r="B510" s="412" t="s">
        <v>769</v>
      </c>
      <c r="C510" s="1110">
        <v>13.821154278217543</v>
      </c>
    </row>
    <row r="511" spans="2:3">
      <c r="B511" s="412" t="s">
        <v>770</v>
      </c>
      <c r="C511" s="1110">
        <v>13.821154278217543</v>
      </c>
    </row>
    <row r="512" spans="2:3">
      <c r="B512" s="412" t="s">
        <v>771</v>
      </c>
      <c r="C512" s="1110">
        <v>13.821154278217543</v>
      </c>
    </row>
    <row r="513" spans="2:3">
      <c r="B513" s="412" t="s">
        <v>772</v>
      </c>
      <c r="C513" s="1110">
        <v>13.821154278217543</v>
      </c>
    </row>
    <row r="514" spans="2:3">
      <c r="B514" s="412" t="s">
        <v>773</v>
      </c>
      <c r="C514" s="1110">
        <v>13.821154278217543</v>
      </c>
    </row>
    <row r="515" spans="2:3">
      <c r="B515" s="412" t="s">
        <v>774</v>
      </c>
      <c r="C515" s="1110">
        <v>13.821154278217543</v>
      </c>
    </row>
    <row r="516" spans="2:3">
      <c r="B516" s="412" t="s">
        <v>775</v>
      </c>
      <c r="C516" s="1110">
        <v>13.814870932509782</v>
      </c>
    </row>
    <row r="517" spans="2:3">
      <c r="B517" s="412" t="s">
        <v>776</v>
      </c>
      <c r="C517" s="1110">
        <v>13.814389863854032</v>
      </c>
    </row>
    <row r="518" spans="2:3">
      <c r="B518" s="412" t="s">
        <v>777</v>
      </c>
      <c r="C518" s="1110">
        <v>13.821154278217543</v>
      </c>
    </row>
    <row r="519" spans="2:3">
      <c r="B519" s="412" t="s">
        <v>778</v>
      </c>
      <c r="C519" s="1110">
        <v>13.821154278217543</v>
      </c>
    </row>
    <row r="520" spans="2:3">
      <c r="B520" s="412" t="s">
        <v>779</v>
      </c>
      <c r="C520" s="1110">
        <v>13.821154278217543</v>
      </c>
    </row>
    <row r="521" spans="2:3">
      <c r="B521" s="412" t="s">
        <v>780</v>
      </c>
      <c r="C521" s="1110">
        <v>13.821154278217543</v>
      </c>
    </row>
    <row r="522" spans="2:3">
      <c r="B522" s="412" t="s">
        <v>781</v>
      </c>
      <c r="C522" s="1110">
        <v>13.821154278217543</v>
      </c>
    </row>
    <row r="523" spans="2:3">
      <c r="B523" s="412" t="s">
        <v>782</v>
      </c>
      <c r="C523" s="1110">
        <v>13.821154278217543</v>
      </c>
    </row>
    <row r="524" spans="2:3">
      <c r="B524" s="412" t="s">
        <v>783</v>
      </c>
      <c r="C524" s="1110">
        <v>13.821154278217543</v>
      </c>
    </row>
    <row r="525" spans="2:3">
      <c r="B525" s="412" t="s">
        <v>784</v>
      </c>
      <c r="C525" s="1110">
        <v>13.821154278217543</v>
      </c>
    </row>
    <row r="526" spans="2:3">
      <c r="B526" s="412" t="s">
        <v>785</v>
      </c>
      <c r="C526" s="1110">
        <v>13.821154278217543</v>
      </c>
    </row>
    <row r="527" spans="2:3">
      <c r="B527" s="412" t="s">
        <v>786</v>
      </c>
      <c r="C527" s="1110">
        <v>13.821154278217543</v>
      </c>
    </row>
    <row r="528" spans="2:3">
      <c r="B528" s="412" t="s">
        <v>787</v>
      </c>
      <c r="C528" s="1110">
        <v>13.821154278217543</v>
      </c>
    </row>
    <row r="529" spans="2:3">
      <c r="B529" s="412" t="s">
        <v>788</v>
      </c>
      <c r="C529" s="1110">
        <v>13.821154278217543</v>
      </c>
    </row>
    <row r="530" spans="2:3">
      <c r="B530" s="412" t="s">
        <v>789</v>
      </c>
      <c r="C530" s="1110">
        <v>13.821154278217543</v>
      </c>
    </row>
    <row r="531" spans="2:3">
      <c r="B531" s="412" t="s">
        <v>790</v>
      </c>
      <c r="C531" s="1110">
        <v>13.821154278217543</v>
      </c>
    </row>
    <row r="532" spans="2:3">
      <c r="B532" s="412" t="s">
        <v>791</v>
      </c>
      <c r="C532" s="1110">
        <v>13.821154278217543</v>
      </c>
    </row>
    <row r="533" spans="2:3">
      <c r="B533" s="412" t="s">
        <v>792</v>
      </c>
      <c r="C533" s="1110">
        <v>13.821154278217543</v>
      </c>
    </row>
    <row r="534" spans="2:3">
      <c r="B534" s="412" t="s">
        <v>793</v>
      </c>
      <c r="C534" s="1110">
        <v>13.821154278217543</v>
      </c>
    </row>
    <row r="535" spans="2:3">
      <c r="B535" s="412" t="s">
        <v>794</v>
      </c>
      <c r="C535" s="1110">
        <v>13.821154278217543</v>
      </c>
    </row>
    <row r="536" spans="2:3">
      <c r="B536" s="412" t="s">
        <v>795</v>
      </c>
      <c r="C536" s="1110">
        <v>13.821154278217543</v>
      </c>
    </row>
    <row r="537" spans="2:3">
      <c r="B537" s="412" t="s">
        <v>796</v>
      </c>
      <c r="C537" s="1110">
        <v>13.821154278217543</v>
      </c>
    </row>
    <row r="538" spans="2:3">
      <c r="B538" s="412" t="s">
        <v>797</v>
      </c>
      <c r="C538" s="1110">
        <v>13.821154278217543</v>
      </c>
    </row>
    <row r="539" spans="2:3">
      <c r="B539" s="412" t="s">
        <v>798</v>
      </c>
      <c r="C539" s="1110">
        <v>13.821154278217543</v>
      </c>
    </row>
    <row r="540" spans="2:3">
      <c r="B540" s="412" t="s">
        <v>799</v>
      </c>
      <c r="C540" s="1110">
        <v>13.821154278217543</v>
      </c>
    </row>
    <row r="541" spans="2:3">
      <c r="B541" s="412" t="s">
        <v>800</v>
      </c>
      <c r="C541" s="1110">
        <v>13.821154278217543</v>
      </c>
    </row>
    <row r="542" spans="2:3">
      <c r="B542" s="412" t="s">
        <v>801</v>
      </c>
      <c r="C542" s="1110">
        <v>13.821154278217543</v>
      </c>
    </row>
    <row r="543" spans="2:3">
      <c r="B543" s="412" t="s">
        <v>802</v>
      </c>
      <c r="C543" s="1110">
        <v>13.821154278217543</v>
      </c>
    </row>
    <row r="544" spans="2:3">
      <c r="B544" s="412" t="s">
        <v>803</v>
      </c>
      <c r="C544" s="1110">
        <v>13.821154278217543</v>
      </c>
    </row>
    <row r="545" spans="2:3">
      <c r="B545" s="412" t="s">
        <v>804</v>
      </c>
      <c r="C545" s="1110">
        <v>13.821154278217543</v>
      </c>
    </row>
    <row r="546" spans="2:3">
      <c r="B546" s="412" t="s">
        <v>805</v>
      </c>
      <c r="C546" s="1110">
        <v>13.821154278217543</v>
      </c>
    </row>
    <row r="547" spans="2:3">
      <c r="B547" s="412" t="s">
        <v>806</v>
      </c>
      <c r="C547" s="1110">
        <v>13.821154278217543</v>
      </c>
    </row>
    <row r="548" spans="2:3">
      <c r="B548" s="412" t="s">
        <v>807</v>
      </c>
      <c r="C548" s="1110">
        <v>13.821154278217543</v>
      </c>
    </row>
    <row r="549" spans="2:3">
      <c r="B549" s="412" t="s">
        <v>808</v>
      </c>
      <c r="C549" s="1110">
        <v>13.821154278217543</v>
      </c>
    </row>
    <row r="550" spans="2:3">
      <c r="B550" s="412" t="s">
        <v>809</v>
      </c>
      <c r="C550" s="1110">
        <v>13.821154278217543</v>
      </c>
    </row>
    <row r="551" spans="2:3">
      <c r="B551" s="412" t="s">
        <v>810</v>
      </c>
      <c r="C551" s="1110">
        <v>13.821154278217543</v>
      </c>
    </row>
    <row r="552" spans="2:3">
      <c r="B552" s="412" t="s">
        <v>811</v>
      </c>
      <c r="C552" s="1110">
        <v>13.821154278217543</v>
      </c>
    </row>
    <row r="553" spans="2:3">
      <c r="B553" s="412" t="s">
        <v>812</v>
      </c>
      <c r="C553" s="1110">
        <v>13.821154278217543</v>
      </c>
    </row>
    <row r="554" spans="2:3">
      <c r="B554" s="412" t="s">
        <v>813</v>
      </c>
      <c r="C554" s="1110">
        <v>13.821154278217543</v>
      </c>
    </row>
    <row r="555" spans="2:3">
      <c r="B555" s="412" t="s">
        <v>814</v>
      </c>
      <c r="C555" s="1110">
        <v>13.821154278217543</v>
      </c>
    </row>
    <row r="556" spans="2:3">
      <c r="B556" s="412" t="s">
        <v>815</v>
      </c>
      <c r="C556" s="1110">
        <v>9.4919290855704439</v>
      </c>
    </row>
    <row r="557" spans="2:3">
      <c r="B557" s="412" t="s">
        <v>816</v>
      </c>
      <c r="C557" s="1110">
        <v>9.4919290855704439</v>
      </c>
    </row>
    <row r="558" spans="2:3">
      <c r="B558" s="412" t="s">
        <v>817</v>
      </c>
      <c r="C558" s="1110">
        <v>13.697301281808913</v>
      </c>
    </row>
    <row r="559" spans="2:3">
      <c r="B559" s="412" t="s">
        <v>818</v>
      </c>
      <c r="C559" s="1110">
        <v>9.4919290855704439</v>
      </c>
    </row>
    <row r="560" spans="2:3">
      <c r="B560" s="412" t="s">
        <v>819</v>
      </c>
      <c r="C560" s="1110">
        <v>9.4919290855704439</v>
      </c>
    </row>
    <row r="561" spans="2:3">
      <c r="B561" s="412" t="s">
        <v>820</v>
      </c>
      <c r="C561" s="1110">
        <v>10.365259816075623</v>
      </c>
    </row>
    <row r="562" spans="2:3">
      <c r="B562" s="412" t="s">
        <v>821</v>
      </c>
      <c r="C562" s="1110">
        <v>13.683718557816048</v>
      </c>
    </row>
    <row r="563" spans="2:3">
      <c r="B563" s="412" t="s">
        <v>822</v>
      </c>
      <c r="C563" s="1110">
        <v>9.4919290855704439</v>
      </c>
    </row>
    <row r="564" spans="2:3">
      <c r="B564" s="412" t="s">
        <v>823</v>
      </c>
      <c r="C564" s="1110">
        <v>9.5602852728227656</v>
      </c>
    </row>
    <row r="565" spans="2:3">
      <c r="B565" s="412" t="s">
        <v>824</v>
      </c>
      <c r="C565" s="1110">
        <v>9.4919290855704439</v>
      </c>
    </row>
    <row r="566" spans="2:3">
      <c r="B566" s="412" t="s">
        <v>825</v>
      </c>
      <c r="C566" s="1110">
        <v>9.4919290855704439</v>
      </c>
    </row>
    <row r="567" spans="2:3">
      <c r="B567" s="412" t="s">
        <v>826</v>
      </c>
      <c r="C567" s="1110">
        <v>13.821154278217543</v>
      </c>
    </row>
    <row r="568" spans="2:3">
      <c r="B568" s="412" t="s">
        <v>827</v>
      </c>
      <c r="C568" s="1110">
        <v>13.821154278217543</v>
      </c>
    </row>
    <row r="569" spans="2:3">
      <c r="B569" s="412" t="s">
        <v>828</v>
      </c>
      <c r="C569" s="1110">
        <v>13.821154278217543</v>
      </c>
    </row>
    <row r="570" spans="2:3">
      <c r="B570" s="412" t="s">
        <v>829</v>
      </c>
      <c r="C570" s="1110">
        <v>13.821154278217543</v>
      </c>
    </row>
    <row r="571" spans="2:3">
      <c r="B571" s="412" t="s">
        <v>830</v>
      </c>
      <c r="C571" s="1110">
        <v>13.821154278217543</v>
      </c>
    </row>
    <row r="572" spans="2:3">
      <c r="B572" s="412" t="s">
        <v>831</v>
      </c>
      <c r="C572" s="1110">
        <v>13.821154278217543</v>
      </c>
    </row>
    <row r="573" spans="2:3">
      <c r="B573" s="412" t="s">
        <v>832</v>
      </c>
      <c r="C573" s="1110">
        <v>13.821154278217543</v>
      </c>
    </row>
    <row r="574" spans="2:3">
      <c r="B574" s="412" t="s">
        <v>833</v>
      </c>
      <c r="C574" s="1110">
        <v>13.821154278217543</v>
      </c>
    </row>
    <row r="575" spans="2:3">
      <c r="B575" s="412" t="s">
        <v>834</v>
      </c>
      <c r="C575" s="1110">
        <v>13.821154278217543</v>
      </c>
    </row>
    <row r="576" spans="2:3">
      <c r="B576" s="412" t="s">
        <v>835</v>
      </c>
      <c r="C576" s="1110">
        <v>13.821154278217543</v>
      </c>
    </row>
    <row r="577" spans="2:3">
      <c r="B577" s="412" t="s">
        <v>836</v>
      </c>
      <c r="C577" s="1110">
        <v>13.821154278217543</v>
      </c>
    </row>
    <row r="578" spans="2:3">
      <c r="B578" s="412" t="s">
        <v>837</v>
      </c>
      <c r="C578" s="1110">
        <v>13.821154278217543</v>
      </c>
    </row>
    <row r="579" spans="2:3">
      <c r="B579" s="412" t="s">
        <v>838</v>
      </c>
      <c r="C579" s="1110">
        <v>13.821154278217543</v>
      </c>
    </row>
    <row r="580" spans="2:3">
      <c r="B580" s="412" t="s">
        <v>839</v>
      </c>
      <c r="C580" s="1110">
        <v>13.821154278217543</v>
      </c>
    </row>
    <row r="581" spans="2:3">
      <c r="B581" s="412" t="s">
        <v>840</v>
      </c>
      <c r="C581" s="1110">
        <v>13.821154278217543</v>
      </c>
    </row>
    <row r="582" spans="2:3">
      <c r="B582" s="412" t="s">
        <v>841</v>
      </c>
      <c r="C582" s="1110">
        <v>13.821154278217543</v>
      </c>
    </row>
    <row r="583" spans="2:3">
      <c r="B583" s="412" t="s">
        <v>842</v>
      </c>
      <c r="C583" s="1110">
        <v>13.821154278217543</v>
      </c>
    </row>
    <row r="584" spans="2:3">
      <c r="B584" s="412" t="s">
        <v>843</v>
      </c>
      <c r="C584" s="1110">
        <v>13.821154278217543</v>
      </c>
    </row>
    <row r="585" spans="2:3">
      <c r="B585" s="412" t="s">
        <v>844</v>
      </c>
      <c r="C585" s="1110">
        <v>13.821154278217543</v>
      </c>
    </row>
    <row r="586" spans="2:3">
      <c r="B586" s="412" t="s">
        <v>845</v>
      </c>
      <c r="C586" s="1110">
        <v>13.821154278217543</v>
      </c>
    </row>
    <row r="587" spans="2:3">
      <c r="B587" s="412" t="s">
        <v>846</v>
      </c>
      <c r="C587" s="1110">
        <v>13.821154278217543</v>
      </c>
    </row>
    <row r="588" spans="2:3">
      <c r="B588" s="412" t="s">
        <v>847</v>
      </c>
      <c r="C588" s="1110">
        <v>13.821154278217543</v>
      </c>
    </row>
    <row r="589" spans="2:3">
      <c r="B589" s="412" t="s">
        <v>848</v>
      </c>
      <c r="C589" s="1110">
        <v>11.714334012402938</v>
      </c>
    </row>
    <row r="590" spans="2:3">
      <c r="B590" s="412" t="s">
        <v>849</v>
      </c>
      <c r="C590" s="1110">
        <v>13.821154278217543</v>
      </c>
    </row>
    <row r="591" spans="2:3">
      <c r="B591" s="412" t="s">
        <v>850</v>
      </c>
      <c r="C591" s="1110">
        <v>13.821154278217543</v>
      </c>
    </row>
    <row r="592" spans="2:3">
      <c r="B592" s="412" t="s">
        <v>851</v>
      </c>
      <c r="C592" s="1110">
        <v>13.821154278217543</v>
      </c>
    </row>
    <row r="593" spans="2:3">
      <c r="B593" s="412" t="s">
        <v>852</v>
      </c>
      <c r="C593" s="1110">
        <v>13.821154278217543</v>
      </c>
    </row>
    <row r="594" spans="2:3">
      <c r="B594" s="412" t="s">
        <v>853</v>
      </c>
      <c r="C594" s="1110">
        <v>11.729762313779938</v>
      </c>
    </row>
    <row r="595" spans="2:3">
      <c r="B595" s="412" t="s">
        <v>854</v>
      </c>
      <c r="C595" s="1110">
        <v>13.821154278217543</v>
      </c>
    </row>
    <row r="596" spans="2:3">
      <c r="B596" s="412" t="s">
        <v>855</v>
      </c>
      <c r="C596" s="1110">
        <v>13.821154278217543</v>
      </c>
    </row>
    <row r="597" spans="2:3">
      <c r="B597" s="412" t="s">
        <v>856</v>
      </c>
      <c r="C597" s="1110">
        <v>13.821154278217543</v>
      </c>
    </row>
    <row r="598" spans="2:3">
      <c r="B598" s="412" t="s">
        <v>857</v>
      </c>
      <c r="C598" s="1110">
        <v>11.833880925054171</v>
      </c>
    </row>
    <row r="599" spans="2:3">
      <c r="B599" s="412" t="s">
        <v>858</v>
      </c>
      <c r="C599" s="1110">
        <v>13.821154278217543</v>
      </c>
    </row>
    <row r="600" spans="2:3">
      <c r="B600" s="412" t="s">
        <v>859</v>
      </c>
      <c r="C600" s="1110">
        <v>13.821154278217543</v>
      </c>
    </row>
    <row r="601" spans="2:3">
      <c r="B601" s="412" t="s">
        <v>860</v>
      </c>
      <c r="C601" s="1110">
        <v>13.821154278217543</v>
      </c>
    </row>
    <row r="602" spans="2:3">
      <c r="B602" s="412" t="s">
        <v>861</v>
      </c>
      <c r="C602" s="1110">
        <v>13.821154278217543</v>
      </c>
    </row>
    <row r="603" spans="2:3">
      <c r="B603" s="412" t="s">
        <v>862</v>
      </c>
      <c r="C603" s="1110">
        <v>13.821154278217543</v>
      </c>
    </row>
    <row r="604" spans="2:3">
      <c r="B604" s="412" t="s">
        <v>863</v>
      </c>
      <c r="C604" s="1110">
        <v>13.821154278217543</v>
      </c>
    </row>
    <row r="605" spans="2:3">
      <c r="B605" s="412" t="s">
        <v>864</v>
      </c>
      <c r="C605" s="1110">
        <v>13.821154278217543</v>
      </c>
    </row>
    <row r="606" spans="2:3">
      <c r="B606" s="412" t="s">
        <v>865</v>
      </c>
      <c r="C606" s="1110">
        <v>11.733257547724627</v>
      </c>
    </row>
    <row r="607" spans="2:3">
      <c r="B607" s="412" t="s">
        <v>866</v>
      </c>
      <c r="C607" s="1110">
        <v>13.821154278217543</v>
      </c>
    </row>
    <row r="608" spans="2:3">
      <c r="B608" s="412" t="s">
        <v>867</v>
      </c>
      <c r="C608" s="1110">
        <v>11.714334012402938</v>
      </c>
    </row>
    <row r="609" spans="2:3">
      <c r="B609" s="412" t="s">
        <v>868</v>
      </c>
      <c r="C609" s="1110">
        <v>11.770666105071777</v>
      </c>
    </row>
    <row r="610" spans="2:3">
      <c r="B610" s="412" t="s">
        <v>869</v>
      </c>
      <c r="C610" s="1110">
        <v>12.957269817757997</v>
      </c>
    </row>
    <row r="611" spans="2:3">
      <c r="B611" s="412" t="s">
        <v>870</v>
      </c>
      <c r="C611" s="1110">
        <v>13.771839889680919</v>
      </c>
    </row>
    <row r="612" spans="2:3">
      <c r="B612" s="412" t="s">
        <v>871</v>
      </c>
      <c r="C612" s="1110">
        <v>13.821154278217543</v>
      </c>
    </row>
    <row r="613" spans="2:3">
      <c r="B613" s="412" t="s">
        <v>872</v>
      </c>
      <c r="C613" s="1110">
        <v>13.821154278217543</v>
      </c>
    </row>
    <row r="614" spans="2:3">
      <c r="B614" s="412" t="s">
        <v>873</v>
      </c>
      <c r="C614" s="1110">
        <v>13.821154278217543</v>
      </c>
    </row>
    <row r="615" spans="2:3">
      <c r="B615" s="412" t="s">
        <v>874</v>
      </c>
      <c r="C615" s="1110">
        <v>13.821154278217543</v>
      </c>
    </row>
    <row r="616" spans="2:3">
      <c r="B616" s="412" t="s">
        <v>875</v>
      </c>
      <c r="C616" s="1110">
        <v>13.821154278217543</v>
      </c>
    </row>
    <row r="617" spans="2:3">
      <c r="B617" s="412" t="s">
        <v>876</v>
      </c>
      <c r="C617" s="1110">
        <v>13.821154278217543</v>
      </c>
    </row>
    <row r="618" spans="2:3">
      <c r="B618" s="412" t="s">
        <v>877</v>
      </c>
      <c r="C618" s="1110">
        <v>13.821154278217543</v>
      </c>
    </row>
    <row r="619" spans="2:3">
      <c r="B619" s="412" t="s">
        <v>878</v>
      </c>
      <c r="C619" s="1110">
        <v>13.821154278217543</v>
      </c>
    </row>
    <row r="620" spans="2:3">
      <c r="B620" s="412" t="s">
        <v>879</v>
      </c>
      <c r="C620" s="1110">
        <v>13.821154278217543</v>
      </c>
    </row>
    <row r="621" spans="2:3">
      <c r="B621" s="412" t="s">
        <v>880</v>
      </c>
      <c r="C621" s="1110">
        <v>13.821154278217543</v>
      </c>
    </row>
    <row r="622" spans="2:3">
      <c r="B622" s="412" t="s">
        <v>881</v>
      </c>
      <c r="C622" s="1110">
        <v>13.821154278217543</v>
      </c>
    </row>
    <row r="623" spans="2:3">
      <c r="B623" s="412" t="s">
        <v>882</v>
      </c>
      <c r="C623" s="1110">
        <v>13.821154278217543</v>
      </c>
    </row>
    <row r="624" spans="2:3">
      <c r="B624" s="412" t="s">
        <v>883</v>
      </c>
      <c r="C624" s="1110">
        <v>13.821154278217543</v>
      </c>
    </row>
    <row r="625" spans="2:3" ht="17" thickBot="1">
      <c r="B625" s="413" t="s">
        <v>884</v>
      </c>
      <c r="C625" s="655">
        <v>13.821154278217543</v>
      </c>
    </row>
    <row r="626" spans="2:3">
      <c r="B626" s="415" t="s">
        <v>885</v>
      </c>
      <c r="C626" s="1109">
        <v>12.898418780425773</v>
      </c>
    </row>
    <row r="627" spans="2:3">
      <c r="B627" s="412" t="s">
        <v>886</v>
      </c>
      <c r="C627" s="1110">
        <v>13.821154278217543</v>
      </c>
    </row>
    <row r="628" spans="2:3">
      <c r="B628" s="412" t="s">
        <v>887</v>
      </c>
      <c r="C628" s="1110">
        <v>13.821154278217543</v>
      </c>
    </row>
    <row r="629" spans="2:3">
      <c r="B629" s="412" t="s">
        <v>888</v>
      </c>
      <c r="C629" s="1110">
        <v>13.821154278217543</v>
      </c>
    </row>
    <row r="630" spans="2:3">
      <c r="B630" s="412" t="s">
        <v>889</v>
      </c>
      <c r="C630" s="1110">
        <v>13.821154278217543</v>
      </c>
    </row>
    <row r="631" spans="2:3">
      <c r="B631" s="412" t="s">
        <v>890</v>
      </c>
      <c r="C631" s="1110">
        <v>9.5172461919601954</v>
      </c>
    </row>
    <row r="632" spans="2:3">
      <c r="B632" s="412" t="s">
        <v>891</v>
      </c>
      <c r="C632" s="1110">
        <v>9.4919290855704439</v>
      </c>
    </row>
    <row r="633" spans="2:3">
      <c r="B633" s="412" t="s">
        <v>892</v>
      </c>
      <c r="C633" s="1110">
        <v>9.4919290855704439</v>
      </c>
    </row>
    <row r="634" spans="2:3">
      <c r="B634" s="412" t="s">
        <v>893</v>
      </c>
      <c r="C634" s="1110">
        <v>9.6035709959825475</v>
      </c>
    </row>
    <row r="635" spans="2:3">
      <c r="B635" s="412" t="s">
        <v>894</v>
      </c>
      <c r="C635" s="1110">
        <v>9.4919290855704439</v>
      </c>
    </row>
    <row r="636" spans="2:3">
      <c r="B636" s="412" t="s">
        <v>895</v>
      </c>
      <c r="C636" s="1110">
        <v>13.821154278217543</v>
      </c>
    </row>
    <row r="637" spans="2:3">
      <c r="B637" s="412" t="s">
        <v>896</v>
      </c>
      <c r="C637" s="1110">
        <v>13.821154278217543</v>
      </c>
    </row>
    <row r="638" spans="2:3">
      <c r="B638" s="412" t="s">
        <v>897</v>
      </c>
      <c r="C638" s="1110">
        <v>13.821154278217543</v>
      </c>
    </row>
    <row r="639" spans="2:3">
      <c r="B639" s="412" t="s">
        <v>898</v>
      </c>
      <c r="C639" s="1110">
        <v>10.298739235109222</v>
      </c>
    </row>
    <row r="640" spans="2:3">
      <c r="B640" s="412" t="s">
        <v>899</v>
      </c>
      <c r="C640" s="1110">
        <v>9.4919290855704439</v>
      </c>
    </row>
    <row r="641" spans="2:3">
      <c r="B641" s="412" t="s">
        <v>900</v>
      </c>
      <c r="C641" s="1110">
        <v>9.4919290855704439</v>
      </c>
    </row>
    <row r="642" spans="2:3">
      <c r="B642" s="412" t="s">
        <v>901</v>
      </c>
      <c r="C642" s="1110">
        <v>9.4919290855704439</v>
      </c>
    </row>
    <row r="643" spans="2:3">
      <c r="B643" s="412" t="s">
        <v>902</v>
      </c>
      <c r="C643" s="1110">
        <v>13.821154278217543</v>
      </c>
    </row>
    <row r="644" spans="2:3">
      <c r="B644" s="412" t="s">
        <v>903</v>
      </c>
      <c r="C644" s="1110">
        <v>13.821154278217543</v>
      </c>
    </row>
    <row r="645" spans="2:3">
      <c r="B645" s="412" t="s">
        <v>904</v>
      </c>
      <c r="C645" s="1110">
        <v>13.821154278217543</v>
      </c>
    </row>
    <row r="646" spans="2:3">
      <c r="B646" s="412" t="s">
        <v>905</v>
      </c>
      <c r="C646" s="1110">
        <v>13.821154278217543</v>
      </c>
    </row>
    <row r="647" spans="2:3">
      <c r="B647" s="412" t="s">
        <v>906</v>
      </c>
      <c r="C647" s="1110">
        <v>13.821154278217543</v>
      </c>
    </row>
    <row r="648" spans="2:3">
      <c r="B648" s="412" t="s">
        <v>907</v>
      </c>
      <c r="C648" s="1110">
        <v>13.821154278217543</v>
      </c>
    </row>
    <row r="649" spans="2:3">
      <c r="B649" s="412" t="s">
        <v>908</v>
      </c>
      <c r="C649" s="1110">
        <v>13.821154278217543</v>
      </c>
    </row>
    <row r="650" spans="2:3">
      <c r="B650" s="412" t="s">
        <v>909</v>
      </c>
      <c r="C650" s="1110">
        <v>13.821154278217543</v>
      </c>
    </row>
    <row r="651" spans="2:3">
      <c r="B651" s="412" t="s">
        <v>910</v>
      </c>
      <c r="C651" s="1110">
        <v>13.821154278217543</v>
      </c>
    </row>
    <row r="652" spans="2:3">
      <c r="B652" s="412" t="s">
        <v>911</v>
      </c>
      <c r="C652" s="1110">
        <v>13.821154278217543</v>
      </c>
    </row>
    <row r="653" spans="2:3">
      <c r="B653" s="412" t="s">
        <v>912</v>
      </c>
      <c r="C653" s="1110">
        <v>13.821154278217543</v>
      </c>
    </row>
    <row r="654" spans="2:3">
      <c r="B654" s="412" t="s">
        <v>913</v>
      </c>
      <c r="C654" s="1110">
        <v>13.821154278217543</v>
      </c>
    </row>
    <row r="655" spans="2:3">
      <c r="B655" s="412" t="s">
        <v>914</v>
      </c>
      <c r="C655" s="1110">
        <v>13.821154278217543</v>
      </c>
    </row>
    <row r="656" spans="2:3">
      <c r="B656" s="412" t="s">
        <v>915</v>
      </c>
      <c r="C656" s="1110">
        <v>13.821154278217543</v>
      </c>
    </row>
    <row r="657" spans="2:3">
      <c r="B657" s="412" t="s">
        <v>916</v>
      </c>
      <c r="C657" s="1110">
        <v>13.821154278217543</v>
      </c>
    </row>
    <row r="658" spans="2:3">
      <c r="B658" s="412" t="s">
        <v>917</v>
      </c>
      <c r="C658" s="1110">
        <v>13.821154278217543</v>
      </c>
    </row>
    <row r="659" spans="2:3">
      <c r="B659" s="412" t="s">
        <v>918</v>
      </c>
      <c r="C659" s="1110">
        <v>13.821154278217543</v>
      </c>
    </row>
    <row r="660" spans="2:3">
      <c r="B660" s="412" t="s">
        <v>919</v>
      </c>
      <c r="C660" s="1110">
        <v>13.821154278217543</v>
      </c>
    </row>
    <row r="661" spans="2:3">
      <c r="B661" s="412" t="s">
        <v>920</v>
      </c>
      <c r="C661" s="1110">
        <v>13.821154278217543</v>
      </c>
    </row>
    <row r="662" spans="2:3">
      <c r="B662" s="412" t="s">
        <v>921</v>
      </c>
      <c r="C662" s="1110">
        <v>13.821154278217543</v>
      </c>
    </row>
    <row r="663" spans="2:3">
      <c r="B663" s="412" t="s">
        <v>922</v>
      </c>
      <c r="C663" s="1110">
        <v>13.821154278217543</v>
      </c>
    </row>
    <row r="664" spans="2:3">
      <c r="B664" s="412" t="s">
        <v>923</v>
      </c>
      <c r="C664" s="1110">
        <v>13.821154278217543</v>
      </c>
    </row>
    <row r="665" spans="2:3">
      <c r="B665" s="412" t="s">
        <v>924</v>
      </c>
      <c r="C665" s="1110">
        <v>13.821154278217543</v>
      </c>
    </row>
    <row r="666" spans="2:3">
      <c r="B666" s="412" t="s">
        <v>925</v>
      </c>
      <c r="C666" s="1110">
        <v>13.821154278217543</v>
      </c>
    </row>
    <row r="667" spans="2:3">
      <c r="B667" s="412" t="s">
        <v>926</v>
      </c>
      <c r="C667" s="1110">
        <v>13.821154278217543</v>
      </c>
    </row>
    <row r="668" spans="2:3">
      <c r="B668" s="412" t="s">
        <v>927</v>
      </c>
      <c r="C668" s="1110">
        <v>13.821154278217543</v>
      </c>
    </row>
    <row r="669" spans="2:3">
      <c r="B669" s="412" t="s">
        <v>928</v>
      </c>
      <c r="C669" s="1110">
        <v>13.821154278217543</v>
      </c>
    </row>
    <row r="670" spans="2:3">
      <c r="B670" s="412" t="s">
        <v>929</v>
      </c>
      <c r="C670" s="1110">
        <v>13.821154278217543</v>
      </c>
    </row>
    <row r="671" spans="2:3">
      <c r="B671" s="412" t="s">
        <v>930</v>
      </c>
      <c r="C671" s="1110">
        <v>13.821154278217543</v>
      </c>
    </row>
    <row r="672" spans="2:3">
      <c r="B672" s="412" t="s">
        <v>931</v>
      </c>
      <c r="C672" s="1110">
        <v>13.821154278217543</v>
      </c>
    </row>
    <row r="673" spans="2:3">
      <c r="B673" s="412" t="s">
        <v>932</v>
      </c>
      <c r="C673" s="1110">
        <v>13.821154278217543</v>
      </c>
    </row>
    <row r="674" spans="2:3">
      <c r="B674" s="412" t="s">
        <v>933</v>
      </c>
      <c r="C674" s="1110">
        <v>13.821154278217543</v>
      </c>
    </row>
    <row r="675" spans="2:3">
      <c r="B675" s="412" t="s">
        <v>934</v>
      </c>
      <c r="C675" s="1110">
        <v>13.821154278217543</v>
      </c>
    </row>
    <row r="676" spans="2:3">
      <c r="B676" s="412" t="s">
        <v>935</v>
      </c>
      <c r="C676" s="1110">
        <v>13.821154278217543</v>
      </c>
    </row>
    <row r="677" spans="2:3">
      <c r="B677" s="412" t="s">
        <v>936</v>
      </c>
      <c r="C677" s="1110">
        <v>13.821154278217543</v>
      </c>
    </row>
    <row r="678" spans="2:3">
      <c r="B678" s="412" t="s">
        <v>937</v>
      </c>
      <c r="C678" s="1110">
        <v>13.821154278217543</v>
      </c>
    </row>
    <row r="679" spans="2:3">
      <c r="B679" s="412" t="s">
        <v>938</v>
      </c>
      <c r="C679" s="1110">
        <v>13.821154278217543</v>
      </c>
    </row>
    <row r="680" spans="2:3">
      <c r="B680" s="412" t="s">
        <v>939</v>
      </c>
      <c r="C680" s="1110">
        <v>13.821154278217543</v>
      </c>
    </row>
    <row r="681" spans="2:3">
      <c r="B681" s="412" t="s">
        <v>940</v>
      </c>
      <c r="C681" s="1110">
        <v>13.821154278217543</v>
      </c>
    </row>
    <row r="682" spans="2:3">
      <c r="B682" s="412" t="s">
        <v>941</v>
      </c>
      <c r="C682" s="1110">
        <v>13.821154278217543</v>
      </c>
    </row>
    <row r="683" spans="2:3">
      <c r="B683" s="412" t="s">
        <v>942</v>
      </c>
      <c r="C683" s="1110">
        <v>13.821154278217543</v>
      </c>
    </row>
    <row r="684" spans="2:3">
      <c r="B684" s="412" t="s">
        <v>943</v>
      </c>
      <c r="C684" s="1110">
        <v>13.821154278217543</v>
      </c>
    </row>
    <row r="685" spans="2:3">
      <c r="B685" s="412" t="s">
        <v>944</v>
      </c>
      <c r="C685" s="1110">
        <v>13.821154278217543</v>
      </c>
    </row>
    <row r="686" spans="2:3">
      <c r="B686" s="412" t="s">
        <v>945</v>
      </c>
      <c r="C686" s="1110">
        <v>13.821154278217543</v>
      </c>
    </row>
    <row r="687" spans="2:3">
      <c r="B687" s="412" t="s">
        <v>946</v>
      </c>
      <c r="C687" s="1110">
        <v>13.821154278217543</v>
      </c>
    </row>
    <row r="688" spans="2:3">
      <c r="B688" s="412" t="s">
        <v>947</v>
      </c>
      <c r="C688" s="1110">
        <v>13.821154278217543</v>
      </c>
    </row>
    <row r="689" spans="2:3">
      <c r="B689" s="412" t="s">
        <v>948</v>
      </c>
      <c r="C689" s="1110">
        <v>13.821154278217543</v>
      </c>
    </row>
    <row r="690" spans="2:3">
      <c r="B690" s="412" t="s">
        <v>949</v>
      </c>
      <c r="C690" s="1110">
        <v>13.821154278217543</v>
      </c>
    </row>
    <row r="691" spans="2:3">
      <c r="B691" s="412" t="s">
        <v>950</v>
      </c>
      <c r="C691" s="1110">
        <v>13.821154278217543</v>
      </c>
    </row>
    <row r="692" spans="2:3">
      <c r="B692" s="412" t="s">
        <v>951</v>
      </c>
      <c r="C692" s="1110">
        <v>13.821154278217543</v>
      </c>
    </row>
    <row r="693" spans="2:3">
      <c r="B693" s="412" t="s">
        <v>952</v>
      </c>
      <c r="C693" s="1110">
        <v>13.821154278217543</v>
      </c>
    </row>
    <row r="694" spans="2:3">
      <c r="B694" s="412" t="s">
        <v>953</v>
      </c>
      <c r="C694" s="1110">
        <v>13.821154278217543</v>
      </c>
    </row>
    <row r="695" spans="2:3">
      <c r="B695" s="412" t="s">
        <v>954</v>
      </c>
      <c r="C695" s="1110">
        <v>13.803121579794025</v>
      </c>
    </row>
    <row r="696" spans="2:3">
      <c r="B696" s="412" t="s">
        <v>955</v>
      </c>
      <c r="C696" s="1110">
        <v>12.850256688357812</v>
      </c>
    </row>
    <row r="697" spans="2:3">
      <c r="B697" s="412" t="s">
        <v>956</v>
      </c>
      <c r="C697" s="1110">
        <v>12.082154567097643</v>
      </c>
    </row>
    <row r="698" spans="2:3">
      <c r="B698" s="412" t="s">
        <v>957</v>
      </c>
      <c r="C698" s="1110">
        <v>11.722329535233353</v>
      </c>
    </row>
    <row r="699" spans="2:3">
      <c r="B699" s="412" t="s">
        <v>958</v>
      </c>
      <c r="C699" s="1110">
        <v>13.821154278217543</v>
      </c>
    </row>
    <row r="700" spans="2:3">
      <c r="B700" s="412" t="s">
        <v>959</v>
      </c>
      <c r="C700" s="1110">
        <v>13.821154278217543</v>
      </c>
    </row>
    <row r="701" spans="2:3">
      <c r="B701" s="412" t="s">
        <v>960</v>
      </c>
      <c r="C701" s="1110">
        <v>13.821154278217543</v>
      </c>
    </row>
    <row r="702" spans="2:3">
      <c r="B702" s="412" t="s">
        <v>961</v>
      </c>
      <c r="C702" s="1110">
        <v>13.815874026924776</v>
      </c>
    </row>
    <row r="703" spans="2:3">
      <c r="B703" s="412" t="s">
        <v>962</v>
      </c>
      <c r="C703" s="1110">
        <v>13.821154278217543</v>
      </c>
    </row>
    <row r="704" spans="2:3">
      <c r="B704" s="412" t="s">
        <v>963</v>
      </c>
      <c r="C704" s="1110">
        <v>12.41660743434114</v>
      </c>
    </row>
    <row r="705" spans="2:3">
      <c r="B705" s="412" t="s">
        <v>964</v>
      </c>
      <c r="C705" s="1110">
        <v>13.821154278217543</v>
      </c>
    </row>
    <row r="706" spans="2:3">
      <c r="B706" s="412" t="s">
        <v>965</v>
      </c>
      <c r="C706" s="1110">
        <v>13.821154278217543</v>
      </c>
    </row>
    <row r="707" spans="2:3">
      <c r="B707" s="412" t="s">
        <v>966</v>
      </c>
      <c r="C707" s="1110">
        <v>13.821154278217543</v>
      </c>
    </row>
    <row r="708" spans="2:3">
      <c r="B708" s="412" t="s">
        <v>967</v>
      </c>
      <c r="C708" s="1110">
        <v>13.821154278217543</v>
      </c>
    </row>
    <row r="709" spans="2:3">
      <c r="B709" s="412" t="s">
        <v>968</v>
      </c>
      <c r="C709" s="1110">
        <v>13.821154278217543</v>
      </c>
    </row>
    <row r="710" spans="2:3">
      <c r="B710" s="412" t="s">
        <v>969</v>
      </c>
      <c r="C710" s="1110">
        <v>13.821154278217543</v>
      </c>
    </row>
    <row r="711" spans="2:3">
      <c r="B711" s="412" t="s">
        <v>970</v>
      </c>
      <c r="C711" s="1110">
        <v>13.821154278217543</v>
      </c>
    </row>
    <row r="712" spans="2:3">
      <c r="B712" s="412" t="s">
        <v>971</v>
      </c>
      <c r="C712" s="1110">
        <v>13.821154278217543</v>
      </c>
    </row>
    <row r="713" spans="2:3">
      <c r="B713" s="412" t="s">
        <v>972</v>
      </c>
      <c r="C713" s="1110">
        <v>13.821154278217543</v>
      </c>
    </row>
    <row r="714" spans="2:3">
      <c r="B714" s="412" t="s">
        <v>973</v>
      </c>
      <c r="C714" s="1110">
        <v>13.821154278217543</v>
      </c>
    </row>
    <row r="715" spans="2:3">
      <c r="B715" s="412" t="s">
        <v>974</v>
      </c>
      <c r="C715" s="1110">
        <v>13.821154278217543</v>
      </c>
    </row>
    <row r="716" spans="2:3">
      <c r="B716" s="412" t="s">
        <v>975</v>
      </c>
      <c r="C716" s="1110">
        <v>13.821154278217543</v>
      </c>
    </row>
    <row r="717" spans="2:3">
      <c r="B717" s="412" t="s">
        <v>976</v>
      </c>
      <c r="C717" s="1110">
        <v>13.821154278217543</v>
      </c>
    </row>
    <row r="718" spans="2:3">
      <c r="B718" s="412" t="s">
        <v>977</v>
      </c>
      <c r="C718" s="1110">
        <v>13.821154278217543</v>
      </c>
    </row>
    <row r="719" spans="2:3">
      <c r="B719" s="412" t="s">
        <v>978</v>
      </c>
      <c r="C719" s="1110">
        <v>13.821154278217543</v>
      </c>
    </row>
    <row r="720" spans="2:3">
      <c r="B720" s="412" t="s">
        <v>979</v>
      </c>
      <c r="C720" s="1110">
        <v>13.821154278217543</v>
      </c>
    </row>
    <row r="721" spans="2:3">
      <c r="B721" s="412" t="s">
        <v>980</v>
      </c>
      <c r="C721" s="1110">
        <v>13.821154278217543</v>
      </c>
    </row>
    <row r="722" spans="2:3">
      <c r="B722" s="412" t="s">
        <v>981</v>
      </c>
      <c r="C722" s="1110">
        <v>13.821154278217543</v>
      </c>
    </row>
    <row r="723" spans="2:3">
      <c r="B723" s="412" t="s">
        <v>982</v>
      </c>
      <c r="C723" s="1110">
        <v>13.821154278217543</v>
      </c>
    </row>
    <row r="724" spans="2:3">
      <c r="B724" s="412" t="s">
        <v>983</v>
      </c>
      <c r="C724" s="1110">
        <v>11.714334012402938</v>
      </c>
    </row>
    <row r="725" spans="2:3">
      <c r="B725" s="412" t="s">
        <v>984</v>
      </c>
      <c r="C725" s="1110">
        <v>13.21592227458353</v>
      </c>
    </row>
    <row r="726" spans="2:3">
      <c r="B726" s="412" t="s">
        <v>985</v>
      </c>
      <c r="C726" s="1110">
        <v>12.359058780046587</v>
      </c>
    </row>
    <row r="727" spans="2:3">
      <c r="B727" s="412" t="s">
        <v>986</v>
      </c>
      <c r="C727" s="1110">
        <v>11.714334012402938</v>
      </c>
    </row>
    <row r="728" spans="2:3">
      <c r="B728" s="412" t="s">
        <v>987</v>
      </c>
      <c r="C728" s="1110">
        <v>13.779149138961426</v>
      </c>
    </row>
    <row r="729" spans="2:3">
      <c r="B729" s="412" t="s">
        <v>988</v>
      </c>
      <c r="C729" s="1110">
        <v>13.821154278217543</v>
      </c>
    </row>
    <row r="730" spans="2:3">
      <c r="B730" s="412" t="s">
        <v>989</v>
      </c>
      <c r="C730" s="1110">
        <v>13.821154278217543</v>
      </c>
    </row>
    <row r="731" spans="2:3">
      <c r="B731" s="412" t="s">
        <v>990</v>
      </c>
      <c r="C731" s="1110">
        <v>13.821154278217543</v>
      </c>
    </row>
    <row r="732" spans="2:3">
      <c r="B732" s="412" t="s">
        <v>991</v>
      </c>
      <c r="C732" s="1110">
        <v>13.821154278217543</v>
      </c>
    </row>
    <row r="733" spans="2:3">
      <c r="B733" s="412" t="s">
        <v>992</v>
      </c>
      <c r="C733" s="1110">
        <v>13.821154278217543</v>
      </c>
    </row>
    <row r="734" spans="2:3">
      <c r="B734" s="412" t="s">
        <v>993</v>
      </c>
      <c r="C734" s="1110">
        <v>11.714334012402938</v>
      </c>
    </row>
    <row r="735" spans="2:3">
      <c r="B735" s="412" t="s">
        <v>994</v>
      </c>
      <c r="C735" s="1110">
        <v>13.821154278217543</v>
      </c>
    </row>
    <row r="736" spans="2:3">
      <c r="B736" s="412" t="s">
        <v>995</v>
      </c>
      <c r="C736" s="1110">
        <v>13.821154278217543</v>
      </c>
    </row>
    <row r="737" spans="2:3">
      <c r="B737" s="412" t="s">
        <v>996</v>
      </c>
      <c r="C737" s="1110">
        <v>13.821154278217543</v>
      </c>
    </row>
    <row r="738" spans="2:3">
      <c r="B738" s="412" t="s">
        <v>997</v>
      </c>
      <c r="C738" s="1110">
        <v>11.714334012402938</v>
      </c>
    </row>
    <row r="739" spans="2:3">
      <c r="B739" s="412" t="s">
        <v>998</v>
      </c>
      <c r="C739" s="1110">
        <v>13.821154278217543</v>
      </c>
    </row>
    <row r="740" spans="2:3">
      <c r="B740" s="412" t="s">
        <v>999</v>
      </c>
      <c r="C740" s="1110">
        <v>13.821154278217543</v>
      </c>
    </row>
    <row r="741" spans="2:3">
      <c r="B741" s="412" t="s">
        <v>1000</v>
      </c>
      <c r="C741" s="1110">
        <v>13.821154278217543</v>
      </c>
    </row>
    <row r="742" spans="2:3">
      <c r="B742" s="412" t="s">
        <v>1001</v>
      </c>
      <c r="C742" s="1110">
        <v>13.821154278217543</v>
      </c>
    </row>
    <row r="743" spans="2:3">
      <c r="B743" s="412" t="s">
        <v>1002</v>
      </c>
      <c r="C743" s="1110">
        <v>13.821154278217543</v>
      </c>
    </row>
    <row r="744" spans="2:3">
      <c r="B744" s="412" t="s">
        <v>1003</v>
      </c>
      <c r="C744" s="1110">
        <v>13.821154278217543</v>
      </c>
    </row>
    <row r="745" spans="2:3">
      <c r="B745" s="412" t="s">
        <v>1004</v>
      </c>
      <c r="C745" s="1110">
        <v>13.821154278217543</v>
      </c>
    </row>
    <row r="746" spans="2:3">
      <c r="B746" s="412" t="s">
        <v>1005</v>
      </c>
      <c r="C746" s="1110">
        <v>13.821154278217543</v>
      </c>
    </row>
    <row r="747" spans="2:3">
      <c r="B747" s="412" t="s">
        <v>1006</v>
      </c>
      <c r="C747" s="1110">
        <v>13.821154278217543</v>
      </c>
    </row>
    <row r="748" spans="2:3">
      <c r="B748" s="412" t="s">
        <v>1007</v>
      </c>
      <c r="C748" s="1110">
        <v>11.714334012402938</v>
      </c>
    </row>
    <row r="749" spans="2:3">
      <c r="B749" s="412" t="s">
        <v>1008</v>
      </c>
      <c r="C749" s="1110">
        <v>13.821154278217543</v>
      </c>
    </row>
    <row r="750" spans="2:3">
      <c r="B750" s="412" t="s">
        <v>1009</v>
      </c>
      <c r="C750" s="1110">
        <v>13.821154278217543</v>
      </c>
    </row>
    <row r="751" spans="2:3">
      <c r="B751" s="412" t="s">
        <v>1010</v>
      </c>
      <c r="C751" s="1110">
        <v>11.714334012402938</v>
      </c>
    </row>
    <row r="752" spans="2:3">
      <c r="B752" s="412" t="s">
        <v>1011</v>
      </c>
      <c r="C752" s="1110">
        <v>11.714334012402938</v>
      </c>
    </row>
    <row r="753" spans="2:3">
      <c r="B753" s="412" t="s">
        <v>1012</v>
      </c>
      <c r="C753" s="1110">
        <v>11.772505520342596</v>
      </c>
    </row>
    <row r="754" spans="2:3">
      <c r="B754" s="412" t="s">
        <v>1013</v>
      </c>
      <c r="C754" s="1110">
        <v>11.714334012402938</v>
      </c>
    </row>
    <row r="755" spans="2:3">
      <c r="B755" s="412" t="s">
        <v>1014</v>
      </c>
      <c r="C755" s="1110">
        <v>11.779225807037884</v>
      </c>
    </row>
    <row r="756" spans="2:3">
      <c r="B756" s="412" t="s">
        <v>1015</v>
      </c>
      <c r="C756" s="1110">
        <v>13.104073886539679</v>
      </c>
    </row>
    <row r="757" spans="2:3">
      <c r="B757" s="412" t="s">
        <v>1016</v>
      </c>
      <c r="C757" s="1110">
        <v>13.821154278217543</v>
      </c>
    </row>
    <row r="758" spans="2:3">
      <c r="B758" s="412" t="s">
        <v>1017</v>
      </c>
      <c r="C758" s="1110">
        <v>13.821154278217543</v>
      </c>
    </row>
    <row r="759" spans="2:3">
      <c r="B759" s="412" t="s">
        <v>1018</v>
      </c>
      <c r="C759" s="1110">
        <v>13.821154278217543</v>
      </c>
    </row>
    <row r="760" spans="2:3">
      <c r="B760" s="412" t="s">
        <v>1019</v>
      </c>
      <c r="C760" s="1110">
        <v>13.821154278217543</v>
      </c>
    </row>
    <row r="761" spans="2:3">
      <c r="B761" s="412" t="s">
        <v>1020</v>
      </c>
      <c r="C761" s="1110">
        <v>13.821154278217543</v>
      </c>
    </row>
    <row r="762" spans="2:3">
      <c r="B762" s="412" t="s">
        <v>1021</v>
      </c>
      <c r="C762" s="1110">
        <v>13.821154278217543</v>
      </c>
    </row>
    <row r="763" spans="2:3">
      <c r="B763" s="412" t="s">
        <v>1022</v>
      </c>
      <c r="C763" s="1110">
        <v>13.821154278217543</v>
      </c>
    </row>
    <row r="764" spans="2:3">
      <c r="B764" s="412" t="s">
        <v>1023</v>
      </c>
      <c r="C764" s="1110">
        <v>13.821154278217543</v>
      </c>
    </row>
    <row r="765" spans="2:3">
      <c r="B765" s="412" t="s">
        <v>1024</v>
      </c>
      <c r="C765" s="1110">
        <v>13.821154278217543</v>
      </c>
    </row>
    <row r="766" spans="2:3">
      <c r="B766" s="412" t="s">
        <v>1025</v>
      </c>
      <c r="C766" s="1110">
        <v>13.821154278217543</v>
      </c>
    </row>
    <row r="767" spans="2:3">
      <c r="B767" s="412" t="s">
        <v>1026</v>
      </c>
      <c r="C767" s="1110">
        <v>13.821154278217543</v>
      </c>
    </row>
    <row r="768" spans="2:3">
      <c r="B768" s="412" t="s">
        <v>1027</v>
      </c>
      <c r="C768" s="1110">
        <v>11.714334012402938</v>
      </c>
    </row>
    <row r="769" spans="2:3">
      <c r="B769" s="412" t="s">
        <v>1028</v>
      </c>
      <c r="C769" s="1110">
        <v>13.821154278217543</v>
      </c>
    </row>
    <row r="770" spans="2:3">
      <c r="B770" s="412" t="s">
        <v>1029</v>
      </c>
      <c r="C770" s="1110">
        <v>13.821154278217543</v>
      </c>
    </row>
    <row r="771" spans="2:3">
      <c r="B771" s="412" t="s">
        <v>1030</v>
      </c>
      <c r="C771" s="1110">
        <v>13.821154278217543</v>
      </c>
    </row>
    <row r="772" spans="2:3">
      <c r="B772" s="412" t="s">
        <v>1031</v>
      </c>
      <c r="C772" s="1110">
        <v>13.821154278217543</v>
      </c>
    </row>
    <row r="773" spans="2:3">
      <c r="B773" s="412" t="s">
        <v>1032</v>
      </c>
      <c r="C773" s="1110">
        <v>13.821154278217543</v>
      </c>
    </row>
    <row r="774" spans="2:3">
      <c r="B774" s="412" t="s">
        <v>1033</v>
      </c>
      <c r="C774" s="1110">
        <v>11.714334012402938</v>
      </c>
    </row>
    <row r="775" spans="2:3">
      <c r="B775" s="412" t="s">
        <v>1034</v>
      </c>
      <c r="C775" s="1110">
        <v>11.930484917301097</v>
      </c>
    </row>
    <row r="776" spans="2:3">
      <c r="B776" s="412" t="s">
        <v>1035</v>
      </c>
      <c r="C776" s="1110">
        <v>11.714334012402938</v>
      </c>
    </row>
    <row r="777" spans="2:3">
      <c r="B777" s="412" t="s">
        <v>1036</v>
      </c>
      <c r="C777" s="1110">
        <v>11.714334012402938</v>
      </c>
    </row>
    <row r="778" spans="2:3">
      <c r="B778" s="412" t="s">
        <v>1037</v>
      </c>
      <c r="C778" s="1110">
        <v>11.756982195921452</v>
      </c>
    </row>
    <row r="779" spans="2:3">
      <c r="B779" s="412" t="s">
        <v>1038</v>
      </c>
      <c r="C779" s="1110">
        <v>13.789895817300415</v>
      </c>
    </row>
    <row r="780" spans="2:3">
      <c r="B780" s="412" t="s">
        <v>1039</v>
      </c>
      <c r="C780" s="1110">
        <v>11.758299376881538</v>
      </c>
    </row>
    <row r="781" spans="2:3" ht="17" thickBot="1">
      <c r="B781" s="413" t="s">
        <v>1040</v>
      </c>
      <c r="C781" s="655">
        <v>12.568045541915492</v>
      </c>
    </row>
    <row r="782" spans="2:3">
      <c r="B782" s="415" t="s">
        <v>1041</v>
      </c>
      <c r="C782" s="1109">
        <v>9.4919290855704439</v>
      </c>
    </row>
    <row r="783" spans="2:3">
      <c r="B783" s="412" t="s">
        <v>1042</v>
      </c>
      <c r="C783" s="1110">
        <v>9.4919290855704439</v>
      </c>
    </row>
    <row r="784" spans="2:3">
      <c r="B784" s="412" t="s">
        <v>1043</v>
      </c>
      <c r="C784" s="1110">
        <v>9.4919290855704439</v>
      </c>
    </row>
    <row r="785" spans="2:3">
      <c r="B785" s="412" t="s">
        <v>1044</v>
      </c>
      <c r="C785" s="1110">
        <v>9.4919290855704439</v>
      </c>
    </row>
    <row r="786" spans="2:3">
      <c r="B786" s="412" t="s">
        <v>1045</v>
      </c>
      <c r="C786" s="1110">
        <v>9.4919290855704439</v>
      </c>
    </row>
    <row r="787" spans="2:3">
      <c r="B787" s="412" t="s">
        <v>1046</v>
      </c>
      <c r="C787" s="1110">
        <v>9.4919290855704439</v>
      </c>
    </row>
    <row r="788" spans="2:3">
      <c r="B788" s="412" t="s">
        <v>1047</v>
      </c>
      <c r="C788" s="1110">
        <v>9.4919290855704439</v>
      </c>
    </row>
    <row r="789" spans="2:3">
      <c r="B789" s="412" t="s">
        <v>1048</v>
      </c>
      <c r="C789" s="1110">
        <v>9.4919290855704439</v>
      </c>
    </row>
    <row r="790" spans="2:3">
      <c r="B790" s="412" t="s">
        <v>1049</v>
      </c>
      <c r="C790" s="1110">
        <v>9.4919290855704439</v>
      </c>
    </row>
    <row r="791" spans="2:3">
      <c r="B791" s="412" t="s">
        <v>1050</v>
      </c>
      <c r="C791" s="1110">
        <v>9.4919290855704439</v>
      </c>
    </row>
    <row r="792" spans="2:3">
      <c r="B792" s="412" t="s">
        <v>1051</v>
      </c>
      <c r="C792" s="1110">
        <v>9.4919290855704439</v>
      </c>
    </row>
    <row r="793" spans="2:3">
      <c r="B793" s="412" t="s">
        <v>1052</v>
      </c>
      <c r="C793" s="1110">
        <v>9.4919290855704439</v>
      </c>
    </row>
    <row r="794" spans="2:3">
      <c r="B794" s="412" t="s">
        <v>1053</v>
      </c>
      <c r="C794" s="1110">
        <v>9.4919290855704439</v>
      </c>
    </row>
    <row r="795" spans="2:3">
      <c r="B795" s="412" t="s">
        <v>1054</v>
      </c>
      <c r="C795" s="1110">
        <v>9.4919290855704439</v>
      </c>
    </row>
    <row r="796" spans="2:3">
      <c r="B796" s="412" t="s">
        <v>1055</v>
      </c>
      <c r="C796" s="1110">
        <v>9.622300353054106</v>
      </c>
    </row>
    <row r="797" spans="2:3">
      <c r="B797" s="412" t="s">
        <v>1056</v>
      </c>
      <c r="C797" s="1110">
        <v>9.4919290855704439</v>
      </c>
    </row>
    <row r="798" spans="2:3">
      <c r="B798" s="412" t="s">
        <v>1057</v>
      </c>
      <c r="C798" s="1110">
        <v>9.4919290855704439</v>
      </c>
    </row>
    <row r="799" spans="2:3">
      <c r="B799" s="412" t="s">
        <v>1058</v>
      </c>
      <c r="C799" s="1110">
        <v>9.4919290855704439</v>
      </c>
    </row>
    <row r="800" spans="2:3">
      <c r="B800" s="412" t="s">
        <v>1059</v>
      </c>
      <c r="C800" s="1110">
        <v>9.4919290855704439</v>
      </c>
    </row>
    <row r="801" spans="2:3">
      <c r="B801" s="412" t="s">
        <v>1060</v>
      </c>
      <c r="C801" s="1110">
        <v>9.4919290855704439</v>
      </c>
    </row>
    <row r="802" spans="2:3">
      <c r="B802" s="412" t="s">
        <v>1061</v>
      </c>
      <c r="C802" s="1110">
        <v>9.4919290855704439</v>
      </c>
    </row>
    <row r="803" spans="2:3">
      <c r="B803" s="412" t="s">
        <v>1062</v>
      </c>
      <c r="C803" s="1110">
        <v>9.4919290855704439</v>
      </c>
    </row>
    <row r="804" spans="2:3">
      <c r="B804" s="412" t="s">
        <v>1063</v>
      </c>
      <c r="C804" s="1110">
        <v>9.4919290855704439</v>
      </c>
    </row>
    <row r="805" spans="2:3">
      <c r="B805" s="412" t="s">
        <v>1064</v>
      </c>
      <c r="C805" s="1110">
        <v>9.4919290855704439</v>
      </c>
    </row>
    <row r="806" spans="2:3">
      <c r="B806" s="412" t="s">
        <v>1065</v>
      </c>
      <c r="C806" s="1110">
        <v>9.4919290855704439</v>
      </c>
    </row>
    <row r="807" spans="2:3">
      <c r="B807" s="412" t="s">
        <v>1066</v>
      </c>
      <c r="C807" s="1110">
        <v>9.4919290855704439</v>
      </c>
    </row>
    <row r="808" spans="2:3">
      <c r="B808" s="412" t="s">
        <v>1067</v>
      </c>
      <c r="C808" s="1110">
        <v>9.4919290855704439</v>
      </c>
    </row>
    <row r="809" spans="2:3">
      <c r="B809" s="412" t="s">
        <v>1068</v>
      </c>
      <c r="C809" s="1110">
        <v>9.4919290855704439</v>
      </c>
    </row>
    <row r="810" spans="2:3">
      <c r="B810" s="412" t="s">
        <v>1069</v>
      </c>
      <c r="C810" s="1110">
        <v>9.4919290855704439</v>
      </c>
    </row>
    <row r="811" spans="2:3">
      <c r="B811" s="412" t="s">
        <v>1070</v>
      </c>
      <c r="C811" s="1110">
        <v>9.4919290855704439</v>
      </c>
    </row>
    <row r="812" spans="2:3">
      <c r="B812" s="412" t="s">
        <v>1071</v>
      </c>
      <c r="C812" s="1110">
        <v>9.4919290855704439</v>
      </c>
    </row>
    <row r="813" spans="2:3">
      <c r="B813" s="412" t="s">
        <v>1072</v>
      </c>
      <c r="C813" s="1110">
        <v>9.4919290855704439</v>
      </c>
    </row>
    <row r="814" spans="2:3">
      <c r="B814" s="412" t="s">
        <v>1073</v>
      </c>
      <c r="C814" s="1110">
        <v>9.4919290855704439</v>
      </c>
    </row>
    <row r="815" spans="2:3">
      <c r="B815" s="412" t="s">
        <v>1074</v>
      </c>
      <c r="C815" s="1110">
        <v>9.4919290855704439</v>
      </c>
    </row>
    <row r="816" spans="2:3">
      <c r="B816" s="412" t="s">
        <v>1075</v>
      </c>
      <c r="C816" s="1110">
        <v>9.4919290855704439</v>
      </c>
    </row>
    <row r="817" spans="2:3">
      <c r="B817" s="412" t="s">
        <v>1076</v>
      </c>
      <c r="C817" s="1110">
        <v>9.4919290855704439</v>
      </c>
    </row>
    <row r="818" spans="2:3">
      <c r="B818" s="412" t="s">
        <v>1077</v>
      </c>
      <c r="C818" s="1110">
        <v>9.4919290855704439</v>
      </c>
    </row>
    <row r="819" spans="2:3">
      <c r="B819" s="412" t="s">
        <v>1078</v>
      </c>
      <c r="C819" s="1110">
        <v>9.4919290855704439</v>
      </c>
    </row>
    <row r="820" spans="2:3">
      <c r="B820" s="412" t="s">
        <v>1079</v>
      </c>
      <c r="C820" s="1110">
        <v>9.4919290855704439</v>
      </c>
    </row>
    <row r="821" spans="2:3">
      <c r="B821" s="412" t="s">
        <v>1080</v>
      </c>
      <c r="C821" s="1110">
        <v>9.4919290855704439</v>
      </c>
    </row>
    <row r="822" spans="2:3">
      <c r="B822" s="412" t="s">
        <v>1081</v>
      </c>
      <c r="C822" s="1110">
        <v>9.4919290855704439</v>
      </c>
    </row>
    <row r="823" spans="2:3">
      <c r="B823" s="412" t="s">
        <v>1082</v>
      </c>
      <c r="C823" s="1110">
        <v>9.4919290855704439</v>
      </c>
    </row>
    <row r="824" spans="2:3">
      <c r="B824" s="412" t="s">
        <v>1083</v>
      </c>
      <c r="C824" s="1110">
        <v>9.4919290855704439</v>
      </c>
    </row>
    <row r="825" spans="2:3">
      <c r="B825" s="412" t="s">
        <v>1084</v>
      </c>
      <c r="C825" s="1110">
        <v>9.4919290855704439</v>
      </c>
    </row>
    <row r="826" spans="2:3">
      <c r="B826" s="412" t="s">
        <v>1085</v>
      </c>
      <c r="C826" s="1110">
        <v>9.4919290855704439</v>
      </c>
    </row>
    <row r="827" spans="2:3">
      <c r="B827" s="412" t="s">
        <v>1086</v>
      </c>
      <c r="C827" s="1110">
        <v>9.4919290855704439</v>
      </c>
    </row>
    <row r="828" spans="2:3">
      <c r="B828" s="412" t="s">
        <v>1087</v>
      </c>
      <c r="C828" s="1110">
        <v>9.4919290855704439</v>
      </c>
    </row>
    <row r="829" spans="2:3">
      <c r="B829" s="412" t="s">
        <v>1088</v>
      </c>
      <c r="C829" s="1110">
        <v>9.4919290855704439</v>
      </c>
    </row>
    <row r="830" spans="2:3">
      <c r="B830" s="412" t="s">
        <v>1089</v>
      </c>
      <c r="C830" s="1110">
        <v>13.821154278217543</v>
      </c>
    </row>
    <row r="831" spans="2:3">
      <c r="B831" s="412" t="s">
        <v>1090</v>
      </c>
      <c r="C831" s="1110">
        <v>13.821154278217543</v>
      </c>
    </row>
    <row r="832" spans="2:3">
      <c r="B832" s="412" t="s">
        <v>1091</v>
      </c>
      <c r="C832" s="1110">
        <v>13.821154278217543</v>
      </c>
    </row>
    <row r="833" spans="2:3">
      <c r="B833" s="412" t="s">
        <v>1092</v>
      </c>
      <c r="C833" s="1110">
        <v>13.821154278217543</v>
      </c>
    </row>
    <row r="834" spans="2:3">
      <c r="B834" s="412" t="s">
        <v>1093</v>
      </c>
      <c r="C834" s="1110">
        <v>13.821154278217543</v>
      </c>
    </row>
    <row r="835" spans="2:3">
      <c r="B835" s="412" t="s">
        <v>1094</v>
      </c>
      <c r="C835" s="1110">
        <v>13.821154278217543</v>
      </c>
    </row>
    <row r="836" spans="2:3">
      <c r="B836" s="412" t="s">
        <v>1095</v>
      </c>
      <c r="C836" s="1110">
        <v>13.821154278217543</v>
      </c>
    </row>
    <row r="837" spans="2:3">
      <c r="B837" s="412" t="s">
        <v>1096</v>
      </c>
      <c r="C837" s="1110">
        <v>13.821154278217543</v>
      </c>
    </row>
    <row r="838" spans="2:3">
      <c r="B838" s="412" t="s">
        <v>1097</v>
      </c>
      <c r="C838" s="1110">
        <v>13.821154278217543</v>
      </c>
    </row>
    <row r="839" spans="2:3">
      <c r="B839" s="412" t="s">
        <v>1098</v>
      </c>
      <c r="C839" s="1110">
        <v>13.821154278217543</v>
      </c>
    </row>
    <row r="840" spans="2:3">
      <c r="B840" s="412" t="s">
        <v>1099</v>
      </c>
      <c r="C840" s="1110">
        <v>13.821154278217543</v>
      </c>
    </row>
    <row r="841" spans="2:3">
      <c r="B841" s="412" t="s">
        <v>1100</v>
      </c>
      <c r="C841" s="1110">
        <v>13.821154278217543</v>
      </c>
    </row>
    <row r="842" spans="2:3">
      <c r="B842" s="412" t="s">
        <v>1101</v>
      </c>
      <c r="C842" s="1110">
        <v>13.821154278217543</v>
      </c>
    </row>
    <row r="843" spans="2:3">
      <c r="B843" s="412" t="s">
        <v>1102</v>
      </c>
      <c r="C843" s="1110">
        <v>13.821154278217543</v>
      </c>
    </row>
    <row r="844" spans="2:3">
      <c r="B844" s="412" t="s">
        <v>1103</v>
      </c>
      <c r="C844" s="1110">
        <v>13.821154278217543</v>
      </c>
    </row>
    <row r="845" spans="2:3">
      <c r="B845" s="412" t="s">
        <v>1104</v>
      </c>
      <c r="C845" s="1110">
        <v>13.821154278217543</v>
      </c>
    </row>
    <row r="846" spans="2:3">
      <c r="B846" s="412" t="s">
        <v>1105</v>
      </c>
      <c r="C846" s="1110">
        <v>13.821154278217543</v>
      </c>
    </row>
    <row r="847" spans="2:3">
      <c r="B847" s="412" t="s">
        <v>1106</v>
      </c>
      <c r="C847" s="1110">
        <v>13.821154278217543</v>
      </c>
    </row>
    <row r="848" spans="2:3">
      <c r="B848" s="412" t="s">
        <v>1107</v>
      </c>
      <c r="C848" s="1110">
        <v>13.821154278217543</v>
      </c>
    </row>
    <row r="849" spans="2:3">
      <c r="B849" s="412" t="s">
        <v>1108</v>
      </c>
      <c r="C849" s="1110">
        <v>13.821154278217543</v>
      </c>
    </row>
    <row r="850" spans="2:3">
      <c r="B850" s="412" t="s">
        <v>1109</v>
      </c>
      <c r="C850" s="1110">
        <v>13.821154278217543</v>
      </c>
    </row>
    <row r="851" spans="2:3">
      <c r="B851" s="412" t="s">
        <v>1110</v>
      </c>
      <c r="C851" s="1110">
        <v>13.821154278217543</v>
      </c>
    </row>
    <row r="852" spans="2:3">
      <c r="B852" s="412" t="s">
        <v>1111</v>
      </c>
      <c r="C852" s="1110">
        <v>13.821154278217543</v>
      </c>
    </row>
    <row r="853" spans="2:3">
      <c r="B853" s="412" t="s">
        <v>1112</v>
      </c>
      <c r="C853" s="1110">
        <v>13.821154278217543</v>
      </c>
    </row>
    <row r="854" spans="2:3">
      <c r="B854" s="412" t="s">
        <v>1113</v>
      </c>
      <c r="C854" s="1110">
        <v>13.821154278217543</v>
      </c>
    </row>
    <row r="855" spans="2:3">
      <c r="B855" s="412" t="s">
        <v>1114</v>
      </c>
      <c r="C855" s="1110">
        <v>13.821154278217543</v>
      </c>
    </row>
    <row r="856" spans="2:3">
      <c r="B856" s="412" t="s">
        <v>1115</v>
      </c>
      <c r="C856" s="1110">
        <v>13.821154278217543</v>
      </c>
    </row>
    <row r="857" spans="2:3">
      <c r="B857" s="412" t="s">
        <v>1116</v>
      </c>
      <c r="C857" s="1110">
        <v>13.821154278217543</v>
      </c>
    </row>
    <row r="858" spans="2:3">
      <c r="B858" s="412" t="s">
        <v>1117</v>
      </c>
      <c r="C858" s="1110">
        <v>13.821154278217543</v>
      </c>
    </row>
    <row r="859" spans="2:3">
      <c r="B859" s="412" t="s">
        <v>1118</v>
      </c>
      <c r="C859" s="1110">
        <v>13.821154278217543</v>
      </c>
    </row>
    <row r="860" spans="2:3">
      <c r="B860" s="412" t="s">
        <v>1119</v>
      </c>
      <c r="C860" s="1110">
        <v>13.821154278217543</v>
      </c>
    </row>
    <row r="861" spans="2:3">
      <c r="B861" s="412" t="s">
        <v>1120</v>
      </c>
      <c r="C861" s="1110">
        <v>13.821154278217543</v>
      </c>
    </row>
    <row r="862" spans="2:3">
      <c r="B862" s="412" t="s">
        <v>1121</v>
      </c>
      <c r="C862" s="1110">
        <v>13.821154278217543</v>
      </c>
    </row>
    <row r="863" spans="2:3">
      <c r="B863" s="412" t="s">
        <v>1122</v>
      </c>
      <c r="C863" s="1110">
        <v>13.821154278217543</v>
      </c>
    </row>
    <row r="864" spans="2:3">
      <c r="B864" s="412" t="s">
        <v>1123</v>
      </c>
      <c r="C864" s="1110">
        <v>13.821154278217543</v>
      </c>
    </row>
    <row r="865" spans="2:3">
      <c r="B865" s="412" t="s">
        <v>1124</v>
      </c>
      <c r="C865" s="1110">
        <v>13.821154278217543</v>
      </c>
    </row>
    <row r="866" spans="2:3">
      <c r="B866" s="412" t="s">
        <v>1125</v>
      </c>
      <c r="C866" s="1110">
        <v>13.821154278217543</v>
      </c>
    </row>
    <row r="867" spans="2:3">
      <c r="B867" s="412" t="s">
        <v>1126</v>
      </c>
      <c r="C867" s="1110">
        <v>13.821154278217543</v>
      </c>
    </row>
    <row r="868" spans="2:3">
      <c r="B868" s="412" t="s">
        <v>1127</v>
      </c>
      <c r="C868" s="1110">
        <v>13.821154278217543</v>
      </c>
    </row>
    <row r="869" spans="2:3">
      <c r="B869" s="412" t="s">
        <v>1128</v>
      </c>
      <c r="C869" s="1110">
        <v>13.821154278217543</v>
      </c>
    </row>
    <row r="870" spans="2:3">
      <c r="B870" s="412" t="s">
        <v>1129</v>
      </c>
      <c r="C870" s="1110">
        <v>13.645585922732993</v>
      </c>
    </row>
    <row r="871" spans="2:3">
      <c r="B871" s="412" t="s">
        <v>1130</v>
      </c>
      <c r="C871" s="1110">
        <v>13.821154278217543</v>
      </c>
    </row>
    <row r="872" spans="2:3">
      <c r="B872" s="412" t="s">
        <v>1131</v>
      </c>
      <c r="C872" s="1110">
        <v>13.821154278217543</v>
      </c>
    </row>
    <row r="873" spans="2:3">
      <c r="B873" s="412" t="s">
        <v>1132</v>
      </c>
      <c r="C873" s="1110">
        <v>13.821154278217543</v>
      </c>
    </row>
    <row r="874" spans="2:3">
      <c r="B874" s="412" t="s">
        <v>1133</v>
      </c>
      <c r="C874" s="1110">
        <v>13.821154278217543</v>
      </c>
    </row>
    <row r="875" spans="2:3">
      <c r="B875" s="412" t="s">
        <v>1134</v>
      </c>
      <c r="C875" s="1110">
        <v>13.821154278217543</v>
      </c>
    </row>
    <row r="876" spans="2:3">
      <c r="B876" s="412" t="s">
        <v>1135</v>
      </c>
      <c r="C876" s="1110">
        <v>13.821154278217543</v>
      </c>
    </row>
    <row r="877" spans="2:3">
      <c r="B877" s="412" t="s">
        <v>1136</v>
      </c>
      <c r="C877" s="1110">
        <v>13.821154278217543</v>
      </c>
    </row>
    <row r="878" spans="2:3">
      <c r="B878" s="412" t="s">
        <v>1137</v>
      </c>
      <c r="C878" s="1110">
        <v>13.821154278217543</v>
      </c>
    </row>
    <row r="879" spans="2:3">
      <c r="B879" s="412" t="s">
        <v>1138</v>
      </c>
      <c r="C879" s="1110">
        <v>13.728206325313959</v>
      </c>
    </row>
    <row r="880" spans="2:3">
      <c r="B880" s="412" t="s">
        <v>1139</v>
      </c>
      <c r="C880" s="1110">
        <v>13.821154278217543</v>
      </c>
    </row>
    <row r="881" spans="2:3">
      <c r="B881" s="412" t="s">
        <v>1140</v>
      </c>
      <c r="C881" s="1110">
        <v>13.821154278217543</v>
      </c>
    </row>
    <row r="882" spans="2:3">
      <c r="B882" s="412" t="s">
        <v>1141</v>
      </c>
      <c r="C882" s="1110">
        <v>13.821154278217543</v>
      </c>
    </row>
    <row r="883" spans="2:3">
      <c r="B883" s="412" t="s">
        <v>1142</v>
      </c>
      <c r="C883" s="1110">
        <v>13.821154278217543</v>
      </c>
    </row>
    <row r="884" spans="2:3">
      <c r="B884" s="412" t="s">
        <v>1143</v>
      </c>
      <c r="C884" s="1110">
        <v>13.821154278217543</v>
      </c>
    </row>
    <row r="885" spans="2:3">
      <c r="B885" s="412" t="s">
        <v>1144</v>
      </c>
      <c r="C885" s="1110">
        <v>13.821154278217543</v>
      </c>
    </row>
    <row r="886" spans="2:3">
      <c r="B886" s="412" t="s">
        <v>1145</v>
      </c>
      <c r="C886" s="1110">
        <v>13.821154278217543</v>
      </c>
    </row>
    <row r="887" spans="2:3">
      <c r="B887" s="412" t="s">
        <v>1146</v>
      </c>
      <c r="C887" s="1110">
        <v>13.821154278217543</v>
      </c>
    </row>
    <row r="888" spans="2:3">
      <c r="B888" s="412" t="s">
        <v>1147</v>
      </c>
      <c r="C888" s="1110">
        <v>9.4919290855704439</v>
      </c>
    </row>
    <row r="889" spans="2:3">
      <c r="B889" s="412" t="s">
        <v>1148</v>
      </c>
      <c r="C889" s="1110">
        <v>13.821154278217543</v>
      </c>
    </row>
    <row r="890" spans="2:3">
      <c r="B890" s="412" t="s">
        <v>1149</v>
      </c>
      <c r="C890" s="1110">
        <v>13.821154278217543</v>
      </c>
    </row>
    <row r="891" spans="2:3">
      <c r="B891" s="412" t="s">
        <v>1150</v>
      </c>
      <c r="C891" s="1110">
        <v>9.502386151253166</v>
      </c>
    </row>
    <row r="892" spans="2:3">
      <c r="B892" s="412" t="s">
        <v>1151</v>
      </c>
      <c r="C892" s="1110">
        <v>9.4919290855704439</v>
      </c>
    </row>
    <row r="893" spans="2:3">
      <c r="B893" s="412" t="s">
        <v>1152</v>
      </c>
      <c r="C893" s="1110">
        <v>9.5155860538362749</v>
      </c>
    </row>
    <row r="894" spans="2:3">
      <c r="B894" s="412" t="s">
        <v>1153</v>
      </c>
      <c r="C894" s="1110">
        <v>9.6013757898789382</v>
      </c>
    </row>
    <row r="895" spans="2:3">
      <c r="B895" s="412" t="s">
        <v>1154</v>
      </c>
      <c r="C895" s="1110">
        <v>13.811381760852651</v>
      </c>
    </row>
    <row r="896" spans="2:3">
      <c r="B896" s="412" t="s">
        <v>1155</v>
      </c>
      <c r="C896" s="1110">
        <v>13.803227879904306</v>
      </c>
    </row>
    <row r="897" spans="2:3">
      <c r="B897" s="412" t="s">
        <v>1156</v>
      </c>
      <c r="C897" s="1110">
        <v>13.821154278217543</v>
      </c>
    </row>
    <row r="898" spans="2:3">
      <c r="B898" s="412" t="s">
        <v>1157</v>
      </c>
      <c r="C898" s="1110">
        <v>13.681049903050971</v>
      </c>
    </row>
    <row r="899" spans="2:3">
      <c r="B899" s="412" t="s">
        <v>1158</v>
      </c>
      <c r="C899" s="1110">
        <v>13.814731095439138</v>
      </c>
    </row>
    <row r="900" spans="2:3">
      <c r="B900" s="412" t="s">
        <v>1159</v>
      </c>
      <c r="C900" s="1110">
        <v>13.821154278217543</v>
      </c>
    </row>
    <row r="901" spans="2:3">
      <c r="B901" s="412" t="s">
        <v>1160</v>
      </c>
      <c r="C901" s="1110">
        <v>13.821154278217543</v>
      </c>
    </row>
    <row r="902" spans="2:3">
      <c r="B902" s="412" t="s">
        <v>1161</v>
      </c>
      <c r="C902" s="1110">
        <v>13.821154278217543</v>
      </c>
    </row>
    <row r="903" spans="2:3">
      <c r="B903" s="412" t="s">
        <v>1162</v>
      </c>
      <c r="C903" s="1110">
        <v>13.821154278217543</v>
      </c>
    </row>
    <row r="904" spans="2:3">
      <c r="B904" s="412" t="s">
        <v>1163</v>
      </c>
      <c r="C904" s="1110">
        <v>13.821154278217543</v>
      </c>
    </row>
    <row r="905" spans="2:3">
      <c r="B905" s="412" t="s">
        <v>1164</v>
      </c>
      <c r="C905" s="1110">
        <v>13.821154278217543</v>
      </c>
    </row>
    <row r="906" spans="2:3">
      <c r="B906" s="412" t="s">
        <v>1165</v>
      </c>
      <c r="C906" s="1110">
        <v>13.821154278217543</v>
      </c>
    </row>
    <row r="907" spans="2:3">
      <c r="B907" s="412" t="s">
        <v>1166</v>
      </c>
      <c r="C907" s="1110">
        <v>13.821154278217543</v>
      </c>
    </row>
    <row r="908" spans="2:3">
      <c r="B908" s="412" t="s">
        <v>1167</v>
      </c>
      <c r="C908" s="1110">
        <v>13.821154278217543</v>
      </c>
    </row>
    <row r="909" spans="2:3">
      <c r="B909" s="412" t="s">
        <v>1168</v>
      </c>
      <c r="C909" s="1110">
        <v>13.821154278217543</v>
      </c>
    </row>
    <row r="910" spans="2:3">
      <c r="B910" s="412" t="s">
        <v>1169</v>
      </c>
      <c r="C910" s="1110">
        <v>13.821154278217543</v>
      </c>
    </row>
    <row r="911" spans="2:3">
      <c r="B911" s="412" t="s">
        <v>1170</v>
      </c>
      <c r="C911" s="1110">
        <v>13.821154278217543</v>
      </c>
    </row>
    <row r="912" spans="2:3">
      <c r="B912" s="412" t="s">
        <v>1171</v>
      </c>
      <c r="C912" s="1110">
        <v>13.821154278217543</v>
      </c>
    </row>
    <row r="913" spans="2:3">
      <c r="B913" s="412" t="s">
        <v>1172</v>
      </c>
      <c r="C913" s="1110">
        <v>13.821154278217543</v>
      </c>
    </row>
    <row r="914" spans="2:3">
      <c r="B914" s="412" t="s">
        <v>1173</v>
      </c>
      <c r="C914" s="1110">
        <v>13.821154278217543</v>
      </c>
    </row>
    <row r="915" spans="2:3">
      <c r="B915" s="412" t="s">
        <v>1174</v>
      </c>
      <c r="C915" s="1110">
        <v>13.821154278217543</v>
      </c>
    </row>
    <row r="916" spans="2:3">
      <c r="B916" s="412" t="s">
        <v>1175</v>
      </c>
      <c r="C916" s="1110">
        <v>13.821154278217543</v>
      </c>
    </row>
    <row r="917" spans="2:3">
      <c r="B917" s="412" t="s">
        <v>1176</v>
      </c>
      <c r="C917" s="1110">
        <v>13.821154278217543</v>
      </c>
    </row>
    <row r="918" spans="2:3">
      <c r="B918" s="412" t="s">
        <v>1177</v>
      </c>
      <c r="C918" s="1110">
        <v>13.821154278217543</v>
      </c>
    </row>
    <row r="919" spans="2:3">
      <c r="B919" s="412" t="s">
        <v>1178</v>
      </c>
      <c r="C919" s="1110">
        <v>13.821154278217543</v>
      </c>
    </row>
    <row r="920" spans="2:3">
      <c r="B920" s="412" t="s">
        <v>1179</v>
      </c>
      <c r="C920" s="1110">
        <v>13.821154278217543</v>
      </c>
    </row>
    <row r="921" spans="2:3">
      <c r="B921" s="412" t="s">
        <v>1180</v>
      </c>
      <c r="C921" s="1110">
        <v>13.821154278217543</v>
      </c>
    </row>
    <row r="922" spans="2:3">
      <c r="B922" s="412" t="s">
        <v>1181</v>
      </c>
      <c r="C922" s="1110">
        <v>13.821154278217543</v>
      </c>
    </row>
    <row r="923" spans="2:3">
      <c r="B923" s="412" t="s">
        <v>1182</v>
      </c>
      <c r="C923" s="1110">
        <v>13.821154278217543</v>
      </c>
    </row>
    <row r="924" spans="2:3">
      <c r="B924" s="412" t="s">
        <v>1183</v>
      </c>
      <c r="C924" s="1110">
        <v>13.821154278217543</v>
      </c>
    </row>
    <row r="925" spans="2:3">
      <c r="B925" s="412" t="s">
        <v>1184</v>
      </c>
      <c r="C925" s="1110">
        <v>13.821154278217543</v>
      </c>
    </row>
    <row r="926" spans="2:3">
      <c r="B926" s="412" t="s">
        <v>1185</v>
      </c>
      <c r="C926" s="1110">
        <v>13.821154278217543</v>
      </c>
    </row>
    <row r="927" spans="2:3">
      <c r="B927" s="412" t="s">
        <v>1186</v>
      </c>
      <c r="C927" s="1110">
        <v>13.821154278217543</v>
      </c>
    </row>
    <row r="928" spans="2:3">
      <c r="B928" s="412" t="s">
        <v>1187</v>
      </c>
      <c r="C928" s="1110">
        <v>13.821154278217543</v>
      </c>
    </row>
    <row r="929" spans="2:3">
      <c r="B929" s="412" t="s">
        <v>1188</v>
      </c>
      <c r="C929" s="1110">
        <v>13.821154278217543</v>
      </c>
    </row>
    <row r="930" spans="2:3">
      <c r="B930" s="412" t="s">
        <v>1189</v>
      </c>
      <c r="C930" s="1110">
        <v>13.821154278217543</v>
      </c>
    </row>
    <row r="931" spans="2:3">
      <c r="B931" s="412" t="s">
        <v>1190</v>
      </c>
      <c r="C931" s="1110">
        <v>13.821154278217543</v>
      </c>
    </row>
    <row r="932" spans="2:3" ht="17" thickBot="1">
      <c r="B932" s="413" t="s">
        <v>1191</v>
      </c>
      <c r="C932" s="655">
        <v>13.821154278217543</v>
      </c>
    </row>
    <row r="933" spans="2:3">
      <c r="B933" s="415" t="s">
        <v>1192</v>
      </c>
      <c r="C933" s="1109">
        <v>13.821154278217543</v>
      </c>
    </row>
    <row r="934" spans="2:3">
      <c r="B934" s="412" t="s">
        <v>1193</v>
      </c>
      <c r="C934" s="1110">
        <v>13.821154278217543</v>
      </c>
    </row>
    <row r="935" spans="2:3">
      <c r="B935" s="412" t="s">
        <v>1194</v>
      </c>
      <c r="C935" s="1110">
        <v>13.821154278217543</v>
      </c>
    </row>
    <row r="936" spans="2:3">
      <c r="B936" s="412" t="s">
        <v>1195</v>
      </c>
      <c r="C936" s="1110">
        <v>13.821154278217543</v>
      </c>
    </row>
    <row r="937" spans="2:3">
      <c r="B937" s="412" t="s">
        <v>1196</v>
      </c>
      <c r="C937" s="1110">
        <v>13.821154278217543</v>
      </c>
    </row>
    <row r="938" spans="2:3">
      <c r="B938" s="412" t="s">
        <v>1197</v>
      </c>
      <c r="C938" s="1110">
        <v>13.821154278217543</v>
      </c>
    </row>
    <row r="939" spans="2:3">
      <c r="B939" s="412" t="s">
        <v>1198</v>
      </c>
      <c r="C939" s="1110">
        <v>13.821154278217543</v>
      </c>
    </row>
    <row r="940" spans="2:3">
      <c r="B940" s="412" t="s">
        <v>1199</v>
      </c>
      <c r="C940" s="1110">
        <v>13.821154278217543</v>
      </c>
    </row>
    <row r="941" spans="2:3">
      <c r="B941" s="412" t="s">
        <v>1200</v>
      </c>
      <c r="C941" s="1110">
        <v>13.821154278217543</v>
      </c>
    </row>
    <row r="942" spans="2:3">
      <c r="B942" s="412" t="s">
        <v>1201</v>
      </c>
      <c r="C942" s="1110">
        <v>13.821154278217543</v>
      </c>
    </row>
    <row r="943" spans="2:3">
      <c r="B943" s="412" t="s">
        <v>1202</v>
      </c>
      <c r="C943" s="1110">
        <v>13.821154278217543</v>
      </c>
    </row>
    <row r="944" spans="2:3">
      <c r="B944" s="412" t="s">
        <v>1203</v>
      </c>
      <c r="C944" s="1110">
        <v>13.821154278217543</v>
      </c>
    </row>
    <row r="945" spans="2:3">
      <c r="B945" s="412" t="s">
        <v>1204</v>
      </c>
      <c r="C945" s="1110">
        <v>13.821154278217543</v>
      </c>
    </row>
    <row r="946" spans="2:3">
      <c r="B946" s="412" t="s">
        <v>1205</v>
      </c>
      <c r="C946" s="1110">
        <v>13.821154278217543</v>
      </c>
    </row>
    <row r="947" spans="2:3">
      <c r="B947" s="412" t="s">
        <v>1206</v>
      </c>
      <c r="C947" s="1110">
        <v>13.821154278217543</v>
      </c>
    </row>
    <row r="948" spans="2:3">
      <c r="B948" s="412" t="s">
        <v>1207</v>
      </c>
      <c r="C948" s="1110">
        <v>13.821154278217543</v>
      </c>
    </row>
    <row r="949" spans="2:3">
      <c r="B949" s="412" t="s">
        <v>1208</v>
      </c>
      <c r="C949" s="1110">
        <v>13.821154278217543</v>
      </c>
    </row>
    <row r="950" spans="2:3">
      <c r="B950" s="412" t="s">
        <v>1209</v>
      </c>
      <c r="C950" s="1110">
        <v>13.821154278217543</v>
      </c>
    </row>
    <row r="951" spans="2:3">
      <c r="B951" s="412" t="s">
        <v>1210</v>
      </c>
      <c r="C951" s="1110">
        <v>13.821154278217543</v>
      </c>
    </row>
    <row r="952" spans="2:3">
      <c r="B952" s="412" t="s">
        <v>1211</v>
      </c>
      <c r="C952" s="1110">
        <v>13.821154278217543</v>
      </c>
    </row>
    <row r="953" spans="2:3">
      <c r="B953" s="412" t="s">
        <v>1212</v>
      </c>
      <c r="C953" s="1110">
        <v>13.821154278217543</v>
      </c>
    </row>
    <row r="954" spans="2:3">
      <c r="B954" s="412" t="s">
        <v>1213</v>
      </c>
      <c r="C954" s="1110">
        <v>13.821154278217543</v>
      </c>
    </row>
    <row r="955" spans="2:3">
      <c r="B955" s="412" t="s">
        <v>1214</v>
      </c>
      <c r="C955" s="1110">
        <v>13.821154278217543</v>
      </c>
    </row>
    <row r="956" spans="2:3">
      <c r="B956" s="412" t="s">
        <v>1215</v>
      </c>
      <c r="C956" s="1110">
        <v>13.821154278217543</v>
      </c>
    </row>
    <row r="957" spans="2:3">
      <c r="B957" s="412" t="s">
        <v>1216</v>
      </c>
      <c r="C957" s="1110">
        <v>13.821154278217543</v>
      </c>
    </row>
    <row r="958" spans="2:3">
      <c r="B958" s="412" t="s">
        <v>1217</v>
      </c>
      <c r="C958" s="1110">
        <v>13.821154278217543</v>
      </c>
    </row>
    <row r="959" spans="2:3">
      <c r="B959" s="412" t="s">
        <v>1218</v>
      </c>
      <c r="C959" s="1110">
        <v>13.821154278217543</v>
      </c>
    </row>
    <row r="960" spans="2:3">
      <c r="B960" s="412" t="s">
        <v>1219</v>
      </c>
      <c r="C960" s="1110">
        <v>13.821154278217543</v>
      </c>
    </row>
    <row r="961" spans="2:3" ht="17" thickBot="1">
      <c r="B961" s="413" t="s">
        <v>1220</v>
      </c>
      <c r="C961" s="655">
        <v>13.821154278217543</v>
      </c>
    </row>
    <row r="962" spans="2:3">
      <c r="B962" s="415" t="s">
        <v>1221</v>
      </c>
      <c r="C962" s="1109">
        <v>11.714334012402938</v>
      </c>
    </row>
    <row r="963" spans="2:3">
      <c r="B963" s="412" t="s">
        <v>1222</v>
      </c>
      <c r="C963" s="1110">
        <v>11.714334012402938</v>
      </c>
    </row>
    <row r="964" spans="2:3">
      <c r="B964" s="412" t="s">
        <v>1223</v>
      </c>
      <c r="C964" s="1110">
        <v>11.714334012402938</v>
      </c>
    </row>
    <row r="965" spans="2:3">
      <c r="B965" s="412" t="s">
        <v>1224</v>
      </c>
      <c r="C965" s="1110">
        <v>11.719250745812074</v>
      </c>
    </row>
    <row r="966" spans="2:3">
      <c r="B966" s="412" t="s">
        <v>1225</v>
      </c>
      <c r="C966" s="1110">
        <v>11.719350251131068</v>
      </c>
    </row>
    <row r="967" spans="2:3">
      <c r="B967" s="412" t="s">
        <v>1226</v>
      </c>
      <c r="C967" s="1110">
        <v>11.714334012402938</v>
      </c>
    </row>
    <row r="968" spans="2:3">
      <c r="B968" s="412" t="s">
        <v>1227</v>
      </c>
      <c r="C968" s="1110">
        <v>11.714334012402938</v>
      </c>
    </row>
    <row r="969" spans="2:3">
      <c r="B969" s="412" t="s">
        <v>1228</v>
      </c>
      <c r="C969" s="1110">
        <v>11.714334012402938</v>
      </c>
    </row>
    <row r="970" spans="2:3">
      <c r="B970" s="412" t="s">
        <v>1229</v>
      </c>
      <c r="C970" s="1110">
        <v>11.714334012402938</v>
      </c>
    </row>
    <row r="971" spans="2:3">
      <c r="B971" s="412" t="s">
        <v>1230</v>
      </c>
      <c r="C971" s="1110">
        <v>11.714334012402938</v>
      </c>
    </row>
    <row r="972" spans="2:3">
      <c r="B972" s="412" t="s">
        <v>1231</v>
      </c>
      <c r="C972" s="1110">
        <v>11.714334012402938</v>
      </c>
    </row>
    <row r="973" spans="2:3">
      <c r="B973" s="412" t="s">
        <v>1232</v>
      </c>
      <c r="C973" s="1110">
        <v>11.714334012402938</v>
      </c>
    </row>
    <row r="974" spans="2:3">
      <c r="B974" s="412" t="s">
        <v>1233</v>
      </c>
      <c r="C974" s="1110">
        <v>11.714334012402938</v>
      </c>
    </row>
    <row r="975" spans="2:3">
      <c r="B975" s="412" t="s">
        <v>1234</v>
      </c>
      <c r="C975" s="1110">
        <v>11.714334012402938</v>
      </c>
    </row>
    <row r="976" spans="2:3">
      <c r="B976" s="412" t="s">
        <v>1235</v>
      </c>
      <c r="C976" s="1110">
        <v>12.076967248052972</v>
      </c>
    </row>
    <row r="977" spans="2:3">
      <c r="B977" s="412" t="s">
        <v>1236</v>
      </c>
      <c r="C977" s="1110">
        <v>11.714334012402938</v>
      </c>
    </row>
    <row r="978" spans="2:3">
      <c r="B978" s="412" t="s">
        <v>1237</v>
      </c>
      <c r="C978" s="1110">
        <v>11.714334012402938</v>
      </c>
    </row>
    <row r="979" spans="2:3">
      <c r="B979" s="412" t="s">
        <v>1238</v>
      </c>
      <c r="C979" s="1110">
        <v>11.714334012402938</v>
      </c>
    </row>
    <row r="980" spans="2:3">
      <c r="B980" s="412" t="s">
        <v>1239</v>
      </c>
      <c r="C980" s="1110">
        <v>11.714334012402938</v>
      </c>
    </row>
    <row r="981" spans="2:3">
      <c r="B981" s="412" t="s">
        <v>1240</v>
      </c>
      <c r="C981" s="1110">
        <v>11.714334012402938</v>
      </c>
    </row>
    <row r="982" spans="2:3">
      <c r="B982" s="412" t="s">
        <v>1241</v>
      </c>
      <c r="C982" s="1110">
        <v>11.714334012402938</v>
      </c>
    </row>
    <row r="983" spans="2:3">
      <c r="B983" s="412" t="s">
        <v>1242</v>
      </c>
      <c r="C983" s="1110">
        <v>12.076389868230326</v>
      </c>
    </row>
    <row r="984" spans="2:3">
      <c r="B984" s="412" t="s">
        <v>1243</v>
      </c>
      <c r="C984" s="1110">
        <v>11.714334012402938</v>
      </c>
    </row>
    <row r="985" spans="2:3">
      <c r="B985" s="412" t="s">
        <v>1244</v>
      </c>
      <c r="C985" s="1110">
        <v>13.201317112346382</v>
      </c>
    </row>
    <row r="986" spans="2:3">
      <c r="B986" s="412" t="s">
        <v>1245</v>
      </c>
      <c r="C986" s="1110">
        <v>11.714334012402938</v>
      </c>
    </row>
    <row r="987" spans="2:3">
      <c r="B987" s="412" t="s">
        <v>1246</v>
      </c>
      <c r="C987" s="1110">
        <v>11.73641147027824</v>
      </c>
    </row>
    <row r="988" spans="2:3">
      <c r="B988" s="412" t="s">
        <v>1247</v>
      </c>
      <c r="C988" s="1110">
        <v>11.91366523334729</v>
      </c>
    </row>
    <row r="989" spans="2:3">
      <c r="B989" s="412" t="s">
        <v>1248</v>
      </c>
      <c r="C989" s="1110">
        <v>11.725878233037539</v>
      </c>
    </row>
    <row r="990" spans="2:3">
      <c r="B990" s="412" t="s">
        <v>1249</v>
      </c>
      <c r="C990" s="1110">
        <v>11.714334012402938</v>
      </c>
    </row>
    <row r="991" spans="2:3">
      <c r="B991" s="412" t="s">
        <v>1250</v>
      </c>
      <c r="C991" s="1110">
        <v>13.821154278217543</v>
      </c>
    </row>
    <row r="992" spans="2:3">
      <c r="B992" s="412" t="s">
        <v>1251</v>
      </c>
      <c r="C992" s="1110">
        <v>13.792003305986146</v>
      </c>
    </row>
    <row r="993" spans="2:3">
      <c r="B993" s="412" t="s">
        <v>1252</v>
      </c>
      <c r="C993" s="1110">
        <v>13.816472455404623</v>
      </c>
    </row>
    <row r="994" spans="2:3">
      <c r="B994" s="412" t="s">
        <v>1253</v>
      </c>
      <c r="C994" s="1110">
        <v>13.821154278217543</v>
      </c>
    </row>
    <row r="995" spans="2:3">
      <c r="B995" s="412" t="s">
        <v>1254</v>
      </c>
      <c r="C995" s="1110">
        <v>13.790700897239933</v>
      </c>
    </row>
    <row r="996" spans="2:3">
      <c r="B996" s="412" t="s">
        <v>1255</v>
      </c>
      <c r="C996" s="1110">
        <v>13.821154278217543</v>
      </c>
    </row>
    <row r="997" spans="2:3">
      <c r="B997" s="412" t="s">
        <v>1256</v>
      </c>
      <c r="C997" s="1110">
        <v>13.821154278217543</v>
      </c>
    </row>
    <row r="998" spans="2:3">
      <c r="B998" s="412" t="s">
        <v>1257</v>
      </c>
      <c r="C998" s="1110">
        <v>13.821154278217543</v>
      </c>
    </row>
    <row r="999" spans="2:3">
      <c r="B999" s="412" t="s">
        <v>1258</v>
      </c>
      <c r="C999" s="1110">
        <v>13.821154278217543</v>
      </c>
    </row>
    <row r="1000" spans="2:3">
      <c r="B1000" s="412" t="s">
        <v>1259</v>
      </c>
      <c r="C1000" s="1110">
        <v>12.862506981534118</v>
      </c>
    </row>
    <row r="1001" spans="2:3">
      <c r="B1001" s="412" t="s">
        <v>1260</v>
      </c>
      <c r="C1001" s="1110">
        <v>13.821154278217543</v>
      </c>
    </row>
    <row r="1002" spans="2:3">
      <c r="B1002" s="412" t="s">
        <v>1261</v>
      </c>
      <c r="C1002" s="1110">
        <v>12.634474436526586</v>
      </c>
    </row>
    <row r="1003" spans="2:3">
      <c r="B1003" s="412" t="s">
        <v>1262</v>
      </c>
      <c r="C1003" s="1110">
        <v>11.714334012402938</v>
      </c>
    </row>
    <row r="1004" spans="2:3">
      <c r="B1004" s="412" t="s">
        <v>1263</v>
      </c>
      <c r="C1004" s="1110">
        <v>11.714334012402938</v>
      </c>
    </row>
    <row r="1005" spans="2:3">
      <c r="B1005" s="412" t="s">
        <v>1264</v>
      </c>
      <c r="C1005" s="1110">
        <v>11.714334012402938</v>
      </c>
    </row>
    <row r="1006" spans="2:3">
      <c r="B1006" s="412" t="s">
        <v>1265</v>
      </c>
      <c r="C1006" s="1110">
        <v>11.714334012402938</v>
      </c>
    </row>
    <row r="1007" spans="2:3">
      <c r="B1007" s="412" t="s">
        <v>1266</v>
      </c>
      <c r="C1007" s="1110">
        <v>13.588932875116575</v>
      </c>
    </row>
    <row r="1008" spans="2:3">
      <c r="B1008" s="412" t="s">
        <v>1267</v>
      </c>
      <c r="C1008" s="1110">
        <v>13.821154278217543</v>
      </c>
    </row>
    <row r="1009" spans="2:3">
      <c r="B1009" s="412" t="s">
        <v>1268</v>
      </c>
      <c r="C1009" s="1110">
        <v>13.808815652941906</v>
      </c>
    </row>
    <row r="1010" spans="2:3">
      <c r="B1010" s="412" t="s">
        <v>1269</v>
      </c>
      <c r="C1010" s="1110">
        <v>11.714334012402938</v>
      </c>
    </row>
    <row r="1011" spans="2:3">
      <c r="B1011" s="412" t="s">
        <v>1270</v>
      </c>
      <c r="C1011" s="1110">
        <v>13.821154278217543</v>
      </c>
    </row>
    <row r="1012" spans="2:3">
      <c r="B1012" s="412" t="s">
        <v>1271</v>
      </c>
      <c r="C1012" s="1110">
        <v>13.821154278217543</v>
      </c>
    </row>
    <row r="1013" spans="2:3">
      <c r="B1013" s="412" t="s">
        <v>1272</v>
      </c>
      <c r="C1013" s="1110">
        <v>13.821154278217543</v>
      </c>
    </row>
    <row r="1014" spans="2:3">
      <c r="B1014" s="412" t="s">
        <v>1273</v>
      </c>
      <c r="C1014" s="1110">
        <v>13.821154278217543</v>
      </c>
    </row>
    <row r="1015" spans="2:3">
      <c r="B1015" s="412" t="s">
        <v>1274</v>
      </c>
      <c r="C1015" s="1110">
        <v>11.714334012402938</v>
      </c>
    </row>
    <row r="1016" spans="2:3">
      <c r="B1016" s="412" t="s">
        <v>1275</v>
      </c>
      <c r="C1016" s="1110">
        <v>11.714334012402938</v>
      </c>
    </row>
    <row r="1017" spans="2:3">
      <c r="B1017" s="412" t="s">
        <v>1276</v>
      </c>
      <c r="C1017" s="1110">
        <v>11.714334012402938</v>
      </c>
    </row>
    <row r="1018" spans="2:3">
      <c r="B1018" s="412" t="s">
        <v>1277</v>
      </c>
      <c r="C1018" s="1110">
        <v>13.821154278217543</v>
      </c>
    </row>
    <row r="1019" spans="2:3">
      <c r="B1019" s="412" t="s">
        <v>1278</v>
      </c>
      <c r="C1019" s="1110">
        <v>13.821154278217543</v>
      </c>
    </row>
    <row r="1020" spans="2:3">
      <c r="B1020" s="412" t="s">
        <v>1279</v>
      </c>
      <c r="C1020" s="1110">
        <v>13.821154278217543</v>
      </c>
    </row>
    <row r="1021" spans="2:3">
      <c r="B1021" s="412" t="s">
        <v>1280</v>
      </c>
      <c r="C1021" s="1110">
        <v>13.821154278217543</v>
      </c>
    </row>
    <row r="1022" spans="2:3">
      <c r="B1022" s="412" t="s">
        <v>1281</v>
      </c>
      <c r="C1022" s="1110">
        <v>13.821154278217543</v>
      </c>
    </row>
    <row r="1023" spans="2:3">
      <c r="B1023" s="412" t="s">
        <v>1282</v>
      </c>
      <c r="C1023" s="1110">
        <v>13.821154278217543</v>
      </c>
    </row>
    <row r="1024" spans="2:3">
      <c r="B1024" s="412" t="s">
        <v>1283</v>
      </c>
      <c r="C1024" s="1110">
        <v>13.821154278217543</v>
      </c>
    </row>
    <row r="1025" spans="2:3">
      <c r="B1025" s="412" t="s">
        <v>1284</v>
      </c>
      <c r="C1025" s="1110">
        <v>13.821154278217543</v>
      </c>
    </row>
    <row r="1026" spans="2:3">
      <c r="B1026" s="412" t="s">
        <v>1285</v>
      </c>
      <c r="C1026" s="1110">
        <v>13.821154278217543</v>
      </c>
    </row>
    <row r="1027" spans="2:3">
      <c r="B1027" s="412" t="s">
        <v>1286</v>
      </c>
      <c r="C1027" s="1110">
        <v>13.821154278217543</v>
      </c>
    </row>
    <row r="1028" spans="2:3">
      <c r="B1028" s="412" t="s">
        <v>1287</v>
      </c>
      <c r="C1028" s="1110">
        <v>13.821154278217543</v>
      </c>
    </row>
    <row r="1029" spans="2:3">
      <c r="B1029" s="412" t="s">
        <v>1288</v>
      </c>
      <c r="C1029" s="1110">
        <v>13.821154278217543</v>
      </c>
    </row>
    <row r="1030" spans="2:3">
      <c r="B1030" s="412" t="s">
        <v>1289</v>
      </c>
      <c r="C1030" s="1110">
        <v>13.821154278217543</v>
      </c>
    </row>
    <row r="1031" spans="2:3">
      <c r="B1031" s="412" t="s">
        <v>1290</v>
      </c>
      <c r="C1031" s="1110">
        <v>13.821154278217543</v>
      </c>
    </row>
    <row r="1032" spans="2:3">
      <c r="B1032" s="412" t="s">
        <v>1291</v>
      </c>
      <c r="C1032" s="1110">
        <v>13.821154278217543</v>
      </c>
    </row>
    <row r="1033" spans="2:3">
      <c r="B1033" s="412" t="s">
        <v>1292</v>
      </c>
      <c r="C1033" s="1110">
        <v>13.821154278217543</v>
      </c>
    </row>
    <row r="1034" spans="2:3">
      <c r="B1034" s="412" t="s">
        <v>1293</v>
      </c>
      <c r="C1034" s="1110">
        <v>13.821154278217543</v>
      </c>
    </row>
    <row r="1035" spans="2:3">
      <c r="B1035" s="412" t="s">
        <v>1294</v>
      </c>
      <c r="C1035" s="1110">
        <v>13.821154278217543</v>
      </c>
    </row>
    <row r="1036" spans="2:3">
      <c r="B1036" s="412" t="s">
        <v>1295</v>
      </c>
      <c r="C1036" s="1110">
        <v>13.821154278217543</v>
      </c>
    </row>
    <row r="1037" spans="2:3">
      <c r="B1037" s="412" t="s">
        <v>1296</v>
      </c>
      <c r="C1037" s="1110">
        <v>13.821154278217543</v>
      </c>
    </row>
    <row r="1038" spans="2:3">
      <c r="B1038" s="412" t="s">
        <v>1297</v>
      </c>
      <c r="C1038" s="1110">
        <v>13.821154278217543</v>
      </c>
    </row>
    <row r="1039" spans="2:3">
      <c r="B1039" s="412" t="s">
        <v>1298</v>
      </c>
      <c r="C1039" s="1110">
        <v>13.821154278217543</v>
      </c>
    </row>
    <row r="1040" spans="2:3">
      <c r="B1040" s="412" t="s">
        <v>1299</v>
      </c>
      <c r="C1040" s="1110">
        <v>13.821154278217543</v>
      </c>
    </row>
    <row r="1041" spans="2:3">
      <c r="B1041" s="412" t="s">
        <v>1300</v>
      </c>
      <c r="C1041" s="1110">
        <v>13.821154278217543</v>
      </c>
    </row>
    <row r="1042" spans="2:3">
      <c r="B1042" s="412" t="s">
        <v>1301</v>
      </c>
      <c r="C1042" s="1110">
        <v>13.821154278217543</v>
      </c>
    </row>
    <row r="1043" spans="2:3">
      <c r="B1043" s="412" t="s">
        <v>1302</v>
      </c>
      <c r="C1043" s="1110">
        <v>13.821154278217543</v>
      </c>
    </row>
    <row r="1044" spans="2:3">
      <c r="B1044" s="412" t="s">
        <v>1303</v>
      </c>
      <c r="C1044" s="1110">
        <v>13.821154278217543</v>
      </c>
    </row>
    <row r="1045" spans="2:3">
      <c r="B1045" s="412" t="s">
        <v>1304</v>
      </c>
      <c r="C1045" s="1110">
        <v>13.821154278217543</v>
      </c>
    </row>
    <row r="1046" spans="2:3">
      <c r="B1046" s="412" t="s">
        <v>1305</v>
      </c>
      <c r="C1046" s="1110">
        <v>13.821154278217543</v>
      </c>
    </row>
    <row r="1047" spans="2:3">
      <c r="B1047" s="412" t="s">
        <v>1306</v>
      </c>
      <c r="C1047" s="1110">
        <v>13.821154278217543</v>
      </c>
    </row>
    <row r="1048" spans="2:3">
      <c r="B1048" s="412" t="s">
        <v>1307</v>
      </c>
      <c r="C1048" s="1110">
        <v>13.821154278217543</v>
      </c>
    </row>
    <row r="1049" spans="2:3">
      <c r="B1049" s="412" t="s">
        <v>1308</v>
      </c>
      <c r="C1049" s="1110">
        <v>13.821154278217543</v>
      </c>
    </row>
    <row r="1050" spans="2:3">
      <c r="B1050" s="412" t="s">
        <v>1309</v>
      </c>
      <c r="C1050" s="1110">
        <v>13.821154278217543</v>
      </c>
    </row>
    <row r="1051" spans="2:3">
      <c r="B1051" s="412" t="s">
        <v>1310</v>
      </c>
      <c r="C1051" s="1110">
        <v>13.821154278217543</v>
      </c>
    </row>
    <row r="1052" spans="2:3">
      <c r="B1052" s="412" t="s">
        <v>1311</v>
      </c>
      <c r="C1052" s="1110">
        <v>13.821154278217543</v>
      </c>
    </row>
    <row r="1053" spans="2:3">
      <c r="B1053" s="412" t="s">
        <v>1312</v>
      </c>
      <c r="C1053" s="1110">
        <v>13.821154278217543</v>
      </c>
    </row>
    <row r="1054" spans="2:3">
      <c r="B1054" s="412" t="s">
        <v>1313</v>
      </c>
      <c r="C1054" s="1110">
        <v>13.821154278217543</v>
      </c>
    </row>
    <row r="1055" spans="2:3">
      <c r="B1055" s="412" t="s">
        <v>1314</v>
      </c>
      <c r="C1055" s="1110">
        <v>13.821154278217543</v>
      </c>
    </row>
    <row r="1056" spans="2:3">
      <c r="B1056" s="412" t="s">
        <v>1315</v>
      </c>
      <c r="C1056" s="1110">
        <v>13.821154278217543</v>
      </c>
    </row>
    <row r="1057" spans="2:3">
      <c r="B1057" s="412" t="s">
        <v>1316</v>
      </c>
      <c r="C1057" s="1110">
        <v>13.821154278217543</v>
      </c>
    </row>
    <row r="1058" spans="2:3">
      <c r="B1058" s="412" t="s">
        <v>1317</v>
      </c>
      <c r="C1058" s="1110">
        <v>13.821154278217543</v>
      </c>
    </row>
    <row r="1059" spans="2:3">
      <c r="B1059" s="412" t="s">
        <v>1318</v>
      </c>
      <c r="C1059" s="1110">
        <v>13.821154278217543</v>
      </c>
    </row>
    <row r="1060" spans="2:3">
      <c r="B1060" s="412" t="s">
        <v>1319</v>
      </c>
      <c r="C1060" s="1110">
        <v>13.821154278217543</v>
      </c>
    </row>
    <row r="1061" spans="2:3">
      <c r="B1061" s="412" t="s">
        <v>1320</v>
      </c>
      <c r="C1061" s="1110">
        <v>13.821154278217543</v>
      </c>
    </row>
    <row r="1062" spans="2:3">
      <c r="B1062" s="412" t="s">
        <v>1321</v>
      </c>
      <c r="C1062" s="1110">
        <v>13.821154278217543</v>
      </c>
    </row>
    <row r="1063" spans="2:3">
      <c r="B1063" s="412" t="s">
        <v>1322</v>
      </c>
      <c r="C1063" s="1110">
        <v>13.821154278217543</v>
      </c>
    </row>
    <row r="1064" spans="2:3">
      <c r="B1064" s="412" t="s">
        <v>1323</v>
      </c>
      <c r="C1064" s="1110">
        <v>13.821154278217543</v>
      </c>
    </row>
    <row r="1065" spans="2:3">
      <c r="B1065" s="412" t="s">
        <v>1324</v>
      </c>
      <c r="C1065" s="1110">
        <v>13.821154278217543</v>
      </c>
    </row>
    <row r="1066" spans="2:3">
      <c r="B1066" s="412" t="s">
        <v>1325</v>
      </c>
      <c r="C1066" s="1110">
        <v>13.821154278217543</v>
      </c>
    </row>
    <row r="1067" spans="2:3">
      <c r="B1067" s="412" t="s">
        <v>1326</v>
      </c>
      <c r="C1067" s="1110">
        <v>13.821154278217543</v>
      </c>
    </row>
    <row r="1068" spans="2:3">
      <c r="B1068" s="412" t="s">
        <v>1327</v>
      </c>
      <c r="C1068" s="1110">
        <v>13.821154278217543</v>
      </c>
    </row>
    <row r="1069" spans="2:3">
      <c r="B1069" s="412" t="s">
        <v>1328</v>
      </c>
      <c r="C1069" s="1110">
        <v>13.821154278217543</v>
      </c>
    </row>
    <row r="1070" spans="2:3">
      <c r="B1070" s="412" t="s">
        <v>1329</v>
      </c>
      <c r="C1070" s="1110">
        <v>13.821154278217543</v>
      </c>
    </row>
    <row r="1071" spans="2:3">
      <c r="B1071" s="412" t="s">
        <v>1330</v>
      </c>
      <c r="C1071" s="1110">
        <v>13.821154278217543</v>
      </c>
    </row>
    <row r="1072" spans="2:3">
      <c r="B1072" s="412" t="s">
        <v>1331</v>
      </c>
      <c r="C1072" s="1110">
        <v>13.821154278217543</v>
      </c>
    </row>
    <row r="1073" spans="2:3">
      <c r="B1073" s="412" t="s">
        <v>1332</v>
      </c>
      <c r="C1073" s="1110">
        <v>13.821154278217543</v>
      </c>
    </row>
    <row r="1074" spans="2:3">
      <c r="B1074" s="412" t="s">
        <v>1333</v>
      </c>
      <c r="C1074" s="1110">
        <v>13.821154278217543</v>
      </c>
    </row>
    <row r="1075" spans="2:3">
      <c r="B1075" s="412" t="s">
        <v>1334</v>
      </c>
      <c r="C1075" s="1110">
        <v>13.821154278217543</v>
      </c>
    </row>
    <row r="1076" spans="2:3">
      <c r="B1076" s="412" t="s">
        <v>1335</v>
      </c>
      <c r="C1076" s="1110">
        <v>13.821154278217543</v>
      </c>
    </row>
    <row r="1077" spans="2:3">
      <c r="B1077" s="412" t="s">
        <v>1336</v>
      </c>
      <c r="C1077" s="1110">
        <v>13.821154278217543</v>
      </c>
    </row>
    <row r="1078" spans="2:3">
      <c r="B1078" s="412" t="s">
        <v>1337</v>
      </c>
      <c r="C1078" s="1110">
        <v>13.821154278217543</v>
      </c>
    </row>
    <row r="1079" spans="2:3">
      <c r="B1079" s="412" t="s">
        <v>1338</v>
      </c>
      <c r="C1079" s="1110">
        <v>13.821154278217543</v>
      </c>
    </row>
    <row r="1080" spans="2:3">
      <c r="B1080" s="412" t="s">
        <v>1339</v>
      </c>
      <c r="C1080" s="1110">
        <v>13.821154278217543</v>
      </c>
    </row>
    <row r="1081" spans="2:3">
      <c r="B1081" s="412" t="s">
        <v>1340</v>
      </c>
      <c r="C1081" s="1110">
        <v>13.821154278217543</v>
      </c>
    </row>
    <row r="1082" spans="2:3">
      <c r="B1082" s="412" t="s">
        <v>1341</v>
      </c>
      <c r="C1082" s="1110">
        <v>13.821154278217543</v>
      </c>
    </row>
    <row r="1083" spans="2:3">
      <c r="B1083" s="412" t="s">
        <v>1342</v>
      </c>
      <c r="C1083" s="1110">
        <v>13.821154278217543</v>
      </c>
    </row>
    <row r="1084" spans="2:3">
      <c r="B1084" s="412" t="s">
        <v>1343</v>
      </c>
      <c r="C1084" s="1110">
        <v>13.821154278217543</v>
      </c>
    </row>
    <row r="1085" spans="2:3">
      <c r="B1085" s="412" t="s">
        <v>1344</v>
      </c>
      <c r="C1085" s="1110">
        <v>13.821154278217543</v>
      </c>
    </row>
    <row r="1086" spans="2:3">
      <c r="B1086" s="412" t="s">
        <v>1345</v>
      </c>
      <c r="C1086" s="1110">
        <v>13.821154278217543</v>
      </c>
    </row>
    <row r="1087" spans="2:3">
      <c r="B1087" s="412" t="s">
        <v>1346</v>
      </c>
      <c r="C1087" s="1110">
        <v>13.821154278217543</v>
      </c>
    </row>
    <row r="1088" spans="2:3">
      <c r="B1088" s="412" t="s">
        <v>1347</v>
      </c>
      <c r="C1088" s="1110">
        <v>13.821154278217543</v>
      </c>
    </row>
    <row r="1089" spans="2:3">
      <c r="B1089" s="412" t="s">
        <v>1348</v>
      </c>
      <c r="C1089" s="1110">
        <v>13.821154278217543</v>
      </c>
    </row>
    <row r="1090" spans="2:3">
      <c r="B1090" s="412" t="s">
        <v>1349</v>
      </c>
      <c r="C1090" s="1110">
        <v>13.821154278217543</v>
      </c>
    </row>
    <row r="1091" spans="2:3">
      <c r="B1091" s="412" t="s">
        <v>1350</v>
      </c>
      <c r="C1091" s="1110">
        <v>13.821154278217543</v>
      </c>
    </row>
    <row r="1092" spans="2:3" ht="17" thickBot="1">
      <c r="B1092" s="413" t="s">
        <v>1351</v>
      </c>
      <c r="C1092" s="655">
        <v>13.821154278217543</v>
      </c>
    </row>
    <row r="1093" spans="2:3">
      <c r="B1093" s="415" t="s">
        <v>1352</v>
      </c>
      <c r="C1093" s="1109">
        <v>9.4919290855704439</v>
      </c>
    </row>
    <row r="1094" spans="2:3">
      <c r="B1094" s="412" t="s">
        <v>1353</v>
      </c>
      <c r="C1094" s="1110">
        <v>9.4919290855704439</v>
      </c>
    </row>
    <row r="1095" spans="2:3">
      <c r="B1095" s="412" t="s">
        <v>1354</v>
      </c>
      <c r="C1095" s="1110">
        <v>9.4919290855704439</v>
      </c>
    </row>
    <row r="1096" spans="2:3">
      <c r="B1096" s="412" t="s">
        <v>1355</v>
      </c>
      <c r="C1096" s="1110">
        <v>9.4919290855704439</v>
      </c>
    </row>
    <row r="1097" spans="2:3">
      <c r="B1097" s="412" t="s">
        <v>1356</v>
      </c>
      <c r="C1097" s="1110">
        <v>9.4919290855704439</v>
      </c>
    </row>
    <row r="1098" spans="2:3">
      <c r="B1098" s="412" t="s">
        <v>1357</v>
      </c>
      <c r="C1098" s="1110">
        <v>9.4958152841275769</v>
      </c>
    </row>
    <row r="1099" spans="2:3">
      <c r="B1099" s="412" t="s">
        <v>1358</v>
      </c>
      <c r="C1099" s="1110">
        <v>10.641598846273407</v>
      </c>
    </row>
    <row r="1100" spans="2:3">
      <c r="B1100" s="412" t="s">
        <v>1359</v>
      </c>
      <c r="C1100" s="1110">
        <v>9.4969865916366221</v>
      </c>
    </row>
    <row r="1101" spans="2:3">
      <c r="B1101" s="412" t="s">
        <v>1360</v>
      </c>
      <c r="C1101" s="1110">
        <v>9.4919290855704439</v>
      </c>
    </row>
    <row r="1102" spans="2:3">
      <c r="B1102" s="412" t="s">
        <v>1361</v>
      </c>
      <c r="C1102" s="1110">
        <v>9.4919290855704439</v>
      </c>
    </row>
    <row r="1103" spans="2:3">
      <c r="B1103" s="412" t="s">
        <v>1362</v>
      </c>
      <c r="C1103" s="1110">
        <v>11.714334012402938</v>
      </c>
    </row>
    <row r="1104" spans="2:3">
      <c r="B1104" s="412" t="s">
        <v>1363</v>
      </c>
      <c r="C1104" s="1110">
        <v>11.714334012402938</v>
      </c>
    </row>
    <row r="1105" spans="2:3">
      <c r="B1105" s="412" t="s">
        <v>1364</v>
      </c>
      <c r="C1105" s="1110">
        <v>11.714334012402938</v>
      </c>
    </row>
    <row r="1106" spans="2:3">
      <c r="B1106" s="412" t="s">
        <v>1365</v>
      </c>
      <c r="C1106" s="1110">
        <v>11.714334012402938</v>
      </c>
    </row>
    <row r="1107" spans="2:3">
      <c r="B1107" s="412" t="s">
        <v>1366</v>
      </c>
      <c r="C1107" s="1110">
        <v>11.714334012402938</v>
      </c>
    </row>
    <row r="1108" spans="2:3">
      <c r="B1108" s="412" t="s">
        <v>1367</v>
      </c>
      <c r="C1108" s="1110">
        <v>11.714334012402938</v>
      </c>
    </row>
    <row r="1109" spans="2:3">
      <c r="B1109" s="412" t="s">
        <v>1368</v>
      </c>
      <c r="C1109" s="1110">
        <v>11.714334012402938</v>
      </c>
    </row>
    <row r="1110" spans="2:3">
      <c r="B1110" s="412" t="s">
        <v>1369</v>
      </c>
      <c r="C1110" s="1110">
        <v>11.714334012402938</v>
      </c>
    </row>
    <row r="1111" spans="2:3">
      <c r="B1111" s="412" t="s">
        <v>1370</v>
      </c>
      <c r="C1111" s="1110">
        <v>11.714334012402938</v>
      </c>
    </row>
    <row r="1112" spans="2:3">
      <c r="B1112" s="412" t="s">
        <v>1371</v>
      </c>
      <c r="C1112" s="1110">
        <v>13.821154278217543</v>
      </c>
    </row>
    <row r="1113" spans="2:3">
      <c r="B1113" s="412" t="s">
        <v>1372</v>
      </c>
      <c r="C1113" s="1110">
        <v>13.821154278217543</v>
      </c>
    </row>
    <row r="1114" spans="2:3">
      <c r="B1114" s="412" t="s">
        <v>1373</v>
      </c>
      <c r="C1114" s="1110">
        <v>13.821154278217543</v>
      </c>
    </row>
    <row r="1115" spans="2:3">
      <c r="B1115" s="412" t="s">
        <v>1374</v>
      </c>
      <c r="C1115" s="1110">
        <v>13.821154278217543</v>
      </c>
    </row>
    <row r="1116" spans="2:3">
      <c r="B1116" s="412" t="s">
        <v>1375</v>
      </c>
      <c r="C1116" s="1110">
        <v>13.821154278217543</v>
      </c>
    </row>
    <row r="1117" spans="2:3">
      <c r="B1117" s="412" t="s">
        <v>1376</v>
      </c>
      <c r="C1117" s="1110">
        <v>13.821154278217543</v>
      </c>
    </row>
    <row r="1118" spans="2:3">
      <c r="B1118" s="412" t="s">
        <v>1377</v>
      </c>
      <c r="C1118" s="1110">
        <v>13.821154278217543</v>
      </c>
    </row>
    <row r="1119" spans="2:3">
      <c r="B1119" s="412" t="s">
        <v>1378</v>
      </c>
      <c r="C1119" s="1110">
        <v>13.821154278217543</v>
      </c>
    </row>
    <row r="1120" spans="2:3">
      <c r="B1120" s="412" t="s">
        <v>1379</v>
      </c>
      <c r="C1120" s="1110">
        <v>13.821154278217543</v>
      </c>
    </row>
    <row r="1121" spans="2:3">
      <c r="B1121" s="412" t="s">
        <v>1380</v>
      </c>
      <c r="C1121" s="1110">
        <v>13.821154278217543</v>
      </c>
    </row>
    <row r="1122" spans="2:3">
      <c r="B1122" s="412" t="s">
        <v>1381</v>
      </c>
      <c r="C1122" s="1110">
        <v>13.821154278217543</v>
      </c>
    </row>
    <row r="1123" spans="2:3">
      <c r="B1123" s="412" t="s">
        <v>1382</v>
      </c>
      <c r="C1123" s="1110">
        <v>13.821154278217543</v>
      </c>
    </row>
    <row r="1124" spans="2:3">
      <c r="B1124" s="412" t="s">
        <v>1383</v>
      </c>
      <c r="C1124" s="1110">
        <v>13.821154278217543</v>
      </c>
    </row>
    <row r="1125" spans="2:3">
      <c r="B1125" s="412" t="s">
        <v>1384</v>
      </c>
      <c r="C1125" s="1110">
        <v>13.821154278217543</v>
      </c>
    </row>
    <row r="1126" spans="2:3">
      <c r="B1126" s="412" t="s">
        <v>1385</v>
      </c>
      <c r="C1126" s="1110">
        <v>13.821154278217543</v>
      </c>
    </row>
    <row r="1127" spans="2:3">
      <c r="B1127" s="412" t="s">
        <v>1386</v>
      </c>
      <c r="C1127" s="1110">
        <v>13.821154278217543</v>
      </c>
    </row>
    <row r="1128" spans="2:3">
      <c r="B1128" s="412" t="s">
        <v>1387</v>
      </c>
      <c r="C1128" s="1110">
        <v>13.821154278217543</v>
      </c>
    </row>
    <row r="1129" spans="2:3">
      <c r="B1129" s="412" t="s">
        <v>1388</v>
      </c>
      <c r="C1129" s="1110">
        <v>13.821154278217543</v>
      </c>
    </row>
    <row r="1130" spans="2:3">
      <c r="B1130" s="412" t="s">
        <v>1389</v>
      </c>
      <c r="C1130" s="1110">
        <v>13.821154278217543</v>
      </c>
    </row>
    <row r="1131" spans="2:3">
      <c r="B1131" s="412" t="s">
        <v>1390</v>
      </c>
      <c r="C1131" s="1110">
        <v>13.821154278217543</v>
      </c>
    </row>
    <row r="1132" spans="2:3">
      <c r="B1132" s="412" t="s">
        <v>1391</v>
      </c>
      <c r="C1132" s="1110">
        <v>13.821154278217543</v>
      </c>
    </row>
    <row r="1133" spans="2:3">
      <c r="B1133" s="412" t="s">
        <v>1392</v>
      </c>
      <c r="C1133" s="1110">
        <v>13.821154278217543</v>
      </c>
    </row>
    <row r="1134" spans="2:3">
      <c r="B1134" s="412" t="s">
        <v>1393</v>
      </c>
      <c r="C1134" s="1110">
        <v>13.821154278217543</v>
      </c>
    </row>
    <row r="1135" spans="2:3">
      <c r="B1135" s="412" t="s">
        <v>1394</v>
      </c>
      <c r="C1135" s="1110">
        <v>13.821154278217543</v>
      </c>
    </row>
    <row r="1136" spans="2:3">
      <c r="B1136" s="412" t="s">
        <v>1395</v>
      </c>
      <c r="C1136" s="1110">
        <v>13.821154278217543</v>
      </c>
    </row>
    <row r="1137" spans="2:3">
      <c r="B1137" s="412" t="s">
        <v>1396</v>
      </c>
      <c r="C1137" s="1110">
        <v>13.821154278217543</v>
      </c>
    </row>
    <row r="1138" spans="2:3">
      <c r="B1138" s="412" t="s">
        <v>1397</v>
      </c>
      <c r="C1138" s="1110">
        <v>13.821154278217543</v>
      </c>
    </row>
    <row r="1139" spans="2:3">
      <c r="B1139" s="412" t="s">
        <v>1398</v>
      </c>
      <c r="C1139" s="1110">
        <v>13.821154278217543</v>
      </c>
    </row>
    <row r="1140" spans="2:3">
      <c r="B1140" s="412" t="s">
        <v>1399</v>
      </c>
      <c r="C1140" s="1110">
        <v>13.821154278217543</v>
      </c>
    </row>
    <row r="1141" spans="2:3">
      <c r="B1141" s="412" t="s">
        <v>1400</v>
      </c>
      <c r="C1141" s="1110">
        <v>13.821154278217543</v>
      </c>
    </row>
    <row r="1142" spans="2:3">
      <c r="B1142" s="412" t="s">
        <v>1401</v>
      </c>
      <c r="C1142" s="1110">
        <v>13.821154278217543</v>
      </c>
    </row>
    <row r="1143" spans="2:3">
      <c r="B1143" s="412" t="s">
        <v>1402</v>
      </c>
      <c r="C1143" s="1110">
        <v>13.821154278217543</v>
      </c>
    </row>
    <row r="1144" spans="2:3">
      <c r="B1144" s="412" t="s">
        <v>1403</v>
      </c>
      <c r="C1144" s="1110">
        <v>13.821154278217543</v>
      </c>
    </row>
    <row r="1145" spans="2:3">
      <c r="B1145" s="412" t="s">
        <v>1404</v>
      </c>
      <c r="C1145" s="1110">
        <v>13.821154278217543</v>
      </c>
    </row>
    <row r="1146" spans="2:3">
      <c r="B1146" s="412" t="s">
        <v>1405</v>
      </c>
      <c r="C1146" s="1110">
        <v>13.821154278217543</v>
      </c>
    </row>
    <row r="1147" spans="2:3">
      <c r="B1147" s="412" t="s">
        <v>1406</v>
      </c>
      <c r="C1147" s="1110">
        <v>13.821154278217543</v>
      </c>
    </row>
    <row r="1148" spans="2:3">
      <c r="B1148" s="412" t="s">
        <v>1407</v>
      </c>
      <c r="C1148" s="1110">
        <v>13.821154278217543</v>
      </c>
    </row>
    <row r="1149" spans="2:3">
      <c r="B1149" s="412" t="s">
        <v>1408</v>
      </c>
      <c r="C1149" s="1110">
        <v>13.821154278217543</v>
      </c>
    </row>
    <row r="1150" spans="2:3">
      <c r="B1150" s="412" t="s">
        <v>1409</v>
      </c>
      <c r="C1150" s="1110">
        <v>13.821154278217543</v>
      </c>
    </row>
    <row r="1151" spans="2:3">
      <c r="B1151" s="412" t="s">
        <v>1410</v>
      </c>
      <c r="C1151" s="1110">
        <v>13.821154278217543</v>
      </c>
    </row>
    <row r="1152" spans="2:3">
      <c r="B1152" s="412" t="s">
        <v>1411</v>
      </c>
      <c r="C1152" s="1110">
        <v>13.821154278217543</v>
      </c>
    </row>
    <row r="1153" spans="2:3">
      <c r="B1153" s="412" t="s">
        <v>1412</v>
      </c>
      <c r="C1153" s="1110">
        <v>13.821154278217543</v>
      </c>
    </row>
    <row r="1154" spans="2:3">
      <c r="B1154" s="412" t="s">
        <v>1413</v>
      </c>
      <c r="C1154" s="1110">
        <v>13.821154278217543</v>
      </c>
    </row>
    <row r="1155" spans="2:3">
      <c r="B1155" s="412" t="s">
        <v>1414</v>
      </c>
      <c r="C1155" s="1110">
        <v>13.821154278217543</v>
      </c>
    </row>
    <row r="1156" spans="2:3">
      <c r="B1156" s="412" t="s">
        <v>1415</v>
      </c>
      <c r="C1156" s="1110">
        <v>13.821154278217543</v>
      </c>
    </row>
    <row r="1157" spans="2:3">
      <c r="B1157" s="412" t="s">
        <v>1416</v>
      </c>
      <c r="C1157" s="1110">
        <v>13.821154278217543</v>
      </c>
    </row>
    <row r="1158" spans="2:3">
      <c r="B1158" s="412" t="s">
        <v>1417</v>
      </c>
      <c r="C1158" s="1110">
        <v>13.821154278217543</v>
      </c>
    </row>
    <row r="1159" spans="2:3">
      <c r="B1159" s="412" t="s">
        <v>1418</v>
      </c>
      <c r="C1159" s="1110">
        <v>13.821154278217543</v>
      </c>
    </row>
    <row r="1160" spans="2:3">
      <c r="B1160" s="412" t="s">
        <v>1419</v>
      </c>
      <c r="C1160" s="1110">
        <v>13.821154278217543</v>
      </c>
    </row>
    <row r="1161" spans="2:3">
      <c r="B1161" s="412" t="s">
        <v>1420</v>
      </c>
      <c r="C1161" s="1110">
        <v>13.821154278217543</v>
      </c>
    </row>
    <row r="1162" spans="2:3">
      <c r="B1162" s="412" t="s">
        <v>1421</v>
      </c>
      <c r="C1162" s="1110">
        <v>13.821154278217543</v>
      </c>
    </row>
    <row r="1163" spans="2:3">
      <c r="B1163" s="412" t="s">
        <v>1422</v>
      </c>
      <c r="C1163" s="1110">
        <v>13.821154278217543</v>
      </c>
    </row>
    <row r="1164" spans="2:3">
      <c r="B1164" s="412" t="s">
        <v>1423</v>
      </c>
      <c r="C1164" s="1110">
        <v>13.821154278217543</v>
      </c>
    </row>
    <row r="1165" spans="2:3">
      <c r="B1165" s="412" t="s">
        <v>1424</v>
      </c>
      <c r="C1165" s="1110">
        <v>13.821154278217543</v>
      </c>
    </row>
    <row r="1166" spans="2:3">
      <c r="B1166" s="412" t="s">
        <v>1425</v>
      </c>
      <c r="C1166" s="1110">
        <v>13.821154278217543</v>
      </c>
    </row>
    <row r="1167" spans="2:3">
      <c r="B1167" s="412" t="s">
        <v>1426</v>
      </c>
      <c r="C1167" s="1110">
        <v>13.821154278217543</v>
      </c>
    </row>
    <row r="1168" spans="2:3">
      <c r="B1168" s="412" t="s">
        <v>1427</v>
      </c>
      <c r="C1168" s="1110">
        <v>13.821154278217543</v>
      </c>
    </row>
    <row r="1169" spans="2:3">
      <c r="B1169" s="412" t="s">
        <v>1428</v>
      </c>
      <c r="C1169" s="1110">
        <v>13.821154278217543</v>
      </c>
    </row>
    <row r="1170" spans="2:3">
      <c r="B1170" s="412" t="s">
        <v>1429</v>
      </c>
      <c r="C1170" s="1110">
        <v>13.821154278217543</v>
      </c>
    </row>
    <row r="1171" spans="2:3">
      <c r="B1171" s="412" t="s">
        <v>1430</v>
      </c>
      <c r="C1171" s="1110">
        <v>13.821154278217543</v>
      </c>
    </row>
    <row r="1172" spans="2:3">
      <c r="B1172" s="412" t="s">
        <v>1431</v>
      </c>
      <c r="C1172" s="1110">
        <v>13.821154278217543</v>
      </c>
    </row>
    <row r="1173" spans="2:3">
      <c r="B1173" s="412" t="s">
        <v>1432</v>
      </c>
      <c r="C1173" s="1110">
        <v>13.821154278217543</v>
      </c>
    </row>
    <row r="1174" spans="2:3">
      <c r="B1174" s="412" t="s">
        <v>1433</v>
      </c>
      <c r="C1174" s="1110">
        <v>13.821154278217543</v>
      </c>
    </row>
    <row r="1175" spans="2:3">
      <c r="B1175" s="412" t="s">
        <v>1434</v>
      </c>
      <c r="C1175" s="1110">
        <v>13.821154278217543</v>
      </c>
    </row>
    <row r="1176" spans="2:3">
      <c r="B1176" s="412" t="s">
        <v>1435</v>
      </c>
      <c r="C1176" s="1110">
        <v>13.821154278217543</v>
      </c>
    </row>
    <row r="1177" spans="2:3">
      <c r="B1177" s="412" t="s">
        <v>1436</v>
      </c>
      <c r="C1177" s="1110">
        <v>13.821154278217543</v>
      </c>
    </row>
    <row r="1178" spans="2:3">
      <c r="B1178" s="412" t="s">
        <v>1437</v>
      </c>
      <c r="C1178" s="1110">
        <v>13.821154278217543</v>
      </c>
    </row>
    <row r="1179" spans="2:3">
      <c r="B1179" s="412" t="s">
        <v>1438</v>
      </c>
      <c r="C1179" s="1110">
        <v>11.714334012402938</v>
      </c>
    </row>
    <row r="1180" spans="2:3">
      <c r="B1180" s="412" t="s">
        <v>1439</v>
      </c>
      <c r="C1180" s="1110">
        <v>11.714334012402938</v>
      </c>
    </row>
    <row r="1181" spans="2:3">
      <c r="B1181" s="412" t="s">
        <v>1440</v>
      </c>
      <c r="C1181" s="1110">
        <v>11.714334012402938</v>
      </c>
    </row>
    <row r="1182" spans="2:3">
      <c r="B1182" s="412" t="s">
        <v>1441</v>
      </c>
      <c r="C1182" s="1110">
        <v>11.714334012402938</v>
      </c>
    </row>
    <row r="1183" spans="2:3">
      <c r="B1183" s="412" t="s">
        <v>1442</v>
      </c>
      <c r="C1183" s="1110">
        <v>11.714334012402938</v>
      </c>
    </row>
    <row r="1184" spans="2:3">
      <c r="B1184" s="412" t="s">
        <v>1443</v>
      </c>
      <c r="C1184" s="1110">
        <v>11.714334012402938</v>
      </c>
    </row>
    <row r="1185" spans="2:3" ht="17" thickBot="1">
      <c r="B1185" s="413" t="s">
        <v>1444</v>
      </c>
      <c r="C1185" s="655">
        <v>11.714334012402938</v>
      </c>
    </row>
    <row r="1186" spans="2:3">
      <c r="B1186" s="415" t="s">
        <v>1445</v>
      </c>
      <c r="C1186" s="1109">
        <v>9.4919290855704439</v>
      </c>
    </row>
    <row r="1187" spans="2:3">
      <c r="B1187" s="412" t="s">
        <v>1446</v>
      </c>
      <c r="C1187" s="1110">
        <v>13.821154278217543</v>
      </c>
    </row>
    <row r="1188" spans="2:3">
      <c r="B1188" s="412" t="s">
        <v>1447</v>
      </c>
      <c r="C1188" s="1110">
        <v>9.4919290855704439</v>
      </c>
    </row>
    <row r="1189" spans="2:3">
      <c r="B1189" s="412" t="s">
        <v>1448</v>
      </c>
      <c r="C1189" s="1110">
        <v>9.4919290855704439</v>
      </c>
    </row>
    <row r="1190" spans="2:3">
      <c r="B1190" s="412" t="s">
        <v>1449</v>
      </c>
      <c r="C1190" s="1110">
        <v>9.4919290855704439</v>
      </c>
    </row>
    <row r="1191" spans="2:3">
      <c r="B1191" s="412" t="s">
        <v>1450</v>
      </c>
      <c r="C1191" s="1110">
        <v>9.4919290855704439</v>
      </c>
    </row>
    <row r="1192" spans="2:3">
      <c r="B1192" s="412" t="s">
        <v>1451</v>
      </c>
      <c r="C1192" s="1110">
        <v>9.4919290855704439</v>
      </c>
    </row>
    <row r="1193" spans="2:3">
      <c r="B1193" s="412" t="s">
        <v>1452</v>
      </c>
      <c r="C1193" s="1110">
        <v>9.4919290855704439</v>
      </c>
    </row>
    <row r="1194" spans="2:3">
      <c r="B1194" s="412" t="s">
        <v>1453</v>
      </c>
      <c r="C1194" s="1110">
        <v>12.250923009572999</v>
      </c>
    </row>
    <row r="1195" spans="2:3">
      <c r="B1195" s="412" t="s">
        <v>1454</v>
      </c>
      <c r="C1195" s="1110">
        <v>9.9037334331637048</v>
      </c>
    </row>
    <row r="1196" spans="2:3">
      <c r="B1196" s="412" t="s">
        <v>1455</v>
      </c>
      <c r="C1196" s="1110">
        <v>13.340129256812311</v>
      </c>
    </row>
    <row r="1197" spans="2:3">
      <c r="B1197" s="412" t="s">
        <v>1456</v>
      </c>
      <c r="C1197" s="1110">
        <v>13.821154278217543</v>
      </c>
    </row>
    <row r="1198" spans="2:3">
      <c r="B1198" s="412" t="s">
        <v>1457</v>
      </c>
      <c r="C1198" s="1110">
        <v>13.821154278217543</v>
      </c>
    </row>
    <row r="1199" spans="2:3">
      <c r="B1199" s="412" t="s">
        <v>1458</v>
      </c>
      <c r="C1199" s="1110">
        <v>13.821154278217543</v>
      </c>
    </row>
    <row r="1200" spans="2:3">
      <c r="B1200" s="412" t="s">
        <v>1459</v>
      </c>
      <c r="C1200" s="1110">
        <v>13.821154278217543</v>
      </c>
    </row>
    <row r="1201" spans="2:3">
      <c r="B1201" s="412" t="s">
        <v>1460</v>
      </c>
      <c r="C1201" s="1110">
        <v>13.821154278217543</v>
      </c>
    </row>
    <row r="1202" spans="2:3">
      <c r="B1202" s="412" t="s">
        <v>1461</v>
      </c>
      <c r="C1202" s="1110">
        <v>13.821154278217543</v>
      </c>
    </row>
    <row r="1203" spans="2:3">
      <c r="B1203" s="412" t="s">
        <v>1462</v>
      </c>
      <c r="C1203" s="1110">
        <v>13.821154278217543</v>
      </c>
    </row>
    <row r="1204" spans="2:3">
      <c r="B1204" s="412" t="s">
        <v>1463</v>
      </c>
      <c r="C1204" s="1110">
        <v>13.821154278217543</v>
      </c>
    </row>
    <row r="1205" spans="2:3">
      <c r="B1205" s="412" t="s">
        <v>1464</v>
      </c>
      <c r="C1205" s="1110">
        <v>13.821154278217543</v>
      </c>
    </row>
    <row r="1206" spans="2:3">
      <c r="B1206" s="412" t="s">
        <v>1465</v>
      </c>
      <c r="C1206" s="1110">
        <v>13.821154278217543</v>
      </c>
    </row>
    <row r="1207" spans="2:3">
      <c r="B1207" s="412" t="s">
        <v>1466</v>
      </c>
      <c r="C1207" s="1110">
        <v>13.821154278217543</v>
      </c>
    </row>
    <row r="1208" spans="2:3">
      <c r="B1208" s="412" t="s">
        <v>1467</v>
      </c>
      <c r="C1208" s="1110">
        <v>13.821154278217543</v>
      </c>
    </row>
    <row r="1209" spans="2:3">
      <c r="B1209" s="412" t="s">
        <v>1468</v>
      </c>
      <c r="C1209" s="1110">
        <v>13.821154278217543</v>
      </c>
    </row>
    <row r="1210" spans="2:3">
      <c r="B1210" s="412" t="s">
        <v>1469</v>
      </c>
      <c r="C1210" s="1110">
        <v>13.821154278217543</v>
      </c>
    </row>
    <row r="1211" spans="2:3">
      <c r="B1211" s="412" t="s">
        <v>1470</v>
      </c>
      <c r="C1211" s="1110">
        <v>13.821154278217543</v>
      </c>
    </row>
    <row r="1212" spans="2:3">
      <c r="B1212" s="412" t="s">
        <v>1471</v>
      </c>
      <c r="C1212" s="1110">
        <v>13.821154278217543</v>
      </c>
    </row>
    <row r="1213" spans="2:3">
      <c r="B1213" s="412" t="s">
        <v>1472</v>
      </c>
      <c r="C1213" s="1110">
        <v>13.821154278217543</v>
      </c>
    </row>
    <row r="1214" spans="2:3">
      <c r="B1214" s="412" t="s">
        <v>1473</v>
      </c>
      <c r="C1214" s="1110">
        <v>13.821154278217543</v>
      </c>
    </row>
    <row r="1215" spans="2:3">
      <c r="B1215" s="412" t="s">
        <v>1474</v>
      </c>
      <c r="C1215" s="1110">
        <v>13.821154278217543</v>
      </c>
    </row>
    <row r="1216" spans="2:3">
      <c r="B1216" s="412" t="s">
        <v>1475</v>
      </c>
      <c r="C1216" s="1110">
        <v>13.821154278217543</v>
      </c>
    </row>
    <row r="1217" spans="2:3">
      <c r="B1217" s="412" t="s">
        <v>1476</v>
      </c>
      <c r="C1217" s="1110">
        <v>13.821154278217543</v>
      </c>
    </row>
    <row r="1218" spans="2:3">
      <c r="B1218" s="412" t="s">
        <v>1477</v>
      </c>
      <c r="C1218" s="1110">
        <v>13.821154278217543</v>
      </c>
    </row>
    <row r="1219" spans="2:3">
      <c r="B1219" s="412" t="s">
        <v>1478</v>
      </c>
      <c r="C1219" s="1110">
        <v>13.821154278217543</v>
      </c>
    </row>
    <row r="1220" spans="2:3">
      <c r="B1220" s="412" t="s">
        <v>1479</v>
      </c>
      <c r="C1220" s="1110">
        <v>13.821154278217543</v>
      </c>
    </row>
    <row r="1221" spans="2:3">
      <c r="B1221" s="412" t="s">
        <v>1480</v>
      </c>
      <c r="C1221" s="1110">
        <v>13.821154278217543</v>
      </c>
    </row>
    <row r="1222" spans="2:3">
      <c r="B1222" s="412" t="s">
        <v>1481</v>
      </c>
      <c r="C1222" s="1110">
        <v>13.821154278217543</v>
      </c>
    </row>
    <row r="1223" spans="2:3">
      <c r="B1223" s="412" t="s">
        <v>1482</v>
      </c>
      <c r="C1223" s="1110">
        <v>13.821154278217543</v>
      </c>
    </row>
    <row r="1224" spans="2:3">
      <c r="B1224" s="412" t="s">
        <v>1483</v>
      </c>
      <c r="C1224" s="1110">
        <v>13.821154278217543</v>
      </c>
    </row>
    <row r="1225" spans="2:3">
      <c r="B1225" s="412" t="s">
        <v>1484</v>
      </c>
      <c r="C1225" s="1110">
        <v>13.821154278217543</v>
      </c>
    </row>
    <row r="1226" spans="2:3">
      <c r="B1226" s="412" t="s">
        <v>1485</v>
      </c>
      <c r="C1226" s="1110">
        <v>13.821154278217543</v>
      </c>
    </row>
    <row r="1227" spans="2:3">
      <c r="B1227" s="412" t="s">
        <v>1486</v>
      </c>
      <c r="C1227" s="1110">
        <v>13.821154278217543</v>
      </c>
    </row>
    <row r="1228" spans="2:3">
      <c r="B1228" s="412" t="s">
        <v>1487</v>
      </c>
      <c r="C1228" s="1110">
        <v>13.821154278217543</v>
      </c>
    </row>
    <row r="1229" spans="2:3">
      <c r="B1229" s="412" t="s">
        <v>1488</v>
      </c>
      <c r="C1229" s="1110">
        <v>13.821154278217543</v>
      </c>
    </row>
    <row r="1230" spans="2:3">
      <c r="B1230" s="412" t="s">
        <v>1489</v>
      </c>
      <c r="C1230" s="1110">
        <v>13.821154278217543</v>
      </c>
    </row>
    <row r="1231" spans="2:3">
      <c r="B1231" s="412" t="s">
        <v>1490</v>
      </c>
      <c r="C1231" s="1110">
        <v>13.821154278217543</v>
      </c>
    </row>
    <row r="1232" spans="2:3">
      <c r="B1232" s="412" t="s">
        <v>1491</v>
      </c>
      <c r="C1232" s="1110">
        <v>13.821154278217543</v>
      </c>
    </row>
    <row r="1233" spans="2:3">
      <c r="B1233" s="412" t="s">
        <v>1492</v>
      </c>
      <c r="C1233" s="1110">
        <v>13.821154278217543</v>
      </c>
    </row>
    <row r="1234" spans="2:3">
      <c r="B1234" s="412" t="s">
        <v>1493</v>
      </c>
      <c r="C1234" s="1110">
        <v>13.821154278217543</v>
      </c>
    </row>
    <row r="1235" spans="2:3">
      <c r="B1235" s="412" t="s">
        <v>1494</v>
      </c>
      <c r="C1235" s="1110">
        <v>13.821154278217543</v>
      </c>
    </row>
    <row r="1236" spans="2:3">
      <c r="B1236" s="412" t="s">
        <v>1495</v>
      </c>
      <c r="C1236" s="1110">
        <v>13.821154278217543</v>
      </c>
    </row>
    <row r="1237" spans="2:3">
      <c r="B1237" s="412" t="s">
        <v>1496</v>
      </c>
      <c r="C1237" s="1110">
        <v>13.821154278217543</v>
      </c>
    </row>
    <row r="1238" spans="2:3">
      <c r="B1238" s="412" t="s">
        <v>1497</v>
      </c>
      <c r="C1238" s="1110">
        <v>13.821154278217543</v>
      </c>
    </row>
    <row r="1239" spans="2:3">
      <c r="B1239" s="412" t="s">
        <v>1498</v>
      </c>
      <c r="C1239" s="1110">
        <v>13.821154278217543</v>
      </c>
    </row>
    <row r="1240" spans="2:3">
      <c r="B1240" s="412" t="s">
        <v>1499</v>
      </c>
      <c r="C1240" s="1110">
        <v>13.821154278217543</v>
      </c>
    </row>
    <row r="1241" spans="2:3">
      <c r="B1241" s="412" t="s">
        <v>1500</v>
      </c>
      <c r="C1241" s="1110">
        <v>13.821154278217543</v>
      </c>
    </row>
    <row r="1242" spans="2:3">
      <c r="B1242" s="412" t="s">
        <v>1501</v>
      </c>
      <c r="C1242" s="1110">
        <v>13.821154278217543</v>
      </c>
    </row>
    <row r="1243" spans="2:3">
      <c r="B1243" s="412" t="s">
        <v>1502</v>
      </c>
      <c r="C1243" s="1110">
        <v>13.821154278217543</v>
      </c>
    </row>
    <row r="1244" spans="2:3">
      <c r="B1244" s="412" t="s">
        <v>1503</v>
      </c>
      <c r="C1244" s="1110">
        <v>13.821154278217543</v>
      </c>
    </row>
    <row r="1245" spans="2:3">
      <c r="B1245" s="412" t="s">
        <v>1504</v>
      </c>
      <c r="C1245" s="1110">
        <v>13.821154278217543</v>
      </c>
    </row>
    <row r="1246" spans="2:3">
      <c r="B1246" s="412" t="s">
        <v>1505</v>
      </c>
      <c r="C1246" s="1110">
        <v>13.821154278217543</v>
      </c>
    </row>
    <row r="1247" spans="2:3">
      <c r="B1247" s="412" t="s">
        <v>1506</v>
      </c>
      <c r="C1247" s="1110">
        <v>13.821154278217543</v>
      </c>
    </row>
    <row r="1248" spans="2:3">
      <c r="B1248" s="412" t="s">
        <v>1507</v>
      </c>
      <c r="C1248" s="1110">
        <v>13.821154278217543</v>
      </c>
    </row>
    <row r="1249" spans="2:3">
      <c r="B1249" s="412" t="s">
        <v>1508</v>
      </c>
      <c r="C1249" s="1110">
        <v>13.821154278217543</v>
      </c>
    </row>
    <row r="1250" spans="2:3">
      <c r="B1250" s="412" t="s">
        <v>1509</v>
      </c>
      <c r="C1250" s="1110">
        <v>13.821154278217543</v>
      </c>
    </row>
    <row r="1251" spans="2:3">
      <c r="B1251" s="412" t="s">
        <v>1510</v>
      </c>
      <c r="C1251" s="1110">
        <v>13.821154278217543</v>
      </c>
    </row>
    <row r="1252" spans="2:3">
      <c r="B1252" s="412" t="s">
        <v>1511</v>
      </c>
      <c r="C1252" s="1110">
        <v>13.821154278217543</v>
      </c>
    </row>
    <row r="1253" spans="2:3">
      <c r="B1253" s="412" t="s">
        <v>1512</v>
      </c>
      <c r="C1253" s="1110">
        <v>13.821154278217543</v>
      </c>
    </row>
    <row r="1254" spans="2:3">
      <c r="B1254" s="412" t="s">
        <v>1513</v>
      </c>
      <c r="C1254" s="1110">
        <v>13.821154278217543</v>
      </c>
    </row>
    <row r="1255" spans="2:3">
      <c r="B1255" s="412" t="s">
        <v>1514</v>
      </c>
      <c r="C1255" s="1110">
        <v>13.821154278217543</v>
      </c>
    </row>
    <row r="1256" spans="2:3">
      <c r="B1256" s="412" t="s">
        <v>1515</v>
      </c>
      <c r="C1256" s="1110">
        <v>13.821154278217543</v>
      </c>
    </row>
    <row r="1257" spans="2:3">
      <c r="B1257" s="412" t="s">
        <v>1516</v>
      </c>
      <c r="C1257" s="1110">
        <v>13.821154278217543</v>
      </c>
    </row>
    <row r="1258" spans="2:3">
      <c r="B1258" s="412" t="s">
        <v>1517</v>
      </c>
      <c r="C1258" s="1110">
        <v>13.821154278217543</v>
      </c>
    </row>
    <row r="1259" spans="2:3">
      <c r="B1259" s="412" t="s">
        <v>1518</v>
      </c>
      <c r="C1259" s="1110">
        <v>13.821154278217543</v>
      </c>
    </row>
    <row r="1260" spans="2:3">
      <c r="B1260" s="412" t="s">
        <v>1519</v>
      </c>
      <c r="C1260" s="1110">
        <v>13.821154278217543</v>
      </c>
    </row>
    <row r="1261" spans="2:3">
      <c r="B1261" s="412" t="s">
        <v>1520</v>
      </c>
      <c r="C1261" s="1110">
        <v>13.821154278217543</v>
      </c>
    </row>
    <row r="1262" spans="2:3">
      <c r="B1262" s="412" t="s">
        <v>1521</v>
      </c>
      <c r="C1262" s="1110">
        <v>13.821154278217543</v>
      </c>
    </row>
    <row r="1263" spans="2:3">
      <c r="B1263" s="412" t="s">
        <v>1522</v>
      </c>
      <c r="C1263" s="1110">
        <v>13.821154278217543</v>
      </c>
    </row>
    <row r="1264" spans="2:3">
      <c r="B1264" s="412" t="s">
        <v>1523</v>
      </c>
      <c r="C1264" s="1110">
        <v>13.821154278217543</v>
      </c>
    </row>
    <row r="1265" spans="2:3">
      <c r="B1265" s="412" t="s">
        <v>1524</v>
      </c>
      <c r="C1265" s="1110">
        <v>13.821154278217543</v>
      </c>
    </row>
    <row r="1266" spans="2:3">
      <c r="B1266" s="412" t="s">
        <v>1525</v>
      </c>
      <c r="C1266" s="1110">
        <v>13.821154278217543</v>
      </c>
    </row>
    <row r="1267" spans="2:3">
      <c r="B1267" s="412" t="s">
        <v>1526</v>
      </c>
      <c r="C1267" s="1110">
        <v>13.821154278217543</v>
      </c>
    </row>
    <row r="1268" spans="2:3">
      <c r="B1268" s="412" t="s">
        <v>1527</v>
      </c>
      <c r="C1268" s="1110">
        <v>13.821154278217543</v>
      </c>
    </row>
    <row r="1269" spans="2:3">
      <c r="B1269" s="412" t="s">
        <v>1528</v>
      </c>
      <c r="C1269" s="1110">
        <v>13.821154278217543</v>
      </c>
    </row>
    <row r="1270" spans="2:3">
      <c r="B1270" s="412" t="s">
        <v>1529</v>
      </c>
      <c r="C1270" s="1110">
        <v>13.821154278217543</v>
      </c>
    </row>
    <row r="1271" spans="2:3">
      <c r="B1271" s="412" t="s">
        <v>1530</v>
      </c>
      <c r="C1271" s="1110">
        <v>13.821154278217543</v>
      </c>
    </row>
    <row r="1272" spans="2:3">
      <c r="B1272" s="412" t="s">
        <v>1531</v>
      </c>
      <c r="C1272" s="1110">
        <v>13.821154278217543</v>
      </c>
    </row>
    <row r="1273" spans="2:3">
      <c r="B1273" s="412" t="s">
        <v>1532</v>
      </c>
      <c r="C1273" s="1110">
        <v>13.821154278217543</v>
      </c>
    </row>
    <row r="1274" spans="2:3">
      <c r="B1274" s="412" t="s">
        <v>1533</v>
      </c>
      <c r="C1274" s="1110">
        <v>13.821154278217543</v>
      </c>
    </row>
    <row r="1275" spans="2:3">
      <c r="B1275" s="412" t="s">
        <v>1534</v>
      </c>
      <c r="C1275" s="1110">
        <v>13.821154278217543</v>
      </c>
    </row>
    <row r="1276" spans="2:3">
      <c r="B1276" s="412" t="s">
        <v>1535</v>
      </c>
      <c r="C1276" s="1110">
        <v>13.821154278217543</v>
      </c>
    </row>
    <row r="1277" spans="2:3">
      <c r="B1277" s="412" t="s">
        <v>1536</v>
      </c>
      <c r="C1277" s="1110">
        <v>13.821154278217543</v>
      </c>
    </row>
    <row r="1278" spans="2:3">
      <c r="B1278" s="412" t="s">
        <v>1537</v>
      </c>
      <c r="C1278" s="1110">
        <v>13.821154278217543</v>
      </c>
    </row>
    <row r="1279" spans="2:3">
      <c r="B1279" s="412" t="s">
        <v>1538</v>
      </c>
      <c r="C1279" s="1110">
        <v>13.821154278217543</v>
      </c>
    </row>
    <row r="1280" spans="2:3">
      <c r="B1280" s="412" t="s">
        <v>1539</v>
      </c>
      <c r="C1280" s="1110">
        <v>13.821154278217543</v>
      </c>
    </row>
    <row r="1281" spans="2:3">
      <c r="B1281" s="412" t="s">
        <v>1540</v>
      </c>
      <c r="C1281" s="1110">
        <v>13.821154278217543</v>
      </c>
    </row>
    <row r="1282" spans="2:3">
      <c r="B1282" s="412" t="s">
        <v>1541</v>
      </c>
      <c r="C1282" s="1110">
        <v>13.821154278217543</v>
      </c>
    </row>
    <row r="1283" spans="2:3">
      <c r="B1283" s="412" t="s">
        <v>1542</v>
      </c>
      <c r="C1283" s="1110">
        <v>13.821154278217543</v>
      </c>
    </row>
    <row r="1284" spans="2:3">
      <c r="B1284" s="412" t="s">
        <v>1543</v>
      </c>
      <c r="C1284" s="1110">
        <v>13.821154278217543</v>
      </c>
    </row>
    <row r="1285" spans="2:3">
      <c r="B1285" s="412" t="s">
        <v>1544</v>
      </c>
      <c r="C1285" s="1110">
        <v>13.821154278217543</v>
      </c>
    </row>
    <row r="1286" spans="2:3">
      <c r="B1286" s="412" t="s">
        <v>1545</v>
      </c>
      <c r="C1286" s="1110">
        <v>13.821154278217543</v>
      </c>
    </row>
    <row r="1287" spans="2:3">
      <c r="B1287" s="412" t="s">
        <v>1546</v>
      </c>
      <c r="C1287" s="1110">
        <v>13.821154278217543</v>
      </c>
    </row>
    <row r="1288" spans="2:3">
      <c r="B1288" s="412" t="s">
        <v>1547</v>
      </c>
      <c r="C1288" s="1110">
        <v>13.821154278217543</v>
      </c>
    </row>
    <row r="1289" spans="2:3">
      <c r="B1289" s="412" t="s">
        <v>1548</v>
      </c>
      <c r="C1289" s="1110">
        <v>13.821154278217543</v>
      </c>
    </row>
    <row r="1290" spans="2:3" ht="17" thickBot="1">
      <c r="B1290" s="413" t="s">
        <v>1549</v>
      </c>
      <c r="C1290" s="655">
        <v>13.821154278217543</v>
      </c>
    </row>
    <row r="1291" spans="2:3">
      <c r="B1291" s="415" t="s">
        <v>1550</v>
      </c>
      <c r="C1291" s="1109">
        <v>13.821154278217543</v>
      </c>
    </row>
    <row r="1292" spans="2:3">
      <c r="B1292" s="412" t="s">
        <v>1551</v>
      </c>
      <c r="C1292" s="1110">
        <v>13.821154278217543</v>
      </c>
    </row>
    <row r="1293" spans="2:3">
      <c r="B1293" s="412" t="s">
        <v>1552</v>
      </c>
      <c r="C1293" s="1110">
        <v>13.821154278217543</v>
      </c>
    </row>
    <row r="1294" spans="2:3" ht="17" thickBot="1">
      <c r="B1294" s="413" t="s">
        <v>1553</v>
      </c>
      <c r="C1294" s="655">
        <v>13.821154278217543</v>
      </c>
    </row>
    <row r="1295" spans="2:3">
      <c r="B1295" s="415" t="s">
        <v>1554</v>
      </c>
      <c r="C1295" s="1109">
        <v>13.821154278217543</v>
      </c>
    </row>
    <row r="1296" spans="2:3">
      <c r="B1296" s="412" t="s">
        <v>1555</v>
      </c>
      <c r="C1296" s="1110">
        <v>13.821154278217543</v>
      </c>
    </row>
    <row r="1297" spans="2:3">
      <c r="B1297" s="412" t="s">
        <v>1556</v>
      </c>
      <c r="C1297" s="1110">
        <v>13.821154278217543</v>
      </c>
    </row>
    <row r="1298" spans="2:3">
      <c r="B1298" s="412" t="s">
        <v>1557</v>
      </c>
      <c r="C1298" s="1110">
        <v>13.821154278217543</v>
      </c>
    </row>
    <row r="1299" spans="2:3">
      <c r="B1299" s="412" t="s">
        <v>1558</v>
      </c>
      <c r="C1299" s="1110">
        <v>13.821154278217543</v>
      </c>
    </row>
    <row r="1300" spans="2:3">
      <c r="B1300" s="412" t="s">
        <v>1559</v>
      </c>
      <c r="C1300" s="1110">
        <v>13.821154278217543</v>
      </c>
    </row>
    <row r="1301" spans="2:3">
      <c r="B1301" s="412" t="s">
        <v>1560</v>
      </c>
      <c r="C1301" s="1110">
        <v>13.821154278217543</v>
      </c>
    </row>
    <row r="1302" spans="2:3">
      <c r="B1302" s="412" t="s">
        <v>1561</v>
      </c>
      <c r="C1302" s="1110">
        <v>13.821154278217543</v>
      </c>
    </row>
    <row r="1303" spans="2:3">
      <c r="B1303" s="412" t="s">
        <v>1562</v>
      </c>
      <c r="C1303" s="1110">
        <v>13.821154278217543</v>
      </c>
    </row>
    <row r="1304" spans="2:3">
      <c r="B1304" s="412" t="s">
        <v>1563</v>
      </c>
      <c r="C1304" s="1110">
        <v>13.821154278217543</v>
      </c>
    </row>
    <row r="1305" spans="2:3">
      <c r="B1305" s="412" t="s">
        <v>1564</v>
      </c>
      <c r="C1305" s="1110">
        <v>13.821154278217543</v>
      </c>
    </row>
    <row r="1306" spans="2:3">
      <c r="B1306" s="412" t="s">
        <v>1565</v>
      </c>
      <c r="C1306" s="1110">
        <v>13.821154278217543</v>
      </c>
    </row>
    <row r="1307" spans="2:3">
      <c r="B1307" s="412" t="s">
        <v>1566</v>
      </c>
      <c r="C1307" s="1110">
        <v>13.821154278217543</v>
      </c>
    </row>
    <row r="1308" spans="2:3">
      <c r="B1308" s="412" t="s">
        <v>1567</v>
      </c>
      <c r="C1308" s="1110">
        <v>13.821154278217543</v>
      </c>
    </row>
    <row r="1309" spans="2:3">
      <c r="B1309" s="412" t="s">
        <v>1568</v>
      </c>
      <c r="C1309" s="1110">
        <v>13.821154278217543</v>
      </c>
    </row>
    <row r="1310" spans="2:3">
      <c r="B1310" s="412" t="s">
        <v>1569</v>
      </c>
      <c r="C1310" s="1110">
        <v>13.821154278217543</v>
      </c>
    </row>
    <row r="1311" spans="2:3">
      <c r="B1311" s="412" t="s">
        <v>1570</v>
      </c>
      <c r="C1311" s="1110">
        <v>13.821154278217543</v>
      </c>
    </row>
    <row r="1312" spans="2:3">
      <c r="B1312" s="412" t="s">
        <v>1571</v>
      </c>
      <c r="C1312" s="1110">
        <v>13.821154278217543</v>
      </c>
    </row>
    <row r="1313" spans="2:3">
      <c r="B1313" s="412" t="s">
        <v>1572</v>
      </c>
      <c r="C1313" s="1110">
        <v>13.821154278217543</v>
      </c>
    </row>
    <row r="1314" spans="2:3">
      <c r="B1314" s="412" t="s">
        <v>1573</v>
      </c>
      <c r="C1314" s="1110">
        <v>13.821154278217543</v>
      </c>
    </row>
    <row r="1315" spans="2:3">
      <c r="B1315" s="412" t="s">
        <v>1574</v>
      </c>
      <c r="C1315" s="1110">
        <v>13.821154278217543</v>
      </c>
    </row>
    <row r="1316" spans="2:3">
      <c r="B1316" s="412" t="s">
        <v>1575</v>
      </c>
      <c r="C1316" s="1110">
        <v>13.821154278217543</v>
      </c>
    </row>
    <row r="1317" spans="2:3">
      <c r="B1317" s="412" t="s">
        <v>1576</v>
      </c>
      <c r="C1317" s="1110">
        <v>13.821154278217543</v>
      </c>
    </row>
    <row r="1318" spans="2:3">
      <c r="B1318" s="412" t="s">
        <v>1577</v>
      </c>
      <c r="C1318" s="1110">
        <v>13.821154278217543</v>
      </c>
    </row>
    <row r="1319" spans="2:3">
      <c r="B1319" s="412" t="s">
        <v>1578</v>
      </c>
      <c r="C1319" s="1110">
        <v>13.821154278217543</v>
      </c>
    </row>
    <row r="1320" spans="2:3">
      <c r="B1320" s="412" t="s">
        <v>1579</v>
      </c>
      <c r="C1320" s="1110">
        <v>13.821154278217543</v>
      </c>
    </row>
    <row r="1321" spans="2:3">
      <c r="B1321" s="412" t="s">
        <v>1580</v>
      </c>
      <c r="C1321" s="1110">
        <v>13.821154278217543</v>
      </c>
    </row>
    <row r="1322" spans="2:3">
      <c r="B1322" s="412" t="s">
        <v>1581</v>
      </c>
      <c r="C1322" s="1110">
        <v>13.821154278217543</v>
      </c>
    </row>
    <row r="1323" spans="2:3">
      <c r="B1323" s="412" t="s">
        <v>1582</v>
      </c>
      <c r="C1323" s="1110">
        <v>13.821154278217543</v>
      </c>
    </row>
    <row r="1324" spans="2:3">
      <c r="B1324" s="412" t="s">
        <v>1583</v>
      </c>
      <c r="C1324" s="1110">
        <v>13.821154278217543</v>
      </c>
    </row>
    <row r="1325" spans="2:3">
      <c r="B1325" s="412" t="s">
        <v>1584</v>
      </c>
      <c r="C1325" s="1110">
        <v>9.4919290855704439</v>
      </c>
    </row>
    <row r="1326" spans="2:3">
      <c r="B1326" s="412" t="s">
        <v>1585</v>
      </c>
      <c r="C1326" s="1110">
        <v>13.821154278217543</v>
      </c>
    </row>
    <row r="1327" spans="2:3">
      <c r="B1327" s="412" t="s">
        <v>1586</v>
      </c>
      <c r="C1327" s="1110">
        <v>13.821154278217543</v>
      </c>
    </row>
    <row r="1328" spans="2:3">
      <c r="B1328" s="412" t="s">
        <v>1587</v>
      </c>
      <c r="C1328" s="1110">
        <v>13.821154278217543</v>
      </c>
    </row>
    <row r="1329" spans="2:3">
      <c r="B1329" s="412" t="s">
        <v>1588</v>
      </c>
      <c r="C1329" s="1110">
        <v>13.821154278217543</v>
      </c>
    </row>
    <row r="1330" spans="2:3">
      <c r="B1330" s="412" t="s">
        <v>1589</v>
      </c>
      <c r="C1330" s="1110">
        <v>13.821154278217543</v>
      </c>
    </row>
    <row r="1331" spans="2:3">
      <c r="B1331" s="412" t="s">
        <v>1590</v>
      </c>
      <c r="C1331" s="1110">
        <v>13.821154278217543</v>
      </c>
    </row>
    <row r="1332" spans="2:3">
      <c r="B1332" s="412" t="s">
        <v>1591</v>
      </c>
      <c r="C1332" s="1110">
        <v>13.821154278217543</v>
      </c>
    </row>
    <row r="1333" spans="2:3">
      <c r="B1333" s="412" t="s">
        <v>1592</v>
      </c>
      <c r="C1333" s="1110">
        <v>13.774603469694455</v>
      </c>
    </row>
    <row r="1334" spans="2:3">
      <c r="B1334" s="412" t="s">
        <v>1593</v>
      </c>
      <c r="C1334" s="1110">
        <v>13.812632181381623</v>
      </c>
    </row>
    <row r="1335" spans="2:3">
      <c r="B1335" s="412" t="s">
        <v>1594</v>
      </c>
      <c r="C1335" s="1110">
        <v>13.80309075168355</v>
      </c>
    </row>
    <row r="1336" spans="2:3">
      <c r="B1336" s="412" t="s">
        <v>1595</v>
      </c>
      <c r="C1336" s="1110">
        <v>9.4919290855704439</v>
      </c>
    </row>
    <row r="1337" spans="2:3">
      <c r="B1337" s="412" t="s">
        <v>1596</v>
      </c>
      <c r="C1337" s="1110">
        <v>13.821154278217543</v>
      </c>
    </row>
    <row r="1338" spans="2:3">
      <c r="B1338" s="412" t="s">
        <v>1597</v>
      </c>
      <c r="C1338" s="1110">
        <v>13.821154278217543</v>
      </c>
    </row>
    <row r="1339" spans="2:3">
      <c r="B1339" s="412" t="s">
        <v>1598</v>
      </c>
      <c r="C1339" s="1110">
        <v>13.816365312296472</v>
      </c>
    </row>
    <row r="1340" spans="2:3">
      <c r="B1340" s="412" t="s">
        <v>1599</v>
      </c>
      <c r="C1340" s="1110">
        <v>13.821154278217543</v>
      </c>
    </row>
    <row r="1341" spans="2:3">
      <c r="B1341" s="412" t="s">
        <v>1600</v>
      </c>
      <c r="C1341" s="1110">
        <v>13.821154278217543</v>
      </c>
    </row>
    <row r="1342" spans="2:3">
      <c r="B1342" s="412" t="s">
        <v>1601</v>
      </c>
      <c r="C1342" s="1110">
        <v>9.4919290855704439</v>
      </c>
    </row>
    <row r="1343" spans="2:3">
      <c r="B1343" s="412" t="s">
        <v>1602</v>
      </c>
      <c r="C1343" s="1110">
        <v>10.4897124156853</v>
      </c>
    </row>
    <row r="1344" spans="2:3">
      <c r="B1344" s="412" t="s">
        <v>1603</v>
      </c>
      <c r="C1344" s="1110">
        <v>9.4919290855704439</v>
      </c>
    </row>
    <row r="1345" spans="2:3">
      <c r="B1345" s="412" t="s">
        <v>1604</v>
      </c>
      <c r="C1345" s="1110">
        <v>10.031615694951926</v>
      </c>
    </row>
    <row r="1346" spans="2:3">
      <c r="B1346" s="412" t="s">
        <v>1605</v>
      </c>
      <c r="C1346" s="1110">
        <v>13.752977503530188</v>
      </c>
    </row>
    <row r="1347" spans="2:3">
      <c r="B1347" s="412" t="s">
        <v>1606</v>
      </c>
      <c r="C1347" s="1110">
        <v>13.63463437195837</v>
      </c>
    </row>
    <row r="1348" spans="2:3">
      <c r="B1348" s="412" t="s">
        <v>1607</v>
      </c>
      <c r="C1348" s="1110">
        <v>9.5348990626686785</v>
      </c>
    </row>
    <row r="1349" spans="2:3">
      <c r="B1349" s="412" t="s">
        <v>1608</v>
      </c>
      <c r="C1349" s="1110">
        <v>13.821154278217543</v>
      </c>
    </row>
    <row r="1350" spans="2:3">
      <c r="B1350" s="412" t="s">
        <v>1609</v>
      </c>
      <c r="C1350" s="1110">
        <v>13.821154278217543</v>
      </c>
    </row>
    <row r="1351" spans="2:3">
      <c r="B1351" s="412" t="s">
        <v>1610</v>
      </c>
      <c r="C1351" s="1110">
        <v>13.821154278217543</v>
      </c>
    </row>
    <row r="1352" spans="2:3">
      <c r="B1352" s="412" t="s">
        <v>1611</v>
      </c>
      <c r="C1352" s="1110">
        <v>13.821154278217543</v>
      </c>
    </row>
    <row r="1353" spans="2:3">
      <c r="B1353" s="412" t="s">
        <v>1612</v>
      </c>
      <c r="C1353" s="1110">
        <v>13.821154278217543</v>
      </c>
    </row>
    <row r="1354" spans="2:3">
      <c r="B1354" s="412" t="s">
        <v>1613</v>
      </c>
      <c r="C1354" s="1110">
        <v>13.821154278217543</v>
      </c>
    </row>
    <row r="1355" spans="2:3">
      <c r="B1355" s="412" t="s">
        <v>1614</v>
      </c>
      <c r="C1355" s="1110">
        <v>23.079487816375195</v>
      </c>
    </row>
    <row r="1356" spans="2:3">
      <c r="B1356" s="412" t="s">
        <v>1615</v>
      </c>
      <c r="C1356" s="1110">
        <v>23.079487816375195</v>
      </c>
    </row>
    <row r="1357" spans="2:3">
      <c r="B1357" s="412" t="s">
        <v>1616</v>
      </c>
      <c r="C1357" s="1110">
        <v>23.079487816375195</v>
      </c>
    </row>
    <row r="1358" spans="2:3">
      <c r="B1358" s="412" t="s">
        <v>1617</v>
      </c>
      <c r="C1358" s="1110">
        <v>13.821154278217543</v>
      </c>
    </row>
    <row r="1359" spans="2:3">
      <c r="B1359" s="412" t="s">
        <v>1618</v>
      </c>
      <c r="C1359" s="1110">
        <v>13.821154278217543</v>
      </c>
    </row>
    <row r="1360" spans="2:3">
      <c r="B1360" s="412" t="s">
        <v>1619</v>
      </c>
      <c r="C1360" s="1110">
        <v>13.821154278217543</v>
      </c>
    </row>
    <row r="1361" spans="2:3">
      <c r="B1361" s="412" t="s">
        <v>1620</v>
      </c>
      <c r="C1361" s="1110">
        <v>13.821154278217543</v>
      </c>
    </row>
    <row r="1362" spans="2:3">
      <c r="B1362" s="412" t="s">
        <v>1621</v>
      </c>
      <c r="C1362" s="1110">
        <v>13.821154278217543</v>
      </c>
    </row>
    <row r="1363" spans="2:3">
      <c r="B1363" s="412" t="s">
        <v>1622</v>
      </c>
      <c r="C1363" s="1110">
        <v>13.821154278217543</v>
      </c>
    </row>
    <row r="1364" spans="2:3">
      <c r="B1364" s="412" t="s">
        <v>1623</v>
      </c>
      <c r="C1364" s="1110">
        <v>13.821154278217543</v>
      </c>
    </row>
    <row r="1365" spans="2:3">
      <c r="B1365" s="412" t="s">
        <v>1624</v>
      </c>
      <c r="C1365" s="1110">
        <v>13.821154278217543</v>
      </c>
    </row>
    <row r="1366" spans="2:3">
      <c r="B1366" s="412" t="s">
        <v>1625</v>
      </c>
      <c r="C1366" s="1110">
        <v>13.821154278217543</v>
      </c>
    </row>
    <row r="1367" spans="2:3">
      <c r="B1367" s="412" t="s">
        <v>1626</v>
      </c>
      <c r="C1367" s="1110">
        <v>13.821154278217543</v>
      </c>
    </row>
    <row r="1368" spans="2:3">
      <c r="B1368" s="412" t="s">
        <v>1627</v>
      </c>
      <c r="C1368" s="1110">
        <v>13.821154278217543</v>
      </c>
    </row>
    <row r="1369" spans="2:3">
      <c r="B1369" s="412" t="s">
        <v>1628</v>
      </c>
      <c r="C1369" s="1110">
        <v>13.821154278217543</v>
      </c>
    </row>
    <row r="1370" spans="2:3">
      <c r="B1370" s="412" t="s">
        <v>1629</v>
      </c>
      <c r="C1370" s="1110">
        <v>13.821154278217543</v>
      </c>
    </row>
    <row r="1371" spans="2:3">
      <c r="B1371" s="412" t="s">
        <v>1630</v>
      </c>
      <c r="C1371" s="1110">
        <v>13.821154278217543</v>
      </c>
    </row>
    <row r="1372" spans="2:3">
      <c r="B1372" s="412" t="s">
        <v>1631</v>
      </c>
      <c r="C1372" s="1110">
        <v>13.821154278217543</v>
      </c>
    </row>
    <row r="1373" spans="2:3">
      <c r="B1373" s="412" t="s">
        <v>1632</v>
      </c>
      <c r="C1373" s="1110">
        <v>13.821154278217543</v>
      </c>
    </row>
    <row r="1374" spans="2:3">
      <c r="B1374" s="412" t="s">
        <v>1633</v>
      </c>
      <c r="C1374" s="1110">
        <v>13.821154278217543</v>
      </c>
    </row>
    <row r="1375" spans="2:3">
      <c r="B1375" s="412" t="s">
        <v>1634</v>
      </c>
      <c r="C1375" s="1110">
        <v>13.821154278217543</v>
      </c>
    </row>
    <row r="1376" spans="2:3">
      <c r="B1376" s="412" t="s">
        <v>1635</v>
      </c>
      <c r="C1376" s="1110">
        <v>13.821154278217543</v>
      </c>
    </row>
    <row r="1377" spans="2:3">
      <c r="B1377" s="412" t="s">
        <v>1636</v>
      </c>
      <c r="C1377" s="1110">
        <v>13.821154278217543</v>
      </c>
    </row>
    <row r="1378" spans="2:3">
      <c r="B1378" s="412" t="s">
        <v>1637</v>
      </c>
      <c r="C1378" s="1110">
        <v>13.821154278217543</v>
      </c>
    </row>
    <row r="1379" spans="2:3">
      <c r="B1379" s="412" t="s">
        <v>1638</v>
      </c>
      <c r="C1379" s="1110">
        <v>13.821154278217543</v>
      </c>
    </row>
    <row r="1380" spans="2:3">
      <c r="B1380" s="412" t="s">
        <v>1639</v>
      </c>
      <c r="C1380" s="1110">
        <v>13.821154278217543</v>
      </c>
    </row>
    <row r="1381" spans="2:3" ht="17" thickBot="1">
      <c r="B1381" s="413" t="s">
        <v>1640</v>
      </c>
      <c r="C1381" s="655">
        <v>13.821154278217543</v>
      </c>
    </row>
    <row r="1382" spans="2:3">
      <c r="B1382" s="415" t="s">
        <v>1641</v>
      </c>
      <c r="C1382" s="1109">
        <v>11.714334012402938</v>
      </c>
    </row>
    <row r="1383" spans="2:3">
      <c r="B1383" s="412" t="s">
        <v>1642</v>
      </c>
      <c r="C1383" s="1110">
        <v>11.714334012402938</v>
      </c>
    </row>
    <row r="1384" spans="2:3">
      <c r="B1384" s="412" t="s">
        <v>1643</v>
      </c>
      <c r="C1384" s="1110">
        <v>11.714334012402938</v>
      </c>
    </row>
    <row r="1385" spans="2:3">
      <c r="B1385" s="412" t="s">
        <v>1644</v>
      </c>
      <c r="C1385" s="1110">
        <v>11.714334012402938</v>
      </c>
    </row>
    <row r="1386" spans="2:3">
      <c r="B1386" s="412" t="s">
        <v>1645</v>
      </c>
      <c r="C1386" s="1110">
        <v>11.714334012402938</v>
      </c>
    </row>
    <row r="1387" spans="2:3">
      <c r="B1387" s="412" t="s">
        <v>1646</v>
      </c>
      <c r="C1387" s="1110">
        <v>11.714334012402938</v>
      </c>
    </row>
    <row r="1388" spans="2:3">
      <c r="B1388" s="412" t="s">
        <v>1647</v>
      </c>
      <c r="C1388" s="1110">
        <v>11.714334012402938</v>
      </c>
    </row>
    <row r="1389" spans="2:3">
      <c r="B1389" s="412" t="s">
        <v>1648</v>
      </c>
      <c r="C1389" s="1110">
        <v>11.714334012402938</v>
      </c>
    </row>
    <row r="1390" spans="2:3">
      <c r="B1390" s="412" t="s">
        <v>1649</v>
      </c>
      <c r="C1390" s="1110">
        <v>11.714334012402938</v>
      </c>
    </row>
    <row r="1391" spans="2:3">
      <c r="B1391" s="412" t="s">
        <v>1650</v>
      </c>
      <c r="C1391" s="1110">
        <v>11.714334012402938</v>
      </c>
    </row>
    <row r="1392" spans="2:3">
      <c r="B1392" s="412" t="s">
        <v>1651</v>
      </c>
      <c r="C1392" s="1110">
        <v>11.714334012402938</v>
      </c>
    </row>
    <row r="1393" spans="2:3">
      <c r="B1393" s="412" t="s">
        <v>1652</v>
      </c>
      <c r="C1393" s="1110">
        <v>11.714334012402938</v>
      </c>
    </row>
    <row r="1394" spans="2:3">
      <c r="B1394" s="412" t="s">
        <v>1653</v>
      </c>
      <c r="C1394" s="1110">
        <v>11.714334012402938</v>
      </c>
    </row>
    <row r="1395" spans="2:3">
      <c r="B1395" s="412" t="s">
        <v>1654</v>
      </c>
      <c r="C1395" s="1110">
        <v>11.714334012402938</v>
      </c>
    </row>
    <row r="1396" spans="2:3">
      <c r="B1396" s="412" t="s">
        <v>1655</v>
      </c>
      <c r="C1396" s="1110">
        <v>11.714334012402938</v>
      </c>
    </row>
    <row r="1397" spans="2:3">
      <c r="B1397" s="412" t="s">
        <v>1656</v>
      </c>
      <c r="C1397" s="1110">
        <v>11.714334012402938</v>
      </c>
    </row>
    <row r="1398" spans="2:3">
      <c r="B1398" s="412" t="s">
        <v>1657</v>
      </c>
      <c r="C1398" s="1110">
        <v>12.042532144263506</v>
      </c>
    </row>
    <row r="1399" spans="2:3">
      <c r="B1399" s="412" t="s">
        <v>1658</v>
      </c>
      <c r="C1399" s="1110">
        <v>11.714334012402938</v>
      </c>
    </row>
    <row r="1400" spans="2:3">
      <c r="B1400" s="412" t="s">
        <v>1659</v>
      </c>
      <c r="C1400" s="1110">
        <v>11.714334012402938</v>
      </c>
    </row>
    <row r="1401" spans="2:3">
      <c r="B1401" s="412" t="s">
        <v>1660</v>
      </c>
      <c r="C1401" s="1110">
        <v>11.714334012402938</v>
      </c>
    </row>
    <row r="1402" spans="2:3">
      <c r="B1402" s="412" t="s">
        <v>1661</v>
      </c>
      <c r="C1402" s="1110">
        <v>11.714334012402938</v>
      </c>
    </row>
    <row r="1403" spans="2:3">
      <c r="B1403" s="412" t="s">
        <v>1662</v>
      </c>
      <c r="C1403" s="1110">
        <v>11.714334012402938</v>
      </c>
    </row>
    <row r="1404" spans="2:3">
      <c r="B1404" s="412" t="s">
        <v>1663</v>
      </c>
      <c r="C1404" s="1110">
        <v>11.714334012402938</v>
      </c>
    </row>
    <row r="1405" spans="2:3">
      <c r="B1405" s="412" t="s">
        <v>1664</v>
      </c>
      <c r="C1405" s="1110">
        <v>11.714334012402938</v>
      </c>
    </row>
    <row r="1406" spans="2:3">
      <c r="B1406" s="412" t="s">
        <v>1665</v>
      </c>
      <c r="C1406" s="1110">
        <v>11.747819897422509</v>
      </c>
    </row>
    <row r="1407" spans="2:3">
      <c r="B1407" s="412" t="s">
        <v>1666</v>
      </c>
      <c r="C1407" s="1110">
        <v>11.714334012402938</v>
      </c>
    </row>
    <row r="1408" spans="2:3">
      <c r="B1408" s="412" t="s">
        <v>1667</v>
      </c>
      <c r="C1408" s="1110">
        <v>11.773625389489652</v>
      </c>
    </row>
    <row r="1409" spans="2:3">
      <c r="B1409" s="412" t="s">
        <v>1668</v>
      </c>
      <c r="C1409" s="1110">
        <v>11.714334012402938</v>
      </c>
    </row>
    <row r="1410" spans="2:3">
      <c r="B1410" s="412" t="s">
        <v>1669</v>
      </c>
      <c r="C1410" s="1110">
        <v>11.717400708568606</v>
      </c>
    </row>
    <row r="1411" spans="2:3">
      <c r="B1411" s="412" t="s">
        <v>1670</v>
      </c>
      <c r="C1411" s="1110">
        <v>11.714334012402938</v>
      </c>
    </row>
    <row r="1412" spans="2:3">
      <c r="B1412" s="412" t="s">
        <v>1671</v>
      </c>
      <c r="C1412" s="1110">
        <v>11.768273687883131</v>
      </c>
    </row>
    <row r="1413" spans="2:3">
      <c r="B1413" s="412" t="s">
        <v>1672</v>
      </c>
      <c r="C1413" s="1110">
        <v>11.714334012402938</v>
      </c>
    </row>
    <row r="1414" spans="2:3">
      <c r="B1414" s="412" t="s">
        <v>1673</v>
      </c>
      <c r="C1414" s="1110">
        <v>13.821154278217543</v>
      </c>
    </row>
    <row r="1415" spans="2:3">
      <c r="B1415" s="412" t="s">
        <v>1674</v>
      </c>
      <c r="C1415" s="1110">
        <v>11.714334012402938</v>
      </c>
    </row>
    <row r="1416" spans="2:3">
      <c r="B1416" s="412" t="s">
        <v>1675</v>
      </c>
      <c r="C1416" s="1110">
        <v>13.821154278217543</v>
      </c>
    </row>
    <row r="1417" spans="2:3">
      <c r="B1417" s="412" t="s">
        <v>1676</v>
      </c>
      <c r="C1417" s="1110">
        <v>11.714334012402938</v>
      </c>
    </row>
    <row r="1418" spans="2:3">
      <c r="B1418" s="412" t="s">
        <v>1677</v>
      </c>
      <c r="C1418" s="1110">
        <v>11.714334012402938</v>
      </c>
    </row>
    <row r="1419" spans="2:3">
      <c r="B1419" s="412" t="s">
        <v>1678</v>
      </c>
      <c r="C1419" s="1110">
        <v>11.714334012402938</v>
      </c>
    </row>
    <row r="1420" spans="2:3">
      <c r="B1420" s="412" t="s">
        <v>1679</v>
      </c>
      <c r="C1420" s="1110">
        <v>11.714334012402938</v>
      </c>
    </row>
    <row r="1421" spans="2:3">
      <c r="B1421" s="412" t="s">
        <v>1680</v>
      </c>
      <c r="C1421" s="1110">
        <v>11.714334012402938</v>
      </c>
    </row>
    <row r="1422" spans="2:3">
      <c r="B1422" s="412" t="s">
        <v>1681</v>
      </c>
      <c r="C1422" s="1110">
        <v>11.714334012402938</v>
      </c>
    </row>
    <row r="1423" spans="2:3">
      <c r="B1423" s="412" t="s">
        <v>1682</v>
      </c>
      <c r="C1423" s="1110">
        <v>11.714334012402938</v>
      </c>
    </row>
    <row r="1424" spans="2:3">
      <c r="B1424" s="412" t="s">
        <v>1683</v>
      </c>
      <c r="C1424" s="1110">
        <v>11.714334012402938</v>
      </c>
    </row>
    <row r="1425" spans="2:3">
      <c r="B1425" s="412" t="s">
        <v>1684</v>
      </c>
      <c r="C1425" s="1110">
        <v>11.714334012402938</v>
      </c>
    </row>
    <row r="1426" spans="2:3">
      <c r="B1426" s="412" t="s">
        <v>1685</v>
      </c>
      <c r="C1426" s="1110">
        <v>11.714334012402938</v>
      </c>
    </row>
    <row r="1427" spans="2:3">
      <c r="B1427" s="412" t="s">
        <v>1686</v>
      </c>
      <c r="C1427" s="1110">
        <v>11.714334012402938</v>
      </c>
    </row>
    <row r="1428" spans="2:3">
      <c r="B1428" s="412" t="s">
        <v>1687</v>
      </c>
      <c r="C1428" s="1110">
        <v>11.714334012402938</v>
      </c>
    </row>
    <row r="1429" spans="2:3">
      <c r="B1429" s="412" t="s">
        <v>1688</v>
      </c>
      <c r="C1429" s="1110">
        <v>11.714334012402938</v>
      </c>
    </row>
    <row r="1430" spans="2:3">
      <c r="B1430" s="412" t="s">
        <v>1689</v>
      </c>
      <c r="C1430" s="1110">
        <v>11.714334012402938</v>
      </c>
    </row>
    <row r="1431" spans="2:3">
      <c r="B1431" s="412" t="s">
        <v>1690</v>
      </c>
      <c r="C1431" s="1110">
        <v>13.821154278217543</v>
      </c>
    </row>
    <row r="1432" spans="2:3">
      <c r="B1432" s="412" t="s">
        <v>1691</v>
      </c>
      <c r="C1432" s="1110">
        <v>13.821154278217543</v>
      </c>
    </row>
    <row r="1433" spans="2:3">
      <c r="B1433" s="412" t="s">
        <v>1692</v>
      </c>
      <c r="C1433" s="1110">
        <v>13.821154278217543</v>
      </c>
    </row>
    <row r="1434" spans="2:3">
      <c r="B1434" s="412" t="s">
        <v>1693</v>
      </c>
      <c r="C1434" s="1110">
        <v>13.821154278217543</v>
      </c>
    </row>
    <row r="1435" spans="2:3">
      <c r="B1435" s="412" t="s">
        <v>1694</v>
      </c>
      <c r="C1435" s="1110">
        <v>13.821154278217543</v>
      </c>
    </row>
    <row r="1436" spans="2:3">
      <c r="B1436" s="412" t="s">
        <v>1695</v>
      </c>
      <c r="C1436" s="1110">
        <v>13.821154278217543</v>
      </c>
    </row>
    <row r="1437" spans="2:3">
      <c r="B1437" s="412" t="s">
        <v>1696</v>
      </c>
      <c r="C1437" s="1110">
        <v>13.821154278217543</v>
      </c>
    </row>
    <row r="1438" spans="2:3">
      <c r="B1438" s="412" t="s">
        <v>1697</v>
      </c>
      <c r="C1438" s="1110">
        <v>13.821154278217543</v>
      </c>
    </row>
    <row r="1439" spans="2:3">
      <c r="B1439" s="412" t="s">
        <v>1698</v>
      </c>
      <c r="C1439" s="1110">
        <v>13.821154278217543</v>
      </c>
    </row>
    <row r="1440" spans="2:3">
      <c r="B1440" s="412" t="s">
        <v>1699</v>
      </c>
      <c r="C1440" s="1110">
        <v>13.821154278217543</v>
      </c>
    </row>
    <row r="1441" spans="2:3">
      <c r="B1441" s="412" t="s">
        <v>1700</v>
      </c>
      <c r="C1441" s="1110">
        <v>13.821154278217543</v>
      </c>
    </row>
    <row r="1442" spans="2:3">
      <c r="B1442" s="412" t="s">
        <v>1701</v>
      </c>
      <c r="C1442" s="1110">
        <v>13.821154278217543</v>
      </c>
    </row>
    <row r="1443" spans="2:3">
      <c r="B1443" s="412" t="s">
        <v>1702</v>
      </c>
      <c r="C1443" s="1110">
        <v>13.821154278217543</v>
      </c>
    </row>
    <row r="1444" spans="2:3">
      <c r="B1444" s="412" t="s">
        <v>1703</v>
      </c>
      <c r="C1444" s="1110">
        <v>13.821154278217543</v>
      </c>
    </row>
    <row r="1445" spans="2:3">
      <c r="B1445" s="412" t="s">
        <v>1704</v>
      </c>
      <c r="C1445" s="1110">
        <v>13.821154278217543</v>
      </c>
    </row>
    <row r="1446" spans="2:3">
      <c r="B1446" s="412" t="s">
        <v>1705</v>
      </c>
      <c r="C1446" s="1110">
        <v>13.821154278217543</v>
      </c>
    </row>
    <row r="1447" spans="2:3">
      <c r="B1447" s="412" t="s">
        <v>1706</v>
      </c>
      <c r="C1447" s="1110">
        <v>13.821154278217543</v>
      </c>
    </row>
    <row r="1448" spans="2:3">
      <c r="B1448" s="412" t="s">
        <v>1707</v>
      </c>
      <c r="C1448" s="1110">
        <v>13.821154278217543</v>
      </c>
    </row>
    <row r="1449" spans="2:3">
      <c r="B1449" s="412" t="s">
        <v>1708</v>
      </c>
      <c r="C1449" s="1110">
        <v>13.821154278217543</v>
      </c>
    </row>
    <row r="1450" spans="2:3">
      <c r="B1450" s="412" t="s">
        <v>1709</v>
      </c>
      <c r="C1450" s="1110">
        <v>13.821154278217543</v>
      </c>
    </row>
    <row r="1451" spans="2:3">
      <c r="B1451" s="412" t="s">
        <v>1710</v>
      </c>
      <c r="C1451" s="1110">
        <v>13.821154278217543</v>
      </c>
    </row>
    <row r="1452" spans="2:3">
      <c r="B1452" s="412" t="s">
        <v>1711</v>
      </c>
      <c r="C1452" s="1110">
        <v>13.821154278217543</v>
      </c>
    </row>
    <row r="1453" spans="2:3">
      <c r="B1453" s="412" t="s">
        <v>1712</v>
      </c>
      <c r="C1453" s="1110">
        <v>13.821154278217543</v>
      </c>
    </row>
    <row r="1454" spans="2:3">
      <c r="B1454" s="412" t="s">
        <v>1713</v>
      </c>
      <c r="C1454" s="1110">
        <v>13.821154278217543</v>
      </c>
    </row>
    <row r="1455" spans="2:3">
      <c r="B1455" s="412" t="s">
        <v>1714</v>
      </c>
      <c r="C1455" s="1110">
        <v>13.821154278217543</v>
      </c>
    </row>
    <row r="1456" spans="2:3">
      <c r="B1456" s="412" t="s">
        <v>1715</v>
      </c>
      <c r="C1456" s="1110">
        <v>13.821154278217543</v>
      </c>
    </row>
    <row r="1457" spans="2:3">
      <c r="B1457" s="412" t="s">
        <v>1716</v>
      </c>
      <c r="C1457" s="1110">
        <v>13.821154278217543</v>
      </c>
    </row>
    <row r="1458" spans="2:3">
      <c r="B1458" s="412" t="s">
        <v>1717</v>
      </c>
      <c r="C1458" s="1110">
        <v>13.821154278217543</v>
      </c>
    </row>
    <row r="1459" spans="2:3">
      <c r="B1459" s="412" t="s">
        <v>1718</v>
      </c>
      <c r="C1459" s="1110">
        <v>13.821154278217543</v>
      </c>
    </row>
    <row r="1460" spans="2:3">
      <c r="B1460" s="412" t="s">
        <v>1719</v>
      </c>
      <c r="C1460" s="1110">
        <v>13.821154278217543</v>
      </c>
    </row>
    <row r="1461" spans="2:3">
      <c r="B1461" s="412" t="s">
        <v>1720</v>
      </c>
      <c r="C1461" s="1110">
        <v>13.821154278217543</v>
      </c>
    </row>
    <row r="1462" spans="2:3">
      <c r="B1462" s="412" t="s">
        <v>1721</v>
      </c>
      <c r="C1462" s="1110">
        <v>13.821154278217543</v>
      </c>
    </row>
    <row r="1463" spans="2:3">
      <c r="B1463" s="412" t="s">
        <v>1722</v>
      </c>
      <c r="C1463" s="1110">
        <v>13.821154278217543</v>
      </c>
    </row>
    <row r="1464" spans="2:3">
      <c r="B1464" s="412" t="s">
        <v>1723</v>
      </c>
      <c r="C1464" s="1110">
        <v>13.821154278217543</v>
      </c>
    </row>
    <row r="1465" spans="2:3">
      <c r="B1465" s="412" t="s">
        <v>1724</v>
      </c>
      <c r="C1465" s="1110">
        <v>13.821154278217543</v>
      </c>
    </row>
    <row r="1466" spans="2:3">
      <c r="B1466" s="412" t="s">
        <v>1725</v>
      </c>
      <c r="C1466" s="1110">
        <v>13.821154278217543</v>
      </c>
    </row>
    <row r="1467" spans="2:3">
      <c r="B1467" s="412" t="s">
        <v>1726</v>
      </c>
      <c r="C1467" s="1110">
        <v>13.821154278217543</v>
      </c>
    </row>
    <row r="1468" spans="2:3">
      <c r="B1468" s="412" t="s">
        <v>1727</v>
      </c>
      <c r="C1468" s="1110">
        <v>13.821154278217543</v>
      </c>
    </row>
    <row r="1469" spans="2:3">
      <c r="B1469" s="412" t="s">
        <v>1728</v>
      </c>
      <c r="C1469" s="1110">
        <v>13.821154278217543</v>
      </c>
    </row>
    <row r="1470" spans="2:3">
      <c r="B1470" s="412" t="s">
        <v>1729</v>
      </c>
      <c r="C1470" s="1110">
        <v>13.821154278217543</v>
      </c>
    </row>
    <row r="1471" spans="2:3">
      <c r="B1471" s="412" t="s">
        <v>1730</v>
      </c>
      <c r="C1471" s="1110">
        <v>13.821154278217543</v>
      </c>
    </row>
    <row r="1472" spans="2:3">
      <c r="B1472" s="412" t="s">
        <v>1731</v>
      </c>
      <c r="C1472" s="1110">
        <v>13.821154278217543</v>
      </c>
    </row>
    <row r="1473" spans="2:3">
      <c r="B1473" s="412" t="s">
        <v>1732</v>
      </c>
      <c r="C1473" s="1110">
        <v>13.821154278217543</v>
      </c>
    </row>
    <row r="1474" spans="2:3">
      <c r="B1474" s="412" t="s">
        <v>1733</v>
      </c>
      <c r="C1474" s="1110">
        <v>13.821154278217543</v>
      </c>
    </row>
    <row r="1475" spans="2:3">
      <c r="B1475" s="412" t="s">
        <v>1734</v>
      </c>
      <c r="C1475" s="1110">
        <v>13.821154278217543</v>
      </c>
    </row>
    <row r="1476" spans="2:3">
      <c r="B1476" s="412" t="s">
        <v>1735</v>
      </c>
      <c r="C1476" s="1110">
        <v>13.821154278217543</v>
      </c>
    </row>
    <row r="1477" spans="2:3">
      <c r="B1477" s="412" t="s">
        <v>1736</v>
      </c>
      <c r="C1477" s="1110">
        <v>13.821154278217543</v>
      </c>
    </row>
    <row r="1478" spans="2:3">
      <c r="B1478" s="412" t="s">
        <v>1737</v>
      </c>
      <c r="C1478" s="1110">
        <v>13.821154278217543</v>
      </c>
    </row>
    <row r="1479" spans="2:3">
      <c r="B1479" s="412" t="s">
        <v>1738</v>
      </c>
      <c r="C1479" s="1110">
        <v>13.821154278217543</v>
      </c>
    </row>
    <row r="1480" spans="2:3">
      <c r="B1480" s="412" t="s">
        <v>1739</v>
      </c>
      <c r="C1480" s="1110">
        <v>13.821154278217543</v>
      </c>
    </row>
    <row r="1481" spans="2:3">
      <c r="B1481" s="412" t="s">
        <v>1740</v>
      </c>
      <c r="C1481" s="1110">
        <v>13.821154278217543</v>
      </c>
    </row>
    <row r="1482" spans="2:3">
      <c r="B1482" s="412" t="s">
        <v>1741</v>
      </c>
      <c r="C1482" s="1110">
        <v>13.821154278217543</v>
      </c>
    </row>
    <row r="1483" spans="2:3">
      <c r="B1483" s="412" t="s">
        <v>1742</v>
      </c>
      <c r="C1483" s="1110">
        <v>13.821154278217543</v>
      </c>
    </row>
    <row r="1484" spans="2:3">
      <c r="B1484" s="412" t="s">
        <v>1743</v>
      </c>
      <c r="C1484" s="1110">
        <v>13.821154278217543</v>
      </c>
    </row>
    <row r="1485" spans="2:3">
      <c r="B1485" s="412" t="s">
        <v>1744</v>
      </c>
      <c r="C1485" s="1110">
        <v>13.821154278217543</v>
      </c>
    </row>
    <row r="1486" spans="2:3">
      <c r="B1486" s="412" t="s">
        <v>1745</v>
      </c>
      <c r="C1486" s="1110">
        <v>13.821154278217543</v>
      </c>
    </row>
    <row r="1487" spans="2:3">
      <c r="B1487" s="412" t="s">
        <v>1746</v>
      </c>
      <c r="C1487" s="1110">
        <v>13.821154278217543</v>
      </c>
    </row>
    <row r="1488" spans="2:3">
      <c r="B1488" s="412" t="s">
        <v>1747</v>
      </c>
      <c r="C1488" s="1110">
        <v>13.821154278217543</v>
      </c>
    </row>
    <row r="1489" spans="2:3">
      <c r="B1489" s="412" t="s">
        <v>1748</v>
      </c>
      <c r="C1489" s="1110">
        <v>13.821154278217543</v>
      </c>
    </row>
    <row r="1490" spans="2:3">
      <c r="B1490" s="412" t="s">
        <v>1749</v>
      </c>
      <c r="C1490" s="1110">
        <v>13.821154278217543</v>
      </c>
    </row>
    <row r="1491" spans="2:3">
      <c r="B1491" s="412" t="s">
        <v>1750</v>
      </c>
      <c r="C1491" s="1110">
        <v>13.821154278217543</v>
      </c>
    </row>
    <row r="1492" spans="2:3">
      <c r="B1492" s="412" t="s">
        <v>1751</v>
      </c>
      <c r="C1492" s="1110">
        <v>13.821154278217543</v>
      </c>
    </row>
    <row r="1493" spans="2:3">
      <c r="B1493" s="412" t="s">
        <v>1752</v>
      </c>
      <c r="C1493" s="1110">
        <v>13.821154278217543</v>
      </c>
    </row>
    <row r="1494" spans="2:3">
      <c r="B1494" s="412" t="s">
        <v>1753</v>
      </c>
      <c r="C1494" s="1110">
        <v>13.821154278217543</v>
      </c>
    </row>
    <row r="1495" spans="2:3">
      <c r="B1495" s="412" t="s">
        <v>1754</v>
      </c>
      <c r="C1495" s="1110">
        <v>13.821154278217543</v>
      </c>
    </row>
    <row r="1496" spans="2:3">
      <c r="B1496" s="412" t="s">
        <v>1755</v>
      </c>
      <c r="C1496" s="1110">
        <v>13.821154278217543</v>
      </c>
    </row>
    <row r="1497" spans="2:3">
      <c r="B1497" s="412" t="s">
        <v>1756</v>
      </c>
      <c r="C1497" s="1110">
        <v>13.821154278217543</v>
      </c>
    </row>
    <row r="1498" spans="2:3">
      <c r="B1498" s="412" t="s">
        <v>1757</v>
      </c>
      <c r="C1498" s="1110">
        <v>13.821154278217543</v>
      </c>
    </row>
    <row r="1499" spans="2:3">
      <c r="B1499" s="412" t="s">
        <v>1758</v>
      </c>
      <c r="C1499" s="1110">
        <v>13.821154278217543</v>
      </c>
    </row>
    <row r="1500" spans="2:3">
      <c r="B1500" s="412" t="s">
        <v>1759</v>
      </c>
      <c r="C1500" s="1110">
        <v>13.821154278217543</v>
      </c>
    </row>
    <row r="1501" spans="2:3">
      <c r="B1501" s="412" t="s">
        <v>1760</v>
      </c>
      <c r="C1501" s="1110">
        <v>13.821154278217543</v>
      </c>
    </row>
    <row r="1502" spans="2:3">
      <c r="B1502" s="412" t="s">
        <v>1761</v>
      </c>
      <c r="C1502" s="1110">
        <v>13.821154278217543</v>
      </c>
    </row>
    <row r="1503" spans="2:3">
      <c r="B1503" s="412" t="s">
        <v>1762</v>
      </c>
      <c r="C1503" s="1110">
        <v>13.821154278217543</v>
      </c>
    </row>
    <row r="1504" spans="2:3">
      <c r="B1504" s="412" t="s">
        <v>1763</v>
      </c>
      <c r="C1504" s="1110">
        <v>13.821154278217543</v>
      </c>
    </row>
    <row r="1505" spans="2:3">
      <c r="B1505" s="412" t="s">
        <v>1764</v>
      </c>
      <c r="C1505" s="1110">
        <v>13.821154278217543</v>
      </c>
    </row>
    <row r="1506" spans="2:3">
      <c r="B1506" s="412" t="s">
        <v>1765</v>
      </c>
      <c r="C1506" s="1110">
        <v>13.821154278217543</v>
      </c>
    </row>
    <row r="1507" spans="2:3">
      <c r="B1507" s="412" t="s">
        <v>1766</v>
      </c>
      <c r="C1507" s="1110">
        <v>13.821154278217543</v>
      </c>
    </row>
    <row r="1508" spans="2:3">
      <c r="B1508" s="412" t="s">
        <v>1767</v>
      </c>
      <c r="C1508" s="1110">
        <v>13.821154278217543</v>
      </c>
    </row>
    <row r="1509" spans="2:3">
      <c r="B1509" s="412" t="s">
        <v>1768</v>
      </c>
      <c r="C1509" s="1110">
        <v>13.821154278217543</v>
      </c>
    </row>
    <row r="1510" spans="2:3">
      <c r="B1510" s="412" t="s">
        <v>1769</v>
      </c>
      <c r="C1510" s="1110">
        <v>13.821154278217543</v>
      </c>
    </row>
    <row r="1511" spans="2:3">
      <c r="B1511" s="412" t="s">
        <v>1770</v>
      </c>
      <c r="C1511" s="1110">
        <v>13.821154278217543</v>
      </c>
    </row>
    <row r="1512" spans="2:3">
      <c r="B1512" s="412" t="s">
        <v>1771</v>
      </c>
      <c r="C1512" s="1110">
        <v>13.821154278217543</v>
      </c>
    </row>
    <row r="1513" spans="2:3">
      <c r="B1513" s="412" t="s">
        <v>1772</v>
      </c>
      <c r="C1513" s="1110">
        <v>13.821154278217543</v>
      </c>
    </row>
    <row r="1514" spans="2:3">
      <c r="B1514" s="412" t="s">
        <v>1773</v>
      </c>
      <c r="C1514" s="1110">
        <v>13.821154278217543</v>
      </c>
    </row>
    <row r="1515" spans="2:3">
      <c r="B1515" s="412" t="s">
        <v>1774</v>
      </c>
      <c r="C1515" s="1110">
        <v>13.821154278217543</v>
      </c>
    </row>
    <row r="1516" spans="2:3">
      <c r="B1516" s="412" t="s">
        <v>1775</v>
      </c>
      <c r="C1516" s="1110">
        <v>13.821154278217543</v>
      </c>
    </row>
    <row r="1517" spans="2:3">
      <c r="B1517" s="412" t="s">
        <v>1776</v>
      </c>
      <c r="C1517" s="1110">
        <v>13.821154278217543</v>
      </c>
    </row>
    <row r="1518" spans="2:3">
      <c r="B1518" s="412" t="s">
        <v>1777</v>
      </c>
      <c r="C1518" s="1110">
        <v>13.821154278217543</v>
      </c>
    </row>
    <row r="1519" spans="2:3">
      <c r="B1519" s="412" t="s">
        <v>1778</v>
      </c>
      <c r="C1519" s="1110">
        <v>13.821154278217543</v>
      </c>
    </row>
    <row r="1520" spans="2:3">
      <c r="B1520" s="412" t="s">
        <v>1779</v>
      </c>
      <c r="C1520" s="1110">
        <v>13.821154278217543</v>
      </c>
    </row>
    <row r="1521" spans="2:3">
      <c r="B1521" s="412" t="s">
        <v>1780</v>
      </c>
      <c r="C1521" s="1110">
        <v>13.821154278217543</v>
      </c>
    </row>
    <row r="1522" spans="2:3">
      <c r="B1522" s="412" t="s">
        <v>1781</v>
      </c>
      <c r="C1522" s="1110">
        <v>13.821154278217543</v>
      </c>
    </row>
    <row r="1523" spans="2:3">
      <c r="B1523" s="412" t="s">
        <v>1782</v>
      </c>
      <c r="C1523" s="1110">
        <v>13.821154278217543</v>
      </c>
    </row>
    <row r="1524" spans="2:3">
      <c r="B1524" s="412" t="s">
        <v>1783</v>
      </c>
      <c r="C1524" s="1110">
        <v>13.821154278217543</v>
      </c>
    </row>
    <row r="1525" spans="2:3">
      <c r="B1525" s="412" t="s">
        <v>1784</v>
      </c>
      <c r="C1525" s="1110">
        <v>13.821154278217543</v>
      </c>
    </row>
    <row r="1526" spans="2:3">
      <c r="B1526" s="412" t="s">
        <v>1785</v>
      </c>
      <c r="C1526" s="1110">
        <v>13.821154278217543</v>
      </c>
    </row>
    <row r="1527" spans="2:3">
      <c r="B1527" s="412" t="s">
        <v>1786</v>
      </c>
      <c r="C1527" s="1110">
        <v>13.821154278217543</v>
      </c>
    </row>
    <row r="1528" spans="2:3">
      <c r="B1528" s="412" t="s">
        <v>1787</v>
      </c>
      <c r="C1528" s="1110">
        <v>13.821154278217543</v>
      </c>
    </row>
    <row r="1529" spans="2:3">
      <c r="B1529" s="412" t="s">
        <v>1788</v>
      </c>
      <c r="C1529" s="1110">
        <v>13.821154278217543</v>
      </c>
    </row>
    <row r="1530" spans="2:3">
      <c r="B1530" s="412" t="s">
        <v>1789</v>
      </c>
      <c r="C1530" s="1110">
        <v>13.821154278217543</v>
      </c>
    </row>
    <row r="1531" spans="2:3">
      <c r="B1531" s="412" t="s">
        <v>1790</v>
      </c>
      <c r="C1531" s="1110">
        <v>13.821154278217543</v>
      </c>
    </row>
    <row r="1532" spans="2:3">
      <c r="B1532" s="412" t="s">
        <v>1791</v>
      </c>
      <c r="C1532" s="1110">
        <v>13.821154278217543</v>
      </c>
    </row>
    <row r="1533" spans="2:3">
      <c r="B1533" s="412" t="s">
        <v>1792</v>
      </c>
      <c r="C1533" s="1110">
        <v>13.821154278217543</v>
      </c>
    </row>
    <row r="1534" spans="2:3">
      <c r="B1534" s="412" t="s">
        <v>1793</v>
      </c>
      <c r="C1534" s="1110">
        <v>13.821154278217543</v>
      </c>
    </row>
    <row r="1535" spans="2:3">
      <c r="B1535" s="412" t="s">
        <v>1794</v>
      </c>
      <c r="C1535" s="1110">
        <v>13.821154278217543</v>
      </c>
    </row>
    <row r="1536" spans="2:3">
      <c r="B1536" s="412" t="s">
        <v>1795</v>
      </c>
      <c r="C1536" s="1110">
        <v>13.821154278217543</v>
      </c>
    </row>
    <row r="1537" spans="2:3">
      <c r="B1537" s="412" t="s">
        <v>1796</v>
      </c>
      <c r="C1537" s="1110">
        <v>13.821154278217543</v>
      </c>
    </row>
    <row r="1538" spans="2:3">
      <c r="B1538" s="412" t="s">
        <v>1797</v>
      </c>
      <c r="C1538" s="1110">
        <v>13.821154278217543</v>
      </c>
    </row>
    <row r="1539" spans="2:3">
      <c r="B1539" s="412" t="s">
        <v>1798</v>
      </c>
      <c r="C1539" s="1110">
        <v>13.821154278217543</v>
      </c>
    </row>
    <row r="1540" spans="2:3">
      <c r="B1540" s="412" t="s">
        <v>1799</v>
      </c>
      <c r="C1540" s="1110">
        <v>13.821154278217543</v>
      </c>
    </row>
    <row r="1541" spans="2:3">
      <c r="B1541" s="412" t="s">
        <v>1800</v>
      </c>
      <c r="C1541" s="1110">
        <v>13.821154278217543</v>
      </c>
    </row>
    <row r="1542" spans="2:3">
      <c r="B1542" s="412" t="s">
        <v>1801</v>
      </c>
      <c r="C1542" s="1110">
        <v>13.821154278217543</v>
      </c>
    </row>
    <row r="1543" spans="2:3">
      <c r="B1543" s="412" t="s">
        <v>1802</v>
      </c>
      <c r="C1543" s="1110">
        <v>13.821154278217543</v>
      </c>
    </row>
    <row r="1544" spans="2:3">
      <c r="B1544" s="412" t="s">
        <v>1803</v>
      </c>
      <c r="C1544" s="1110">
        <v>13.821154278217543</v>
      </c>
    </row>
    <row r="1545" spans="2:3">
      <c r="B1545" s="412" t="s">
        <v>1804</v>
      </c>
      <c r="C1545" s="1110">
        <v>13.821154278217543</v>
      </c>
    </row>
    <row r="1546" spans="2:3">
      <c r="B1546" s="412" t="s">
        <v>1805</v>
      </c>
      <c r="C1546" s="1110">
        <v>13.821154278217543</v>
      </c>
    </row>
    <row r="1547" spans="2:3">
      <c r="B1547" s="412" t="s">
        <v>1806</v>
      </c>
      <c r="C1547" s="1110">
        <v>13.821154278217543</v>
      </c>
    </row>
    <row r="1548" spans="2:3">
      <c r="B1548" s="412" t="s">
        <v>1807</v>
      </c>
      <c r="C1548" s="1110">
        <v>13.821154278217543</v>
      </c>
    </row>
    <row r="1549" spans="2:3">
      <c r="B1549" s="412" t="s">
        <v>1808</v>
      </c>
      <c r="C1549" s="1110">
        <v>13.821154278217543</v>
      </c>
    </row>
    <row r="1550" spans="2:3">
      <c r="B1550" s="412" t="s">
        <v>1809</v>
      </c>
      <c r="C1550" s="1110">
        <v>13.821154278217543</v>
      </c>
    </row>
    <row r="1551" spans="2:3">
      <c r="B1551" s="412" t="s">
        <v>1810</v>
      </c>
      <c r="C1551" s="1110">
        <v>13.821154278217543</v>
      </c>
    </row>
    <row r="1552" spans="2:3">
      <c r="B1552" s="412" t="s">
        <v>1811</v>
      </c>
      <c r="C1552" s="1110">
        <v>13.821154278217543</v>
      </c>
    </row>
    <row r="1553" spans="2:3">
      <c r="B1553" s="412" t="s">
        <v>1812</v>
      </c>
      <c r="C1553" s="1110">
        <v>13.821154278217543</v>
      </c>
    </row>
    <row r="1554" spans="2:3">
      <c r="B1554" s="412" t="s">
        <v>1813</v>
      </c>
      <c r="C1554" s="1110">
        <v>13.821154278217543</v>
      </c>
    </row>
    <row r="1555" spans="2:3">
      <c r="B1555" s="412" t="s">
        <v>1814</v>
      </c>
      <c r="C1555" s="1110">
        <v>13.821154278217543</v>
      </c>
    </row>
    <row r="1556" spans="2:3">
      <c r="B1556" s="412" t="s">
        <v>1815</v>
      </c>
      <c r="C1556" s="1110">
        <v>13.821154278217543</v>
      </c>
    </row>
    <row r="1557" spans="2:3">
      <c r="B1557" s="412" t="s">
        <v>1816</v>
      </c>
      <c r="C1557" s="1110">
        <v>13.821154278217543</v>
      </c>
    </row>
    <row r="1558" spans="2:3">
      <c r="B1558" s="412" t="s">
        <v>1817</v>
      </c>
      <c r="C1558" s="1110">
        <v>13.821154278217543</v>
      </c>
    </row>
    <row r="1559" spans="2:3">
      <c r="B1559" s="412" t="s">
        <v>1818</v>
      </c>
      <c r="C1559" s="1110">
        <v>13.821154278217543</v>
      </c>
    </row>
    <row r="1560" spans="2:3">
      <c r="B1560" s="412" t="s">
        <v>1819</v>
      </c>
      <c r="C1560" s="1110">
        <v>13.821154278217543</v>
      </c>
    </row>
    <row r="1561" spans="2:3">
      <c r="B1561" s="412" t="s">
        <v>1820</v>
      </c>
      <c r="C1561" s="1110">
        <v>13.821154278217543</v>
      </c>
    </row>
    <row r="1562" spans="2:3">
      <c r="B1562" s="412" t="s">
        <v>1821</v>
      </c>
      <c r="C1562" s="1110">
        <v>13.821154278217543</v>
      </c>
    </row>
    <row r="1563" spans="2:3">
      <c r="B1563" s="412" t="s">
        <v>1822</v>
      </c>
      <c r="C1563" s="1110">
        <v>13.821154278217543</v>
      </c>
    </row>
    <row r="1564" spans="2:3">
      <c r="B1564" s="412" t="s">
        <v>1823</v>
      </c>
      <c r="C1564" s="1110">
        <v>13.821154278217543</v>
      </c>
    </row>
    <row r="1565" spans="2:3">
      <c r="B1565" s="412" t="s">
        <v>1824</v>
      </c>
      <c r="C1565" s="1110">
        <v>13.821154278217543</v>
      </c>
    </row>
    <row r="1566" spans="2:3">
      <c r="B1566" s="412" t="s">
        <v>1825</v>
      </c>
      <c r="C1566" s="1110">
        <v>13.821154278217543</v>
      </c>
    </row>
    <row r="1567" spans="2:3">
      <c r="B1567" s="412" t="s">
        <v>1826</v>
      </c>
      <c r="C1567" s="1110">
        <v>13.821154278217543</v>
      </c>
    </row>
    <row r="1568" spans="2:3">
      <c r="B1568" s="412" t="s">
        <v>1827</v>
      </c>
      <c r="C1568" s="1110">
        <v>13.821154278217543</v>
      </c>
    </row>
    <row r="1569" spans="2:3">
      <c r="B1569" s="412" t="s">
        <v>1828</v>
      </c>
      <c r="C1569" s="1110">
        <v>11.714334012402938</v>
      </c>
    </row>
    <row r="1570" spans="2:3">
      <c r="B1570" s="412" t="s">
        <v>1829</v>
      </c>
      <c r="C1570" s="1110">
        <v>11.714334012402938</v>
      </c>
    </row>
    <row r="1571" spans="2:3">
      <c r="B1571" s="412" t="s">
        <v>1830</v>
      </c>
      <c r="C1571" s="1110">
        <v>11.714334012402938</v>
      </c>
    </row>
    <row r="1572" spans="2:3">
      <c r="B1572" s="412" t="s">
        <v>1831</v>
      </c>
      <c r="C1572" s="1110">
        <v>11.714334012402938</v>
      </c>
    </row>
    <row r="1573" spans="2:3">
      <c r="B1573" s="412" t="s">
        <v>1832</v>
      </c>
      <c r="C1573" s="1110">
        <v>11.714334012402938</v>
      </c>
    </row>
    <row r="1574" spans="2:3">
      <c r="B1574" s="412" t="s">
        <v>1833</v>
      </c>
      <c r="C1574" s="1110">
        <v>11.714334012402938</v>
      </c>
    </row>
    <row r="1575" spans="2:3">
      <c r="B1575" s="412" t="s">
        <v>1834</v>
      </c>
      <c r="C1575" s="1110">
        <v>11.714334012402938</v>
      </c>
    </row>
    <row r="1576" spans="2:3">
      <c r="B1576" s="412" t="s">
        <v>1835</v>
      </c>
      <c r="C1576" s="1110">
        <v>11.714334012402938</v>
      </c>
    </row>
    <row r="1577" spans="2:3">
      <c r="B1577" s="412" t="s">
        <v>1836</v>
      </c>
      <c r="C1577" s="1110">
        <v>11.863989753463171</v>
      </c>
    </row>
    <row r="1578" spans="2:3">
      <c r="B1578" s="412" t="s">
        <v>1837</v>
      </c>
      <c r="C1578" s="1110">
        <v>11.714334012402938</v>
      </c>
    </row>
    <row r="1579" spans="2:3">
      <c r="B1579" s="412" t="s">
        <v>1838</v>
      </c>
      <c r="C1579" s="1110">
        <v>11.714334012402938</v>
      </c>
    </row>
    <row r="1580" spans="2:3">
      <c r="B1580" s="412" t="s">
        <v>1839</v>
      </c>
      <c r="C1580" s="1110">
        <v>11.714334012402938</v>
      </c>
    </row>
    <row r="1581" spans="2:3">
      <c r="B1581" s="412" t="s">
        <v>1840</v>
      </c>
      <c r="C1581" s="1110">
        <v>11.714334012402938</v>
      </c>
    </row>
    <row r="1582" spans="2:3">
      <c r="B1582" s="412" t="s">
        <v>1841</v>
      </c>
      <c r="C1582" s="1110">
        <v>12.133080897533791</v>
      </c>
    </row>
    <row r="1583" spans="2:3">
      <c r="B1583" s="412" t="s">
        <v>1842</v>
      </c>
      <c r="C1583" s="1110">
        <v>12.123786714239699</v>
      </c>
    </row>
    <row r="1584" spans="2:3">
      <c r="B1584" s="412" t="s">
        <v>1843</v>
      </c>
      <c r="C1584" s="1110">
        <v>11.714334012402938</v>
      </c>
    </row>
    <row r="1585" spans="2:3">
      <c r="B1585" s="412" t="s">
        <v>1844</v>
      </c>
      <c r="C1585" s="1110">
        <v>13.779538075436019</v>
      </c>
    </row>
    <row r="1586" spans="2:3">
      <c r="B1586" s="412" t="s">
        <v>1845</v>
      </c>
      <c r="C1586" s="1110">
        <v>12.456841849139684</v>
      </c>
    </row>
    <row r="1587" spans="2:3">
      <c r="B1587" s="412" t="s">
        <v>1846</v>
      </c>
      <c r="C1587" s="1110">
        <v>11.714334012402938</v>
      </c>
    </row>
    <row r="1588" spans="2:3">
      <c r="B1588" s="412" t="s">
        <v>1847</v>
      </c>
      <c r="C1588" s="1110">
        <v>11.714334012402938</v>
      </c>
    </row>
    <row r="1589" spans="2:3">
      <c r="B1589" s="412" t="s">
        <v>1848</v>
      </c>
      <c r="C1589" s="1110">
        <v>11.714334012402938</v>
      </c>
    </row>
    <row r="1590" spans="2:3">
      <c r="B1590" s="412" t="s">
        <v>1849</v>
      </c>
      <c r="C1590" s="1110">
        <v>11.79476034620167</v>
      </c>
    </row>
    <row r="1591" spans="2:3">
      <c r="B1591" s="412" t="s">
        <v>1850</v>
      </c>
      <c r="C1591" s="1110">
        <v>11.714334012402938</v>
      </c>
    </row>
    <row r="1592" spans="2:3">
      <c r="B1592" s="412" t="s">
        <v>1851</v>
      </c>
      <c r="C1592" s="1110">
        <v>11.714334012402938</v>
      </c>
    </row>
    <row r="1593" spans="2:3">
      <c r="B1593" s="412" t="s">
        <v>1852</v>
      </c>
      <c r="C1593" s="1110">
        <v>11.714334012402938</v>
      </c>
    </row>
    <row r="1594" spans="2:3">
      <c r="B1594" s="412" t="s">
        <v>1853</v>
      </c>
      <c r="C1594" s="1110">
        <v>11.714334012402938</v>
      </c>
    </row>
    <row r="1595" spans="2:3">
      <c r="B1595" s="412" t="s">
        <v>1854</v>
      </c>
      <c r="C1595" s="1110">
        <v>11.714334012402938</v>
      </c>
    </row>
    <row r="1596" spans="2:3">
      <c r="B1596" s="412" t="s">
        <v>1855</v>
      </c>
      <c r="C1596" s="1110">
        <v>11.714334012402938</v>
      </c>
    </row>
    <row r="1597" spans="2:3">
      <c r="B1597" s="412" t="s">
        <v>1856</v>
      </c>
      <c r="C1597" s="1110">
        <v>11.714334012402938</v>
      </c>
    </row>
    <row r="1598" spans="2:3">
      <c r="B1598" s="412" t="s">
        <v>1857</v>
      </c>
      <c r="C1598" s="1110">
        <v>11.714334012402938</v>
      </c>
    </row>
    <row r="1599" spans="2:3">
      <c r="B1599" s="412" t="s">
        <v>1858</v>
      </c>
      <c r="C1599" s="1110">
        <v>11.714334012402938</v>
      </c>
    </row>
    <row r="1600" spans="2:3">
      <c r="B1600" s="412" t="s">
        <v>1859</v>
      </c>
      <c r="C1600" s="1110">
        <v>11.714334012402938</v>
      </c>
    </row>
    <row r="1601" spans="2:3">
      <c r="B1601" s="412" t="s">
        <v>1860</v>
      </c>
      <c r="C1601" s="1110">
        <v>13.821154278217543</v>
      </c>
    </row>
    <row r="1602" spans="2:3">
      <c r="B1602" s="412" t="s">
        <v>1861</v>
      </c>
      <c r="C1602" s="1110">
        <v>13.821154278217543</v>
      </c>
    </row>
    <row r="1603" spans="2:3">
      <c r="B1603" s="412" t="s">
        <v>1862</v>
      </c>
      <c r="C1603" s="1110">
        <v>13.821154278217543</v>
      </c>
    </row>
    <row r="1604" spans="2:3">
      <c r="B1604" s="412" t="s">
        <v>1863</v>
      </c>
      <c r="C1604" s="1110">
        <v>13.821154278217543</v>
      </c>
    </row>
    <row r="1605" spans="2:3">
      <c r="B1605" s="412" t="s">
        <v>1864</v>
      </c>
      <c r="C1605" s="1110">
        <v>13.821154278217543</v>
      </c>
    </row>
    <row r="1606" spans="2:3">
      <c r="B1606" s="412" t="s">
        <v>1865</v>
      </c>
      <c r="C1606" s="1110">
        <v>13.821154278217543</v>
      </c>
    </row>
    <row r="1607" spans="2:3" ht="17" thickBot="1">
      <c r="B1607" s="413" t="s">
        <v>1866</v>
      </c>
      <c r="C1607" s="655">
        <v>13.821154278217543</v>
      </c>
    </row>
    <row r="1608" spans="2:3">
      <c r="B1608" s="415" t="s">
        <v>1867</v>
      </c>
      <c r="C1608" s="1109">
        <v>11.714334012402938</v>
      </c>
    </row>
    <row r="1609" spans="2:3">
      <c r="B1609" s="412" t="s">
        <v>1868</v>
      </c>
      <c r="C1609" s="1110">
        <v>11.714334012402938</v>
      </c>
    </row>
    <row r="1610" spans="2:3">
      <c r="B1610" s="412" t="s">
        <v>1869</v>
      </c>
      <c r="C1610" s="1110">
        <v>11.714334012402938</v>
      </c>
    </row>
    <row r="1611" spans="2:3">
      <c r="B1611" s="412" t="s">
        <v>1870</v>
      </c>
      <c r="C1611" s="1110">
        <v>11.714334012402938</v>
      </c>
    </row>
    <row r="1612" spans="2:3">
      <c r="B1612" s="412" t="s">
        <v>1871</v>
      </c>
      <c r="C1612" s="1110">
        <v>11.714334012402938</v>
      </c>
    </row>
    <row r="1613" spans="2:3">
      <c r="B1613" s="412" t="s">
        <v>1872</v>
      </c>
      <c r="C1613" s="1110">
        <v>11.714334012402938</v>
      </c>
    </row>
    <row r="1614" spans="2:3">
      <c r="B1614" s="412" t="s">
        <v>1873</v>
      </c>
      <c r="C1614" s="1110">
        <v>11.714334012402938</v>
      </c>
    </row>
    <row r="1615" spans="2:3">
      <c r="B1615" s="412" t="s">
        <v>1874</v>
      </c>
      <c r="C1615" s="1110">
        <v>11.714334012402938</v>
      </c>
    </row>
    <row r="1616" spans="2:3">
      <c r="B1616" s="412" t="s">
        <v>1875</v>
      </c>
      <c r="C1616" s="1110">
        <v>11.714334012402938</v>
      </c>
    </row>
    <row r="1617" spans="2:3">
      <c r="B1617" s="412" t="s">
        <v>1876</v>
      </c>
      <c r="C1617" s="1110">
        <v>11.714334012402938</v>
      </c>
    </row>
    <row r="1618" spans="2:3">
      <c r="B1618" s="412" t="s">
        <v>1877</v>
      </c>
      <c r="C1618" s="1110">
        <v>11.714334012402938</v>
      </c>
    </row>
    <row r="1619" spans="2:3">
      <c r="B1619" s="412" t="s">
        <v>1878</v>
      </c>
      <c r="C1619" s="1110">
        <v>11.714334012402938</v>
      </c>
    </row>
    <row r="1620" spans="2:3">
      <c r="B1620" s="412" t="s">
        <v>1879</v>
      </c>
      <c r="C1620" s="1110">
        <v>11.714334012402938</v>
      </c>
    </row>
    <row r="1621" spans="2:3">
      <c r="B1621" s="412" t="s">
        <v>1880</v>
      </c>
      <c r="C1621" s="1110">
        <v>11.716070879893305</v>
      </c>
    </row>
    <row r="1622" spans="2:3">
      <c r="B1622" s="412" t="s">
        <v>1881</v>
      </c>
      <c r="C1622" s="1110">
        <v>11.714334012402938</v>
      </c>
    </row>
    <row r="1623" spans="2:3">
      <c r="B1623" s="412" t="s">
        <v>1882</v>
      </c>
      <c r="C1623" s="1110">
        <v>11.714334012402938</v>
      </c>
    </row>
    <row r="1624" spans="2:3">
      <c r="B1624" s="412" t="s">
        <v>1883</v>
      </c>
      <c r="C1624" s="1110">
        <v>11.714334012402938</v>
      </c>
    </row>
    <row r="1625" spans="2:3">
      <c r="B1625" s="412" t="s">
        <v>1884</v>
      </c>
      <c r="C1625" s="1110">
        <v>11.714334012402938</v>
      </c>
    </row>
    <row r="1626" spans="2:3">
      <c r="B1626" s="412" t="s">
        <v>1885</v>
      </c>
      <c r="C1626" s="1110">
        <v>11.714334012402938</v>
      </c>
    </row>
    <row r="1627" spans="2:3">
      <c r="B1627" s="412" t="s">
        <v>1886</v>
      </c>
      <c r="C1627" s="1110">
        <v>11.714334012402938</v>
      </c>
    </row>
    <row r="1628" spans="2:3">
      <c r="B1628" s="412" t="s">
        <v>1887</v>
      </c>
      <c r="C1628" s="1110">
        <v>11.714334012402938</v>
      </c>
    </row>
    <row r="1629" spans="2:3">
      <c r="B1629" s="412" t="s">
        <v>1888</v>
      </c>
      <c r="C1629" s="1110">
        <v>11.714334012402938</v>
      </c>
    </row>
    <row r="1630" spans="2:3">
      <c r="B1630" s="412" t="s">
        <v>1889</v>
      </c>
      <c r="C1630" s="1110">
        <v>11.714334012402938</v>
      </c>
    </row>
    <row r="1631" spans="2:3">
      <c r="B1631" s="412" t="s">
        <v>1890</v>
      </c>
      <c r="C1631" s="1110">
        <v>11.714334012402938</v>
      </c>
    </row>
    <row r="1632" spans="2:3">
      <c r="B1632" s="412" t="s">
        <v>1891</v>
      </c>
      <c r="C1632" s="1110">
        <v>11.714334012402938</v>
      </c>
    </row>
    <row r="1633" spans="2:3">
      <c r="B1633" s="412" t="s">
        <v>1892</v>
      </c>
      <c r="C1633" s="1110">
        <v>11.714334012402938</v>
      </c>
    </row>
    <row r="1634" spans="2:3">
      <c r="B1634" s="412" t="s">
        <v>1893</v>
      </c>
      <c r="C1634" s="1110">
        <v>11.714334012402938</v>
      </c>
    </row>
    <row r="1635" spans="2:3">
      <c r="B1635" s="412" t="s">
        <v>1894</v>
      </c>
      <c r="C1635" s="1110">
        <v>11.714334012402938</v>
      </c>
    </row>
    <row r="1636" spans="2:3">
      <c r="B1636" s="412" t="s">
        <v>1895</v>
      </c>
      <c r="C1636" s="1110">
        <v>11.714334012402938</v>
      </c>
    </row>
    <row r="1637" spans="2:3">
      <c r="B1637" s="412" t="s">
        <v>1896</v>
      </c>
      <c r="C1637" s="1110">
        <v>11.714334012402938</v>
      </c>
    </row>
    <row r="1638" spans="2:3">
      <c r="B1638" s="412" t="s">
        <v>1897</v>
      </c>
      <c r="C1638" s="1110">
        <v>11.714334012402938</v>
      </c>
    </row>
    <row r="1639" spans="2:3">
      <c r="B1639" s="412" t="s">
        <v>1898</v>
      </c>
      <c r="C1639" s="1110">
        <v>11.714334012402938</v>
      </c>
    </row>
    <row r="1640" spans="2:3">
      <c r="B1640" s="412" t="s">
        <v>1899</v>
      </c>
      <c r="C1640" s="1110">
        <v>11.714334012402938</v>
      </c>
    </row>
    <row r="1641" spans="2:3">
      <c r="B1641" s="412" t="s">
        <v>1900</v>
      </c>
      <c r="C1641" s="1110">
        <v>11.714334012402938</v>
      </c>
    </row>
    <row r="1642" spans="2:3">
      <c r="B1642" s="412" t="s">
        <v>1901</v>
      </c>
      <c r="C1642" s="1110">
        <v>11.714334012402938</v>
      </c>
    </row>
    <row r="1643" spans="2:3">
      <c r="B1643" s="412" t="s">
        <v>1902</v>
      </c>
      <c r="C1643" s="1110">
        <v>11.714334012402938</v>
      </c>
    </row>
    <row r="1644" spans="2:3">
      <c r="B1644" s="412" t="s">
        <v>1903</v>
      </c>
      <c r="C1644" s="1110">
        <v>11.714334012402938</v>
      </c>
    </row>
    <row r="1645" spans="2:3">
      <c r="B1645" s="412" t="s">
        <v>1904</v>
      </c>
      <c r="C1645" s="1110">
        <v>11.714334012402938</v>
      </c>
    </row>
    <row r="1646" spans="2:3">
      <c r="B1646" s="412" t="s">
        <v>1905</v>
      </c>
      <c r="C1646" s="1110">
        <v>11.714334012402938</v>
      </c>
    </row>
    <row r="1647" spans="2:3">
      <c r="B1647" s="412" t="s">
        <v>1906</v>
      </c>
      <c r="C1647" s="1110">
        <v>11.714334012402938</v>
      </c>
    </row>
    <row r="1648" spans="2:3">
      <c r="B1648" s="412" t="s">
        <v>1907</v>
      </c>
      <c r="C1648" s="1110">
        <v>11.714334012402938</v>
      </c>
    </row>
    <row r="1649" spans="2:3">
      <c r="B1649" s="412" t="s">
        <v>1908</v>
      </c>
      <c r="C1649" s="1110">
        <v>11.714334012402938</v>
      </c>
    </row>
    <row r="1650" spans="2:3">
      <c r="B1650" s="412" t="s">
        <v>1909</v>
      </c>
      <c r="C1650" s="1110">
        <v>11.714334012402938</v>
      </c>
    </row>
    <row r="1651" spans="2:3">
      <c r="B1651" s="412" t="s">
        <v>1910</v>
      </c>
      <c r="C1651" s="1110">
        <v>11.714334012402938</v>
      </c>
    </row>
    <row r="1652" spans="2:3">
      <c r="B1652" s="412" t="s">
        <v>1911</v>
      </c>
      <c r="C1652" s="1110">
        <v>11.714334012402938</v>
      </c>
    </row>
    <row r="1653" spans="2:3">
      <c r="B1653" s="412" t="s">
        <v>1912</v>
      </c>
      <c r="C1653" s="1110">
        <v>11.714334012402938</v>
      </c>
    </row>
    <row r="1654" spans="2:3">
      <c r="B1654" s="412" t="s">
        <v>1913</v>
      </c>
      <c r="C1654" s="1110">
        <v>13.821154278217543</v>
      </c>
    </row>
    <row r="1655" spans="2:3">
      <c r="B1655" s="412" t="s">
        <v>1914</v>
      </c>
      <c r="C1655" s="1110">
        <v>13.821154278217543</v>
      </c>
    </row>
    <row r="1656" spans="2:3">
      <c r="B1656" s="412" t="s">
        <v>1915</v>
      </c>
      <c r="C1656" s="1110">
        <v>13.821154278217543</v>
      </c>
    </row>
    <row r="1657" spans="2:3">
      <c r="B1657" s="412" t="s">
        <v>1916</v>
      </c>
      <c r="C1657" s="1110">
        <v>13.821154278217543</v>
      </c>
    </row>
    <row r="1658" spans="2:3">
      <c r="B1658" s="412" t="s">
        <v>1917</v>
      </c>
      <c r="C1658" s="1110">
        <v>13.821154278217543</v>
      </c>
    </row>
    <row r="1659" spans="2:3">
      <c r="B1659" s="412" t="s">
        <v>1918</v>
      </c>
      <c r="C1659" s="1110">
        <v>13.821154278217543</v>
      </c>
    </row>
    <row r="1660" spans="2:3">
      <c r="B1660" s="412" t="s">
        <v>1919</v>
      </c>
      <c r="C1660" s="1110">
        <v>13.821154278217543</v>
      </c>
    </row>
    <row r="1661" spans="2:3">
      <c r="B1661" s="412" t="s">
        <v>1920</v>
      </c>
      <c r="C1661" s="1110">
        <v>13.821154278217543</v>
      </c>
    </row>
    <row r="1662" spans="2:3">
      <c r="B1662" s="412" t="s">
        <v>1921</v>
      </c>
      <c r="C1662" s="1110">
        <v>13.821154278217543</v>
      </c>
    </row>
    <row r="1663" spans="2:3">
      <c r="B1663" s="412" t="s">
        <v>1922</v>
      </c>
      <c r="C1663" s="1110">
        <v>13.821154278217543</v>
      </c>
    </row>
    <row r="1664" spans="2:3">
      <c r="B1664" s="412" t="s">
        <v>1923</v>
      </c>
      <c r="C1664" s="1110">
        <v>13.821154278217543</v>
      </c>
    </row>
    <row r="1665" spans="2:3">
      <c r="B1665" s="412" t="s">
        <v>1924</v>
      </c>
      <c r="C1665" s="1110">
        <v>13.821154278217543</v>
      </c>
    </row>
    <row r="1666" spans="2:3">
      <c r="B1666" s="412" t="s">
        <v>1925</v>
      </c>
      <c r="C1666" s="1110">
        <v>13.821154278217543</v>
      </c>
    </row>
    <row r="1667" spans="2:3">
      <c r="B1667" s="412" t="s">
        <v>1926</v>
      </c>
      <c r="C1667" s="1110">
        <v>13.821154278217543</v>
      </c>
    </row>
    <row r="1668" spans="2:3">
      <c r="B1668" s="412" t="s">
        <v>1927</v>
      </c>
      <c r="C1668" s="1110">
        <v>13.821154278217543</v>
      </c>
    </row>
    <row r="1669" spans="2:3">
      <c r="B1669" s="412" t="s">
        <v>1928</v>
      </c>
      <c r="C1669" s="1110">
        <v>13.821154278217543</v>
      </c>
    </row>
    <row r="1670" spans="2:3">
      <c r="B1670" s="412" t="s">
        <v>1929</v>
      </c>
      <c r="C1670" s="1110">
        <v>13.821154278217543</v>
      </c>
    </row>
    <row r="1671" spans="2:3">
      <c r="B1671" s="412" t="s">
        <v>1930</v>
      </c>
      <c r="C1671" s="1110">
        <v>13.821154278217543</v>
      </c>
    </row>
    <row r="1672" spans="2:3">
      <c r="B1672" s="412" t="s">
        <v>1931</v>
      </c>
      <c r="C1672" s="1110">
        <v>13.821154278217543</v>
      </c>
    </row>
    <row r="1673" spans="2:3">
      <c r="B1673" s="412" t="s">
        <v>1932</v>
      </c>
      <c r="C1673" s="1110">
        <v>13.821154278217543</v>
      </c>
    </row>
    <row r="1674" spans="2:3">
      <c r="B1674" s="412" t="s">
        <v>1933</v>
      </c>
      <c r="C1674" s="1110">
        <v>13.821154278217543</v>
      </c>
    </row>
    <row r="1675" spans="2:3">
      <c r="B1675" s="412" t="s">
        <v>1934</v>
      </c>
      <c r="C1675" s="1110">
        <v>13.821154278217543</v>
      </c>
    </row>
    <row r="1676" spans="2:3">
      <c r="B1676" s="412" t="s">
        <v>1935</v>
      </c>
      <c r="C1676" s="1110">
        <v>13.821154278217543</v>
      </c>
    </row>
    <row r="1677" spans="2:3">
      <c r="B1677" s="412" t="s">
        <v>1936</v>
      </c>
      <c r="C1677" s="1110">
        <v>13.821154278217543</v>
      </c>
    </row>
    <row r="1678" spans="2:3">
      <c r="B1678" s="412" t="s">
        <v>1937</v>
      </c>
      <c r="C1678" s="1110">
        <v>13.821154278217543</v>
      </c>
    </row>
    <row r="1679" spans="2:3">
      <c r="B1679" s="412" t="s">
        <v>1938</v>
      </c>
      <c r="C1679" s="1110">
        <v>13.821154278217543</v>
      </c>
    </row>
    <row r="1680" spans="2:3">
      <c r="B1680" s="412" t="s">
        <v>1939</v>
      </c>
      <c r="C1680" s="1110">
        <v>13.821154278217543</v>
      </c>
    </row>
    <row r="1681" spans="2:3">
      <c r="B1681" s="412" t="s">
        <v>1940</v>
      </c>
      <c r="C1681" s="1110">
        <v>13.821154278217543</v>
      </c>
    </row>
    <row r="1682" spans="2:3">
      <c r="B1682" s="412" t="s">
        <v>1941</v>
      </c>
      <c r="C1682" s="1110">
        <v>13.821154278217543</v>
      </c>
    </row>
    <row r="1683" spans="2:3">
      <c r="B1683" s="412" t="s">
        <v>1942</v>
      </c>
      <c r="C1683" s="1110">
        <v>13.821154278217543</v>
      </c>
    </row>
    <row r="1684" spans="2:3">
      <c r="B1684" s="412" t="s">
        <v>1943</v>
      </c>
      <c r="C1684" s="1110">
        <v>13.821154278217543</v>
      </c>
    </row>
    <row r="1685" spans="2:3">
      <c r="B1685" s="412" t="s">
        <v>1944</v>
      </c>
      <c r="C1685" s="1110">
        <v>13.821154278217543</v>
      </c>
    </row>
    <row r="1686" spans="2:3">
      <c r="B1686" s="412" t="s">
        <v>1945</v>
      </c>
      <c r="C1686" s="1110">
        <v>13.821154278217543</v>
      </c>
    </row>
    <row r="1687" spans="2:3">
      <c r="B1687" s="412" t="s">
        <v>1946</v>
      </c>
      <c r="C1687" s="1110">
        <v>13.821154278217543</v>
      </c>
    </row>
    <row r="1688" spans="2:3">
      <c r="B1688" s="412" t="s">
        <v>1947</v>
      </c>
      <c r="C1688" s="1110">
        <v>13.821154278217543</v>
      </c>
    </row>
    <row r="1689" spans="2:3">
      <c r="B1689" s="412" t="s">
        <v>1948</v>
      </c>
      <c r="C1689" s="1110">
        <v>13.821154278217543</v>
      </c>
    </row>
    <row r="1690" spans="2:3">
      <c r="B1690" s="412" t="s">
        <v>1949</v>
      </c>
      <c r="C1690" s="1110">
        <v>13.821154278217543</v>
      </c>
    </row>
    <row r="1691" spans="2:3">
      <c r="B1691" s="412" t="s">
        <v>1950</v>
      </c>
      <c r="C1691" s="1110">
        <v>13.821154278217543</v>
      </c>
    </row>
    <row r="1692" spans="2:3">
      <c r="B1692" s="412" t="s">
        <v>1951</v>
      </c>
      <c r="C1692" s="1110">
        <v>13.821154278217543</v>
      </c>
    </row>
    <row r="1693" spans="2:3">
      <c r="B1693" s="412" t="s">
        <v>1952</v>
      </c>
      <c r="C1693" s="1110">
        <v>13.821154278217543</v>
      </c>
    </row>
    <row r="1694" spans="2:3">
      <c r="B1694" s="412" t="s">
        <v>1953</v>
      </c>
      <c r="C1694" s="1110">
        <v>13.821154278217543</v>
      </c>
    </row>
    <row r="1695" spans="2:3">
      <c r="B1695" s="412" t="s">
        <v>1954</v>
      </c>
      <c r="C1695" s="1110">
        <v>13.821154278217543</v>
      </c>
    </row>
    <row r="1696" spans="2:3">
      <c r="B1696" s="412" t="s">
        <v>1955</v>
      </c>
      <c r="C1696" s="1110">
        <v>13.821154278217543</v>
      </c>
    </row>
    <row r="1697" spans="2:3">
      <c r="B1697" s="412" t="s">
        <v>1956</v>
      </c>
      <c r="C1697" s="1110">
        <v>13.821154278217543</v>
      </c>
    </row>
    <row r="1698" spans="2:3">
      <c r="B1698" s="412" t="s">
        <v>1957</v>
      </c>
      <c r="C1698" s="1110">
        <v>13.821154278217543</v>
      </c>
    </row>
    <row r="1699" spans="2:3">
      <c r="B1699" s="412" t="s">
        <v>1958</v>
      </c>
      <c r="C1699" s="1110">
        <v>13.821154278217543</v>
      </c>
    </row>
    <row r="1700" spans="2:3">
      <c r="B1700" s="412" t="s">
        <v>1959</v>
      </c>
      <c r="C1700" s="1110">
        <v>13.821154278217543</v>
      </c>
    </row>
    <row r="1701" spans="2:3">
      <c r="B1701" s="412" t="s">
        <v>1960</v>
      </c>
      <c r="C1701" s="1110">
        <v>13.821154278217543</v>
      </c>
    </row>
    <row r="1702" spans="2:3">
      <c r="B1702" s="412" t="s">
        <v>1961</v>
      </c>
      <c r="C1702" s="1110">
        <v>13.821154278217543</v>
      </c>
    </row>
    <row r="1703" spans="2:3">
      <c r="B1703" s="412" t="s">
        <v>1962</v>
      </c>
      <c r="C1703" s="1110">
        <v>11.714334012402938</v>
      </c>
    </row>
    <row r="1704" spans="2:3">
      <c r="B1704" s="412" t="s">
        <v>1963</v>
      </c>
      <c r="C1704" s="1110">
        <v>11.716299329815079</v>
      </c>
    </row>
    <row r="1705" spans="2:3">
      <c r="B1705" s="412" t="s">
        <v>1964</v>
      </c>
      <c r="C1705" s="1110">
        <v>12.044097184443485</v>
      </c>
    </row>
    <row r="1706" spans="2:3">
      <c r="B1706" s="412" t="s">
        <v>1965</v>
      </c>
      <c r="C1706" s="1110">
        <v>13.818751974607718</v>
      </c>
    </row>
    <row r="1707" spans="2:3">
      <c r="B1707" s="412" t="s">
        <v>1966</v>
      </c>
      <c r="C1707" s="1110">
        <v>11.714334012402938</v>
      </c>
    </row>
    <row r="1708" spans="2:3">
      <c r="B1708" s="412" t="s">
        <v>1967</v>
      </c>
      <c r="C1708" s="1110">
        <v>13.821154278217543</v>
      </c>
    </row>
    <row r="1709" spans="2:3">
      <c r="B1709" s="412" t="s">
        <v>1968</v>
      </c>
      <c r="C1709" s="1110">
        <v>13.821154278217543</v>
      </c>
    </row>
    <row r="1710" spans="2:3">
      <c r="B1710" s="412" t="s">
        <v>1969</v>
      </c>
      <c r="C1710" s="1110">
        <v>13.821154278217543</v>
      </c>
    </row>
    <row r="1711" spans="2:3">
      <c r="B1711" s="412" t="s">
        <v>1970</v>
      </c>
      <c r="C1711" s="1110">
        <v>13.821154278217543</v>
      </c>
    </row>
    <row r="1712" spans="2:3">
      <c r="B1712" s="412" t="s">
        <v>1971</v>
      </c>
      <c r="C1712" s="1110">
        <v>11.714334012402938</v>
      </c>
    </row>
    <row r="1713" spans="2:3" ht="17" thickBot="1">
      <c r="B1713" s="413" t="s">
        <v>1972</v>
      </c>
      <c r="C1713" s="655">
        <v>11.714334012402938</v>
      </c>
    </row>
    <row r="1714" spans="2:3">
      <c r="B1714" s="415" t="s">
        <v>1973</v>
      </c>
      <c r="C1714" s="1109">
        <v>9.4919290855704439</v>
      </c>
    </row>
    <row r="1715" spans="2:3">
      <c r="B1715" s="412" t="s">
        <v>1974</v>
      </c>
      <c r="C1715" s="1110">
        <v>9.4919290855704439</v>
      </c>
    </row>
    <row r="1716" spans="2:3">
      <c r="B1716" s="412" t="s">
        <v>1975</v>
      </c>
      <c r="C1716" s="1110">
        <v>9.4919290855704439</v>
      </c>
    </row>
    <row r="1717" spans="2:3">
      <c r="B1717" s="412" t="s">
        <v>1976</v>
      </c>
      <c r="C1717" s="1110">
        <v>9.4919290855704439</v>
      </c>
    </row>
    <row r="1718" spans="2:3">
      <c r="B1718" s="412" t="s">
        <v>1977</v>
      </c>
      <c r="C1718" s="1110">
        <v>9.4919290855704439</v>
      </c>
    </row>
    <row r="1719" spans="2:3">
      <c r="B1719" s="412" t="s">
        <v>1978</v>
      </c>
      <c r="C1719" s="1110">
        <v>9.4919290855704439</v>
      </c>
    </row>
    <row r="1720" spans="2:3">
      <c r="B1720" s="412" t="s">
        <v>1979</v>
      </c>
      <c r="C1720" s="1110">
        <v>9.4919290855704439</v>
      </c>
    </row>
    <row r="1721" spans="2:3">
      <c r="B1721" s="412" t="s">
        <v>1980</v>
      </c>
      <c r="C1721" s="1110">
        <v>9.4919290855704439</v>
      </c>
    </row>
    <row r="1722" spans="2:3">
      <c r="B1722" s="412" t="s">
        <v>1981</v>
      </c>
      <c r="C1722" s="1110">
        <v>9.4919290855704439</v>
      </c>
    </row>
    <row r="1723" spans="2:3">
      <c r="B1723" s="412" t="s">
        <v>1982</v>
      </c>
      <c r="C1723" s="1110">
        <v>9.4919290855704439</v>
      </c>
    </row>
    <row r="1724" spans="2:3">
      <c r="B1724" s="412" t="s">
        <v>1983</v>
      </c>
      <c r="C1724" s="1110">
        <v>9.4919290855704439</v>
      </c>
    </row>
    <row r="1725" spans="2:3">
      <c r="B1725" s="412" t="s">
        <v>1984</v>
      </c>
      <c r="C1725" s="1110">
        <v>9.4919290855704439</v>
      </c>
    </row>
    <row r="1726" spans="2:3">
      <c r="B1726" s="412" t="s">
        <v>1985</v>
      </c>
      <c r="C1726" s="1110">
        <v>9.4919290855704439</v>
      </c>
    </row>
    <row r="1727" spans="2:3">
      <c r="B1727" s="412" t="s">
        <v>1986</v>
      </c>
      <c r="C1727" s="1110">
        <v>9.4919290855704439</v>
      </c>
    </row>
    <row r="1728" spans="2:3">
      <c r="B1728" s="412" t="s">
        <v>1987</v>
      </c>
      <c r="C1728" s="1110">
        <v>9.4919290855704439</v>
      </c>
    </row>
    <row r="1729" spans="2:3">
      <c r="B1729" s="412" t="s">
        <v>1988</v>
      </c>
      <c r="C1729" s="1110">
        <v>9.4919290855704439</v>
      </c>
    </row>
    <row r="1730" spans="2:3">
      <c r="B1730" s="412" t="s">
        <v>1989</v>
      </c>
      <c r="C1730" s="1110">
        <v>9.4919290855704439</v>
      </c>
    </row>
    <row r="1731" spans="2:3">
      <c r="B1731" s="412" t="s">
        <v>1990</v>
      </c>
      <c r="C1731" s="1110">
        <v>9.4919290855704439</v>
      </c>
    </row>
    <row r="1732" spans="2:3">
      <c r="B1732" s="412" t="s">
        <v>1991</v>
      </c>
      <c r="C1732" s="1110">
        <v>9.4919290855704439</v>
      </c>
    </row>
    <row r="1733" spans="2:3">
      <c r="B1733" s="412" t="s">
        <v>1992</v>
      </c>
      <c r="C1733" s="1110">
        <v>9.4919290855704439</v>
      </c>
    </row>
    <row r="1734" spans="2:3">
      <c r="B1734" s="412" t="s">
        <v>1993</v>
      </c>
      <c r="C1734" s="1110">
        <v>9.4919290855704439</v>
      </c>
    </row>
    <row r="1735" spans="2:3">
      <c r="B1735" s="412" t="s">
        <v>1994</v>
      </c>
      <c r="C1735" s="1110">
        <v>9.4919290855704439</v>
      </c>
    </row>
    <row r="1736" spans="2:3">
      <c r="B1736" s="412" t="s">
        <v>1995</v>
      </c>
      <c r="C1736" s="1110">
        <v>9.4919290855704439</v>
      </c>
    </row>
    <row r="1737" spans="2:3">
      <c r="B1737" s="412" t="s">
        <v>1996</v>
      </c>
      <c r="C1737" s="1110">
        <v>9.4919290855704439</v>
      </c>
    </row>
    <row r="1738" spans="2:3">
      <c r="B1738" s="412" t="s">
        <v>1997</v>
      </c>
      <c r="C1738" s="1110">
        <v>9.4919290855704439</v>
      </c>
    </row>
    <row r="1739" spans="2:3">
      <c r="B1739" s="412" t="s">
        <v>1998</v>
      </c>
      <c r="C1739" s="1110">
        <v>11.714334012402938</v>
      </c>
    </row>
    <row r="1740" spans="2:3">
      <c r="B1740" s="412" t="s">
        <v>1999</v>
      </c>
      <c r="C1740" s="1110">
        <v>11.714334012402938</v>
      </c>
    </row>
    <row r="1741" spans="2:3">
      <c r="B1741" s="412" t="s">
        <v>2000</v>
      </c>
      <c r="C1741" s="1110">
        <v>11.714334012402938</v>
      </c>
    </row>
    <row r="1742" spans="2:3">
      <c r="B1742" s="412" t="s">
        <v>2001</v>
      </c>
      <c r="C1742" s="1110">
        <v>11.714334012402938</v>
      </c>
    </row>
    <row r="1743" spans="2:3">
      <c r="B1743" s="412" t="s">
        <v>2002</v>
      </c>
      <c r="C1743" s="1110">
        <v>11.777008299486669</v>
      </c>
    </row>
    <row r="1744" spans="2:3">
      <c r="B1744" s="412" t="s">
        <v>2003</v>
      </c>
      <c r="C1744" s="1110">
        <v>11.941635966835372</v>
      </c>
    </row>
    <row r="1745" spans="2:3">
      <c r="B1745" s="412" t="s">
        <v>2004</v>
      </c>
      <c r="C1745" s="1110">
        <v>12.157726481213786</v>
      </c>
    </row>
    <row r="1746" spans="2:3">
      <c r="B1746" s="412" t="s">
        <v>2005</v>
      </c>
      <c r="C1746" s="1110">
        <v>12.314458572968309</v>
      </c>
    </row>
    <row r="1747" spans="2:3">
      <c r="B1747" s="412" t="s">
        <v>2006</v>
      </c>
      <c r="C1747" s="1110">
        <v>13.821154278217543</v>
      </c>
    </row>
    <row r="1748" spans="2:3">
      <c r="B1748" s="412" t="s">
        <v>2007</v>
      </c>
      <c r="C1748" s="1110">
        <v>13.821154278217543</v>
      </c>
    </row>
    <row r="1749" spans="2:3">
      <c r="B1749" s="412" t="s">
        <v>2008</v>
      </c>
      <c r="C1749" s="1110">
        <v>11.714334012402938</v>
      </c>
    </row>
    <row r="1750" spans="2:3">
      <c r="B1750" s="412" t="s">
        <v>2009</v>
      </c>
      <c r="C1750" s="1110">
        <v>13.806247531053762</v>
      </c>
    </row>
    <row r="1751" spans="2:3">
      <c r="B1751" s="412" t="s">
        <v>2010</v>
      </c>
      <c r="C1751" s="1110">
        <v>11.714334012402938</v>
      </c>
    </row>
    <row r="1752" spans="2:3">
      <c r="B1752" s="412" t="s">
        <v>2011</v>
      </c>
      <c r="C1752" s="1110">
        <v>13.821154278217543</v>
      </c>
    </row>
    <row r="1753" spans="2:3">
      <c r="B1753" s="412" t="s">
        <v>2012</v>
      </c>
      <c r="C1753" s="1110">
        <v>13.497028083476835</v>
      </c>
    </row>
    <row r="1754" spans="2:3">
      <c r="B1754" s="412" t="s">
        <v>2013</v>
      </c>
      <c r="C1754" s="1110">
        <v>13.821154278217543</v>
      </c>
    </row>
    <row r="1755" spans="2:3">
      <c r="B1755" s="412" t="s">
        <v>2014</v>
      </c>
      <c r="C1755" s="1110">
        <v>12.482445567647847</v>
      </c>
    </row>
    <row r="1756" spans="2:3">
      <c r="B1756" s="412" t="s">
        <v>2015</v>
      </c>
      <c r="C1756" s="1110">
        <v>12.085197504887157</v>
      </c>
    </row>
    <row r="1757" spans="2:3">
      <c r="B1757" s="412" t="s">
        <v>2016</v>
      </c>
      <c r="C1757" s="1110">
        <v>11.720660799987966</v>
      </c>
    </row>
    <row r="1758" spans="2:3">
      <c r="B1758" s="412" t="s">
        <v>2017</v>
      </c>
      <c r="C1758" s="1110">
        <v>11.714334012402938</v>
      </c>
    </row>
    <row r="1759" spans="2:3">
      <c r="B1759" s="412" t="s">
        <v>2018</v>
      </c>
      <c r="C1759" s="1110">
        <v>11.714334012402938</v>
      </c>
    </row>
    <row r="1760" spans="2:3">
      <c r="B1760" s="412" t="s">
        <v>2019</v>
      </c>
      <c r="C1760" s="1110">
        <v>11.714334012402938</v>
      </c>
    </row>
    <row r="1761" spans="2:3">
      <c r="B1761" s="412" t="s">
        <v>2020</v>
      </c>
      <c r="C1761" s="1110">
        <v>11.714334012402938</v>
      </c>
    </row>
    <row r="1762" spans="2:3">
      <c r="B1762" s="412" t="s">
        <v>2021</v>
      </c>
      <c r="C1762" s="1110">
        <v>11.714334012402938</v>
      </c>
    </row>
    <row r="1763" spans="2:3">
      <c r="B1763" s="412" t="s">
        <v>2022</v>
      </c>
      <c r="C1763" s="1110">
        <v>11.714334012402938</v>
      </c>
    </row>
    <row r="1764" spans="2:3">
      <c r="B1764" s="412" t="s">
        <v>2023</v>
      </c>
      <c r="C1764" s="1110">
        <v>11.714334012402938</v>
      </c>
    </row>
    <row r="1765" spans="2:3">
      <c r="B1765" s="412" t="s">
        <v>2024</v>
      </c>
      <c r="C1765" s="1110">
        <v>11.714334012402938</v>
      </c>
    </row>
    <row r="1766" spans="2:3">
      <c r="B1766" s="412" t="s">
        <v>2025</v>
      </c>
      <c r="C1766" s="1110">
        <v>11.714334012402938</v>
      </c>
    </row>
    <row r="1767" spans="2:3">
      <c r="B1767" s="412" t="s">
        <v>2026</v>
      </c>
      <c r="C1767" s="1110">
        <v>11.714334012402938</v>
      </c>
    </row>
    <row r="1768" spans="2:3">
      <c r="B1768" s="412" t="s">
        <v>2027</v>
      </c>
      <c r="C1768" s="1110">
        <v>11.714334012402938</v>
      </c>
    </row>
    <row r="1769" spans="2:3">
      <c r="B1769" s="412" t="s">
        <v>2028</v>
      </c>
      <c r="C1769" s="1110">
        <v>11.736849648831491</v>
      </c>
    </row>
    <row r="1770" spans="2:3">
      <c r="B1770" s="412" t="s">
        <v>2029</v>
      </c>
      <c r="C1770" s="1110">
        <v>11.872173967170808</v>
      </c>
    </row>
    <row r="1771" spans="2:3">
      <c r="B1771" s="412" t="s">
        <v>2030</v>
      </c>
      <c r="C1771" s="1110">
        <v>11.714334012402938</v>
      </c>
    </row>
    <row r="1772" spans="2:3">
      <c r="B1772" s="412" t="s">
        <v>2031</v>
      </c>
      <c r="C1772" s="1110">
        <v>11.714334012402938</v>
      </c>
    </row>
    <row r="1773" spans="2:3">
      <c r="B1773" s="412" t="s">
        <v>2032</v>
      </c>
      <c r="C1773" s="1110">
        <v>13.582236516114857</v>
      </c>
    </row>
    <row r="1774" spans="2:3">
      <c r="B1774" s="412" t="s">
        <v>2033</v>
      </c>
      <c r="C1774" s="1110">
        <v>13.791892885636786</v>
      </c>
    </row>
    <row r="1775" spans="2:3">
      <c r="B1775" s="412" t="s">
        <v>2034</v>
      </c>
      <c r="C1775" s="1110">
        <v>13.821154278217543</v>
      </c>
    </row>
    <row r="1776" spans="2:3">
      <c r="B1776" s="412" t="s">
        <v>2035</v>
      </c>
      <c r="C1776" s="1110">
        <v>13.821154278217543</v>
      </c>
    </row>
    <row r="1777" spans="2:3">
      <c r="B1777" s="412" t="s">
        <v>2036</v>
      </c>
      <c r="C1777" s="1110">
        <v>13.821154278217543</v>
      </c>
    </row>
    <row r="1778" spans="2:3">
      <c r="B1778" s="412" t="s">
        <v>2037</v>
      </c>
      <c r="C1778" s="1110">
        <v>13.821154278217543</v>
      </c>
    </row>
    <row r="1779" spans="2:3">
      <c r="B1779" s="412" t="s">
        <v>2038</v>
      </c>
      <c r="C1779" s="1110">
        <v>13.821154278217543</v>
      </c>
    </row>
    <row r="1780" spans="2:3">
      <c r="B1780" s="412" t="s">
        <v>2039</v>
      </c>
      <c r="C1780" s="1110">
        <v>13.821154278217543</v>
      </c>
    </row>
    <row r="1781" spans="2:3">
      <c r="B1781" s="412" t="s">
        <v>2040</v>
      </c>
      <c r="C1781" s="1110">
        <v>13.821154278217543</v>
      </c>
    </row>
    <row r="1782" spans="2:3">
      <c r="B1782" s="412" t="s">
        <v>2041</v>
      </c>
      <c r="C1782" s="1110">
        <v>11.714334012402938</v>
      </c>
    </row>
    <row r="1783" spans="2:3">
      <c r="B1783" s="412" t="s">
        <v>2042</v>
      </c>
      <c r="C1783" s="1110">
        <v>11.714334012402938</v>
      </c>
    </row>
    <row r="1784" spans="2:3">
      <c r="B1784" s="412" t="s">
        <v>2043</v>
      </c>
      <c r="C1784" s="1110">
        <v>13.821154278217543</v>
      </c>
    </row>
    <row r="1785" spans="2:3">
      <c r="B1785" s="412" t="s">
        <v>2044</v>
      </c>
      <c r="C1785" s="1110">
        <v>13.821154278217543</v>
      </c>
    </row>
    <row r="1786" spans="2:3">
      <c r="B1786" s="412" t="s">
        <v>2045</v>
      </c>
      <c r="C1786" s="1110">
        <v>13.821154278217543</v>
      </c>
    </row>
    <row r="1787" spans="2:3">
      <c r="B1787" s="412" t="s">
        <v>2046</v>
      </c>
      <c r="C1787" s="1110">
        <v>13.821154278217543</v>
      </c>
    </row>
    <row r="1788" spans="2:3">
      <c r="B1788" s="412" t="s">
        <v>2047</v>
      </c>
      <c r="C1788" s="1110">
        <v>13.821154278217543</v>
      </c>
    </row>
    <row r="1789" spans="2:3">
      <c r="B1789" s="412" t="s">
        <v>2048</v>
      </c>
      <c r="C1789" s="1110">
        <v>13.821154278217543</v>
      </c>
    </row>
    <row r="1790" spans="2:3">
      <c r="B1790" s="412" t="s">
        <v>2049</v>
      </c>
      <c r="C1790" s="1110">
        <v>13.821154278217543</v>
      </c>
    </row>
    <row r="1791" spans="2:3">
      <c r="B1791" s="412" t="s">
        <v>2050</v>
      </c>
      <c r="C1791" s="1110">
        <v>13.821154278217543</v>
      </c>
    </row>
    <row r="1792" spans="2:3">
      <c r="B1792" s="412" t="s">
        <v>2051</v>
      </c>
      <c r="C1792" s="1110">
        <v>13.821154278217543</v>
      </c>
    </row>
    <row r="1793" spans="2:3">
      <c r="B1793" s="412" t="s">
        <v>2052</v>
      </c>
      <c r="C1793" s="1110">
        <v>11.714334012402938</v>
      </c>
    </row>
    <row r="1794" spans="2:3">
      <c r="B1794" s="412" t="s">
        <v>2053</v>
      </c>
      <c r="C1794" s="1110">
        <v>13.821154278217543</v>
      </c>
    </row>
    <row r="1795" spans="2:3">
      <c r="B1795" s="412" t="s">
        <v>2054</v>
      </c>
      <c r="C1795" s="1110">
        <v>13.821154278217543</v>
      </c>
    </row>
    <row r="1796" spans="2:3">
      <c r="B1796" s="412" t="s">
        <v>2055</v>
      </c>
      <c r="C1796" s="1110">
        <v>11.714334012402938</v>
      </c>
    </row>
    <row r="1797" spans="2:3">
      <c r="B1797" s="412" t="s">
        <v>2056</v>
      </c>
      <c r="C1797" s="1110">
        <v>11.714334012402938</v>
      </c>
    </row>
    <row r="1798" spans="2:3">
      <c r="B1798" s="412" t="s">
        <v>2057</v>
      </c>
      <c r="C1798" s="1110">
        <v>11.714334012402938</v>
      </c>
    </row>
    <row r="1799" spans="2:3">
      <c r="B1799" s="412" t="s">
        <v>2058</v>
      </c>
      <c r="C1799" s="1110">
        <v>11.714334012402938</v>
      </c>
    </row>
    <row r="1800" spans="2:3">
      <c r="B1800" s="412" t="s">
        <v>2059</v>
      </c>
      <c r="C1800" s="1110">
        <v>11.714334012402938</v>
      </c>
    </row>
    <row r="1801" spans="2:3">
      <c r="B1801" s="412" t="s">
        <v>2060</v>
      </c>
      <c r="C1801" s="1110">
        <v>11.714334012402938</v>
      </c>
    </row>
    <row r="1802" spans="2:3">
      <c r="B1802" s="412" t="s">
        <v>2061</v>
      </c>
      <c r="C1802" s="1110">
        <v>11.714334012402938</v>
      </c>
    </row>
    <row r="1803" spans="2:3">
      <c r="B1803" s="412" t="s">
        <v>2062</v>
      </c>
      <c r="C1803" s="1110">
        <v>11.714334012402938</v>
      </c>
    </row>
    <row r="1804" spans="2:3">
      <c r="B1804" s="412" t="s">
        <v>2063</v>
      </c>
      <c r="C1804" s="1110">
        <v>11.714334012402938</v>
      </c>
    </row>
    <row r="1805" spans="2:3">
      <c r="B1805" s="412" t="s">
        <v>2064</v>
      </c>
      <c r="C1805" s="1110">
        <v>13.821154278217543</v>
      </c>
    </row>
    <row r="1806" spans="2:3">
      <c r="B1806" s="412" t="s">
        <v>2065</v>
      </c>
      <c r="C1806" s="1110">
        <v>13.821154278217543</v>
      </c>
    </row>
    <row r="1807" spans="2:3">
      <c r="B1807" s="412" t="s">
        <v>2066</v>
      </c>
      <c r="C1807" s="1110">
        <v>13.821154278217543</v>
      </c>
    </row>
    <row r="1808" spans="2:3">
      <c r="B1808" s="412" t="s">
        <v>2067</v>
      </c>
      <c r="C1808" s="1110">
        <v>13.821154278217543</v>
      </c>
    </row>
    <row r="1809" spans="2:3">
      <c r="B1809" s="412" t="s">
        <v>2068</v>
      </c>
      <c r="C1809" s="1110">
        <v>13.821154278217543</v>
      </c>
    </row>
    <row r="1810" spans="2:3">
      <c r="B1810" s="412" t="s">
        <v>2069</v>
      </c>
      <c r="C1810" s="1110">
        <v>13.821154278217543</v>
      </c>
    </row>
    <row r="1811" spans="2:3">
      <c r="B1811" s="412" t="s">
        <v>2070</v>
      </c>
      <c r="C1811" s="1110">
        <v>13.821154278217543</v>
      </c>
    </row>
    <row r="1812" spans="2:3">
      <c r="B1812" s="412" t="s">
        <v>2071</v>
      </c>
      <c r="C1812" s="1110">
        <v>13.821154278217543</v>
      </c>
    </row>
    <row r="1813" spans="2:3">
      <c r="B1813" s="412" t="s">
        <v>2072</v>
      </c>
      <c r="C1813" s="1110">
        <v>13.821154278217543</v>
      </c>
    </row>
    <row r="1814" spans="2:3">
      <c r="B1814" s="412" t="s">
        <v>2073</v>
      </c>
      <c r="C1814" s="1110">
        <v>13.821154278217543</v>
      </c>
    </row>
    <row r="1815" spans="2:3">
      <c r="B1815" s="412" t="s">
        <v>2074</v>
      </c>
      <c r="C1815" s="1110">
        <v>13.821154278217543</v>
      </c>
    </row>
    <row r="1816" spans="2:3">
      <c r="B1816" s="412" t="s">
        <v>2075</v>
      </c>
      <c r="C1816" s="1110">
        <v>13.821154278217543</v>
      </c>
    </row>
    <row r="1817" spans="2:3">
      <c r="B1817" s="412" t="s">
        <v>2076</v>
      </c>
      <c r="C1817" s="1110">
        <v>13.821154278217543</v>
      </c>
    </row>
    <row r="1818" spans="2:3">
      <c r="B1818" s="412" t="s">
        <v>2077</v>
      </c>
      <c r="C1818" s="1110">
        <v>13.821154278217543</v>
      </c>
    </row>
    <row r="1819" spans="2:3">
      <c r="B1819" s="412" t="s">
        <v>2078</v>
      </c>
      <c r="C1819" s="1110">
        <v>13.821154278217543</v>
      </c>
    </row>
    <row r="1820" spans="2:3">
      <c r="B1820" s="412" t="s">
        <v>2079</v>
      </c>
      <c r="C1820" s="1110">
        <v>13.821154278217543</v>
      </c>
    </row>
    <row r="1821" spans="2:3">
      <c r="B1821" s="412" t="s">
        <v>2080</v>
      </c>
      <c r="C1821" s="1110">
        <v>13.821154278217543</v>
      </c>
    </row>
    <row r="1822" spans="2:3">
      <c r="B1822" s="412" t="s">
        <v>2081</v>
      </c>
      <c r="C1822" s="1110">
        <v>13.821154278217543</v>
      </c>
    </row>
    <row r="1823" spans="2:3">
      <c r="B1823" s="412" t="s">
        <v>2082</v>
      </c>
      <c r="C1823" s="1110">
        <v>13.821154278217543</v>
      </c>
    </row>
    <row r="1824" spans="2:3">
      <c r="B1824" s="412" t="s">
        <v>2083</v>
      </c>
      <c r="C1824" s="1110">
        <v>13.821154278217543</v>
      </c>
    </row>
    <row r="1825" spans="2:3">
      <c r="B1825" s="412" t="s">
        <v>2084</v>
      </c>
      <c r="C1825" s="1110">
        <v>13.821154278217543</v>
      </c>
    </row>
    <row r="1826" spans="2:3">
      <c r="B1826" s="412" t="s">
        <v>2085</v>
      </c>
      <c r="C1826" s="1110">
        <v>13.821154278217543</v>
      </c>
    </row>
    <row r="1827" spans="2:3">
      <c r="B1827" s="412" t="s">
        <v>2086</v>
      </c>
      <c r="C1827" s="1110">
        <v>13.821154278217543</v>
      </c>
    </row>
    <row r="1828" spans="2:3">
      <c r="B1828" s="412" t="s">
        <v>2087</v>
      </c>
      <c r="C1828" s="1110">
        <v>13.821154278217543</v>
      </c>
    </row>
    <row r="1829" spans="2:3">
      <c r="B1829" s="412" t="s">
        <v>2088</v>
      </c>
      <c r="C1829" s="1110">
        <v>13.821154278217543</v>
      </c>
    </row>
    <row r="1830" spans="2:3">
      <c r="B1830" s="412" t="s">
        <v>2089</v>
      </c>
      <c r="C1830" s="1110">
        <v>13.821154278217543</v>
      </c>
    </row>
    <row r="1831" spans="2:3">
      <c r="B1831" s="412" t="s">
        <v>2090</v>
      </c>
      <c r="C1831" s="1110">
        <v>13.821154278217543</v>
      </c>
    </row>
    <row r="1832" spans="2:3">
      <c r="B1832" s="412" t="s">
        <v>2091</v>
      </c>
      <c r="C1832" s="1110">
        <v>13.821154278217543</v>
      </c>
    </row>
    <row r="1833" spans="2:3">
      <c r="B1833" s="412" t="s">
        <v>2092</v>
      </c>
      <c r="C1833" s="1110">
        <v>13.821154278217543</v>
      </c>
    </row>
    <row r="1834" spans="2:3">
      <c r="B1834" s="412" t="s">
        <v>2093</v>
      </c>
      <c r="C1834" s="1110">
        <v>13.821154278217543</v>
      </c>
    </row>
    <row r="1835" spans="2:3">
      <c r="B1835" s="412" t="s">
        <v>2094</v>
      </c>
      <c r="C1835" s="1110">
        <v>13.821154278217543</v>
      </c>
    </row>
    <row r="1836" spans="2:3">
      <c r="B1836" s="412" t="s">
        <v>2095</v>
      </c>
      <c r="C1836" s="1110">
        <v>13.821154278217543</v>
      </c>
    </row>
    <row r="1837" spans="2:3">
      <c r="B1837" s="412" t="s">
        <v>2096</v>
      </c>
      <c r="C1837" s="1110">
        <v>13.821154278217543</v>
      </c>
    </row>
    <row r="1838" spans="2:3">
      <c r="B1838" s="412" t="s">
        <v>2097</v>
      </c>
      <c r="C1838" s="1110">
        <v>13.821154278217543</v>
      </c>
    </row>
    <row r="1839" spans="2:3">
      <c r="B1839" s="412" t="s">
        <v>2098</v>
      </c>
      <c r="C1839" s="1110">
        <v>13.821154278217543</v>
      </c>
    </row>
    <row r="1840" spans="2:3">
      <c r="B1840" s="412" t="s">
        <v>2099</v>
      </c>
      <c r="C1840" s="1110">
        <v>13.821154278217543</v>
      </c>
    </row>
    <row r="1841" spans="2:3">
      <c r="B1841" s="412" t="s">
        <v>2100</v>
      </c>
      <c r="C1841" s="1110">
        <v>13.821154278217543</v>
      </c>
    </row>
    <row r="1842" spans="2:3">
      <c r="B1842" s="412" t="s">
        <v>2101</v>
      </c>
      <c r="C1842" s="1110">
        <v>13.821154278217543</v>
      </c>
    </row>
    <row r="1843" spans="2:3">
      <c r="B1843" s="412" t="s">
        <v>2102</v>
      </c>
      <c r="C1843" s="1110">
        <v>13.821154278217543</v>
      </c>
    </row>
    <row r="1844" spans="2:3">
      <c r="B1844" s="412" t="s">
        <v>2103</v>
      </c>
      <c r="C1844" s="1110">
        <v>13.821154278217543</v>
      </c>
    </row>
    <row r="1845" spans="2:3">
      <c r="B1845" s="412" t="s">
        <v>2104</v>
      </c>
      <c r="C1845" s="1110">
        <v>13.821154278217543</v>
      </c>
    </row>
    <row r="1846" spans="2:3">
      <c r="B1846" s="412" t="s">
        <v>2105</v>
      </c>
      <c r="C1846" s="1110">
        <v>13.821154278217543</v>
      </c>
    </row>
    <row r="1847" spans="2:3">
      <c r="B1847" s="412" t="s">
        <v>2106</v>
      </c>
      <c r="C1847" s="1110">
        <v>13.821154278217543</v>
      </c>
    </row>
    <row r="1848" spans="2:3">
      <c r="B1848" s="412" t="s">
        <v>2107</v>
      </c>
      <c r="C1848" s="1110">
        <v>13.821154278217543</v>
      </c>
    </row>
    <row r="1849" spans="2:3">
      <c r="B1849" s="412" t="s">
        <v>2108</v>
      </c>
      <c r="C1849" s="1110">
        <v>13.821154278217543</v>
      </c>
    </row>
    <row r="1850" spans="2:3">
      <c r="B1850" s="412" t="s">
        <v>2109</v>
      </c>
      <c r="C1850" s="1110">
        <v>13.821154278217543</v>
      </c>
    </row>
    <row r="1851" spans="2:3">
      <c r="B1851" s="412" t="s">
        <v>2110</v>
      </c>
      <c r="C1851" s="1110">
        <v>13.821154278217543</v>
      </c>
    </row>
    <row r="1852" spans="2:3">
      <c r="B1852" s="412" t="s">
        <v>2111</v>
      </c>
      <c r="C1852" s="1110">
        <v>13.821154278217543</v>
      </c>
    </row>
    <row r="1853" spans="2:3">
      <c r="B1853" s="412" t="s">
        <v>2112</v>
      </c>
      <c r="C1853" s="1110">
        <v>13.821154278217543</v>
      </c>
    </row>
    <row r="1854" spans="2:3">
      <c r="B1854" s="412" t="s">
        <v>2113</v>
      </c>
      <c r="C1854" s="1110">
        <v>13.821154278217543</v>
      </c>
    </row>
    <row r="1855" spans="2:3">
      <c r="B1855" s="412" t="s">
        <v>2114</v>
      </c>
      <c r="C1855" s="1110">
        <v>13.821154278217543</v>
      </c>
    </row>
    <row r="1856" spans="2:3">
      <c r="B1856" s="412" t="s">
        <v>2115</v>
      </c>
      <c r="C1856" s="1110">
        <v>13.821154278217543</v>
      </c>
    </row>
    <row r="1857" spans="2:3">
      <c r="B1857" s="412" t="s">
        <v>2116</v>
      </c>
      <c r="C1857" s="1110">
        <v>13.821154278217543</v>
      </c>
    </row>
    <row r="1858" spans="2:3">
      <c r="B1858" s="412" t="s">
        <v>2117</v>
      </c>
      <c r="C1858" s="1110">
        <v>13.821154278217543</v>
      </c>
    </row>
    <row r="1859" spans="2:3">
      <c r="B1859" s="412" t="s">
        <v>2118</v>
      </c>
      <c r="C1859" s="1110">
        <v>13.821154278217543</v>
      </c>
    </row>
    <row r="1860" spans="2:3">
      <c r="B1860" s="412" t="s">
        <v>2119</v>
      </c>
      <c r="C1860" s="1110">
        <v>13.821154278217543</v>
      </c>
    </row>
    <row r="1861" spans="2:3">
      <c r="B1861" s="412" t="s">
        <v>2120</v>
      </c>
      <c r="C1861" s="1110">
        <v>13.821154278217543</v>
      </c>
    </row>
    <row r="1862" spans="2:3">
      <c r="B1862" s="412" t="s">
        <v>2121</v>
      </c>
      <c r="C1862" s="1110">
        <v>13.821154278217543</v>
      </c>
    </row>
    <row r="1863" spans="2:3">
      <c r="B1863" s="412" t="s">
        <v>2122</v>
      </c>
      <c r="C1863" s="1110">
        <v>13.821154278217543</v>
      </c>
    </row>
    <row r="1864" spans="2:3">
      <c r="B1864" s="412" t="s">
        <v>2123</v>
      </c>
      <c r="C1864" s="1110">
        <v>13.821154278217543</v>
      </c>
    </row>
    <row r="1865" spans="2:3">
      <c r="B1865" s="412" t="s">
        <v>2124</v>
      </c>
      <c r="C1865" s="1110">
        <v>13.821154278217543</v>
      </c>
    </row>
    <row r="1866" spans="2:3">
      <c r="B1866" s="412" t="s">
        <v>2125</v>
      </c>
      <c r="C1866" s="1110">
        <v>13.821154278217543</v>
      </c>
    </row>
    <row r="1867" spans="2:3">
      <c r="B1867" s="412" t="s">
        <v>2126</v>
      </c>
      <c r="C1867" s="1110">
        <v>13.821154278217543</v>
      </c>
    </row>
    <row r="1868" spans="2:3">
      <c r="B1868" s="412" t="s">
        <v>2127</v>
      </c>
      <c r="C1868" s="1110">
        <v>13.821154278217543</v>
      </c>
    </row>
    <row r="1869" spans="2:3">
      <c r="B1869" s="412" t="s">
        <v>2128</v>
      </c>
      <c r="C1869" s="1110">
        <v>13.821154278217543</v>
      </c>
    </row>
    <row r="1870" spans="2:3">
      <c r="B1870" s="412" t="s">
        <v>2129</v>
      </c>
      <c r="C1870" s="1110">
        <v>13.821154278217543</v>
      </c>
    </row>
    <row r="1871" spans="2:3">
      <c r="B1871" s="412" t="s">
        <v>2130</v>
      </c>
      <c r="C1871" s="1110">
        <v>13.821154278217543</v>
      </c>
    </row>
    <row r="1872" spans="2:3">
      <c r="B1872" s="412" t="s">
        <v>2131</v>
      </c>
      <c r="C1872" s="1110">
        <v>13.821154278217543</v>
      </c>
    </row>
    <row r="1873" spans="2:3">
      <c r="B1873" s="412" t="s">
        <v>2132</v>
      </c>
      <c r="C1873" s="1110">
        <v>13.821154278217543</v>
      </c>
    </row>
    <row r="1874" spans="2:3">
      <c r="B1874" s="412" t="s">
        <v>2133</v>
      </c>
      <c r="C1874" s="1110">
        <v>13.821154278217543</v>
      </c>
    </row>
    <row r="1875" spans="2:3">
      <c r="B1875" s="412" t="s">
        <v>2134</v>
      </c>
      <c r="C1875" s="1110">
        <v>13.821154278217543</v>
      </c>
    </row>
    <row r="1876" spans="2:3">
      <c r="B1876" s="412" t="s">
        <v>2135</v>
      </c>
      <c r="C1876" s="1110">
        <v>13.821154278217543</v>
      </c>
    </row>
    <row r="1877" spans="2:3">
      <c r="B1877" s="412" t="s">
        <v>2136</v>
      </c>
      <c r="C1877" s="1110">
        <v>13.821154278217543</v>
      </c>
    </row>
    <row r="1878" spans="2:3">
      <c r="B1878" s="412" t="s">
        <v>2137</v>
      </c>
      <c r="C1878" s="1110">
        <v>13.821154278217543</v>
      </c>
    </row>
    <row r="1879" spans="2:3">
      <c r="B1879" s="412" t="s">
        <v>2138</v>
      </c>
      <c r="C1879" s="1110">
        <v>13.821154278217543</v>
      </c>
    </row>
    <row r="1880" spans="2:3">
      <c r="B1880" s="412" t="s">
        <v>2139</v>
      </c>
      <c r="C1880" s="1110">
        <v>13.821154278217543</v>
      </c>
    </row>
    <row r="1881" spans="2:3">
      <c r="B1881" s="412" t="s">
        <v>2140</v>
      </c>
      <c r="C1881" s="1110">
        <v>13.821154278217543</v>
      </c>
    </row>
    <row r="1882" spans="2:3">
      <c r="B1882" s="412" t="s">
        <v>2141</v>
      </c>
      <c r="C1882" s="1110">
        <v>13.821154278217543</v>
      </c>
    </row>
    <row r="1883" spans="2:3">
      <c r="B1883" s="412" t="s">
        <v>2142</v>
      </c>
      <c r="C1883" s="1110">
        <v>13.821154278217543</v>
      </c>
    </row>
    <row r="1884" spans="2:3">
      <c r="B1884" s="412" t="s">
        <v>2143</v>
      </c>
      <c r="C1884" s="1110">
        <v>13.821154278217543</v>
      </c>
    </row>
    <row r="1885" spans="2:3">
      <c r="B1885" s="412" t="s">
        <v>2144</v>
      </c>
      <c r="C1885" s="1110">
        <v>13.821154278217543</v>
      </c>
    </row>
    <row r="1886" spans="2:3">
      <c r="B1886" s="412" t="s">
        <v>2145</v>
      </c>
      <c r="C1886" s="1110">
        <v>13.821154278217543</v>
      </c>
    </row>
    <row r="1887" spans="2:3">
      <c r="B1887" s="412" t="s">
        <v>2146</v>
      </c>
      <c r="C1887" s="1110">
        <v>13.821154278217543</v>
      </c>
    </row>
    <row r="1888" spans="2:3">
      <c r="B1888" s="412" t="s">
        <v>2147</v>
      </c>
      <c r="C1888" s="1110">
        <v>13.821154278217543</v>
      </c>
    </row>
    <row r="1889" spans="2:3">
      <c r="B1889" s="412" t="s">
        <v>2148</v>
      </c>
      <c r="C1889" s="1110">
        <v>13.821154278217543</v>
      </c>
    </row>
    <row r="1890" spans="2:3">
      <c r="B1890" s="412" t="s">
        <v>2149</v>
      </c>
      <c r="C1890" s="1110">
        <v>13.821154278217543</v>
      </c>
    </row>
    <row r="1891" spans="2:3">
      <c r="B1891" s="412" t="s">
        <v>2150</v>
      </c>
      <c r="C1891" s="1110">
        <v>13.821154278217543</v>
      </c>
    </row>
    <row r="1892" spans="2:3">
      <c r="B1892" s="412" t="s">
        <v>2151</v>
      </c>
      <c r="C1892" s="1110">
        <v>13.821154278217543</v>
      </c>
    </row>
    <row r="1893" spans="2:3">
      <c r="B1893" s="412" t="s">
        <v>2152</v>
      </c>
      <c r="C1893" s="1110">
        <v>13.821154278217543</v>
      </c>
    </row>
    <row r="1894" spans="2:3">
      <c r="B1894" s="412" t="s">
        <v>2153</v>
      </c>
      <c r="C1894" s="1110">
        <v>13.821154278217543</v>
      </c>
    </row>
    <row r="1895" spans="2:3">
      <c r="B1895" s="412" t="s">
        <v>2154</v>
      </c>
      <c r="C1895" s="1110">
        <v>13.821154278217543</v>
      </c>
    </row>
    <row r="1896" spans="2:3">
      <c r="B1896" s="412" t="s">
        <v>2155</v>
      </c>
      <c r="C1896" s="1110">
        <v>13.821154278217543</v>
      </c>
    </row>
    <row r="1897" spans="2:3">
      <c r="B1897" s="412" t="s">
        <v>2156</v>
      </c>
      <c r="C1897" s="1110">
        <v>13.821154278217543</v>
      </c>
    </row>
    <row r="1898" spans="2:3">
      <c r="B1898" s="412" t="s">
        <v>2157</v>
      </c>
      <c r="C1898" s="1110">
        <v>13.821154278217543</v>
      </c>
    </row>
    <row r="1899" spans="2:3">
      <c r="B1899" s="412" t="s">
        <v>2158</v>
      </c>
      <c r="C1899" s="1110">
        <v>13.821154278217543</v>
      </c>
    </row>
    <row r="1900" spans="2:3">
      <c r="B1900" s="412" t="s">
        <v>2159</v>
      </c>
      <c r="C1900" s="1110">
        <v>13.821154278217543</v>
      </c>
    </row>
    <row r="1901" spans="2:3">
      <c r="B1901" s="412" t="s">
        <v>2160</v>
      </c>
      <c r="C1901" s="1110">
        <v>13.821154278217543</v>
      </c>
    </row>
    <row r="1902" spans="2:3">
      <c r="B1902" s="412" t="s">
        <v>2161</v>
      </c>
      <c r="C1902" s="1110">
        <v>13.821154278217543</v>
      </c>
    </row>
    <row r="1903" spans="2:3">
      <c r="B1903" s="412" t="s">
        <v>2162</v>
      </c>
      <c r="C1903" s="1110">
        <v>13.821154278217543</v>
      </c>
    </row>
    <row r="1904" spans="2:3">
      <c r="B1904" s="412" t="s">
        <v>2163</v>
      </c>
      <c r="C1904" s="1110">
        <v>13.821154278217543</v>
      </c>
    </row>
    <row r="1905" spans="2:3">
      <c r="B1905" s="412" t="s">
        <v>2164</v>
      </c>
      <c r="C1905" s="1110">
        <v>13.821154278217543</v>
      </c>
    </row>
    <row r="1906" spans="2:3">
      <c r="B1906" s="412" t="s">
        <v>2165</v>
      </c>
      <c r="C1906" s="1110">
        <v>13.821154278217543</v>
      </c>
    </row>
    <row r="1907" spans="2:3">
      <c r="B1907" s="412" t="s">
        <v>2166</v>
      </c>
      <c r="C1907" s="1110">
        <v>13.821154278217543</v>
      </c>
    </row>
    <row r="1908" spans="2:3">
      <c r="B1908" s="412" t="s">
        <v>2167</v>
      </c>
      <c r="C1908" s="1110">
        <v>13.821154278217543</v>
      </c>
    </row>
    <row r="1909" spans="2:3">
      <c r="B1909" s="412" t="s">
        <v>2168</v>
      </c>
      <c r="C1909" s="1110">
        <v>9.4919290855704439</v>
      </c>
    </row>
    <row r="1910" spans="2:3">
      <c r="B1910" s="412" t="s">
        <v>2169</v>
      </c>
      <c r="C1910" s="1110">
        <v>9.4919290855704439</v>
      </c>
    </row>
    <row r="1911" spans="2:3">
      <c r="B1911" s="412" t="s">
        <v>2170</v>
      </c>
      <c r="C1911" s="1110">
        <v>9.4919290855704439</v>
      </c>
    </row>
    <row r="1912" spans="2:3">
      <c r="B1912" s="412" t="s">
        <v>2171</v>
      </c>
      <c r="C1912" s="1110">
        <v>9.4919290855704439</v>
      </c>
    </row>
    <row r="1913" spans="2:3">
      <c r="B1913" s="412" t="s">
        <v>2172</v>
      </c>
      <c r="C1913" s="1110">
        <v>9.4919290855704439</v>
      </c>
    </row>
    <row r="1914" spans="2:3">
      <c r="B1914" s="412" t="s">
        <v>2173</v>
      </c>
      <c r="C1914" s="1110">
        <v>9.4919290855704439</v>
      </c>
    </row>
    <row r="1915" spans="2:3">
      <c r="B1915" s="412" t="s">
        <v>2174</v>
      </c>
      <c r="C1915" s="1110">
        <v>9.4919290855704439</v>
      </c>
    </row>
    <row r="1916" spans="2:3">
      <c r="B1916" s="412" t="s">
        <v>2175</v>
      </c>
      <c r="C1916" s="1110">
        <v>9.4919290855704439</v>
      </c>
    </row>
    <row r="1917" spans="2:3">
      <c r="B1917" s="412" t="s">
        <v>2176</v>
      </c>
      <c r="C1917" s="1110">
        <v>9.4919290855704439</v>
      </c>
    </row>
    <row r="1918" spans="2:3">
      <c r="B1918" s="412" t="s">
        <v>2177</v>
      </c>
      <c r="C1918" s="1110">
        <v>9.4919290855704439</v>
      </c>
    </row>
    <row r="1919" spans="2:3">
      <c r="B1919" s="412" t="s">
        <v>2178</v>
      </c>
      <c r="C1919" s="1110">
        <v>9.4919290855704439</v>
      </c>
    </row>
    <row r="1920" spans="2:3">
      <c r="B1920" s="412" t="s">
        <v>2179</v>
      </c>
      <c r="C1920" s="1110">
        <v>9.4919290855704439</v>
      </c>
    </row>
    <row r="1921" spans="2:3" ht="17" thickBot="1">
      <c r="B1921" s="413" t="s">
        <v>2180</v>
      </c>
      <c r="C1921" s="655">
        <v>9.4919290855704439</v>
      </c>
    </row>
    <row r="1922" spans="2:3">
      <c r="B1922" s="415" t="s">
        <v>2181</v>
      </c>
      <c r="C1922" s="1109">
        <v>11.714334012402938</v>
      </c>
    </row>
    <row r="1923" spans="2:3">
      <c r="B1923" s="412" t="s">
        <v>2182</v>
      </c>
      <c r="C1923" s="1110">
        <v>11.714334012402938</v>
      </c>
    </row>
    <row r="1924" spans="2:3">
      <c r="B1924" s="412" t="s">
        <v>2183</v>
      </c>
      <c r="C1924" s="1110">
        <v>11.714334012402938</v>
      </c>
    </row>
    <row r="1925" spans="2:3">
      <c r="B1925" s="412" t="s">
        <v>2184</v>
      </c>
      <c r="C1925" s="1110">
        <v>12.143267479694535</v>
      </c>
    </row>
    <row r="1926" spans="2:3">
      <c r="B1926" s="412" t="s">
        <v>2185</v>
      </c>
      <c r="C1926" s="1110">
        <v>13.821154278217543</v>
      </c>
    </row>
    <row r="1927" spans="2:3">
      <c r="B1927" s="412" t="s">
        <v>2186</v>
      </c>
      <c r="C1927" s="1110">
        <v>11.725165993204042</v>
      </c>
    </row>
    <row r="1928" spans="2:3">
      <c r="B1928" s="412" t="s">
        <v>2187</v>
      </c>
      <c r="C1928" s="1110">
        <v>11.714334012402938</v>
      </c>
    </row>
    <row r="1929" spans="2:3">
      <c r="B1929" s="412" t="s">
        <v>2188</v>
      </c>
      <c r="C1929" s="1110">
        <v>11.714334012402938</v>
      </c>
    </row>
    <row r="1930" spans="2:3">
      <c r="B1930" s="412" t="s">
        <v>2189</v>
      </c>
      <c r="C1930" s="1110">
        <v>11.714334012402938</v>
      </c>
    </row>
    <row r="1931" spans="2:3">
      <c r="B1931" s="412" t="s">
        <v>2190</v>
      </c>
      <c r="C1931" s="1110">
        <v>11.714334012402938</v>
      </c>
    </row>
    <row r="1932" spans="2:3">
      <c r="B1932" s="412" t="s">
        <v>2191</v>
      </c>
      <c r="C1932" s="1110">
        <v>11.714334012402938</v>
      </c>
    </row>
    <row r="1933" spans="2:3">
      <c r="B1933" s="412" t="s">
        <v>2192</v>
      </c>
      <c r="C1933" s="1110">
        <v>11.714334012402938</v>
      </c>
    </row>
    <row r="1934" spans="2:3">
      <c r="B1934" s="412" t="s">
        <v>2193</v>
      </c>
      <c r="C1934" s="1110">
        <v>11.714334012402938</v>
      </c>
    </row>
    <row r="1935" spans="2:3">
      <c r="B1935" s="412" t="s">
        <v>2194</v>
      </c>
      <c r="C1935" s="1110">
        <v>11.714334012402938</v>
      </c>
    </row>
    <row r="1936" spans="2:3">
      <c r="B1936" s="412" t="s">
        <v>2195</v>
      </c>
      <c r="C1936" s="1110">
        <v>11.714334012402938</v>
      </c>
    </row>
    <row r="1937" spans="2:3">
      <c r="B1937" s="412" t="s">
        <v>2196</v>
      </c>
      <c r="C1937" s="1110">
        <v>11.714334012402938</v>
      </c>
    </row>
    <row r="1938" spans="2:3">
      <c r="B1938" s="412" t="s">
        <v>2197</v>
      </c>
      <c r="C1938" s="1110">
        <v>11.714334012402938</v>
      </c>
    </row>
    <row r="1939" spans="2:3">
      <c r="B1939" s="412" t="s">
        <v>2198</v>
      </c>
      <c r="C1939" s="1110">
        <v>13.821154278217543</v>
      </c>
    </row>
    <row r="1940" spans="2:3">
      <c r="B1940" s="412" t="s">
        <v>2199</v>
      </c>
      <c r="C1940" s="1110">
        <v>13.821154278217543</v>
      </c>
    </row>
    <row r="1941" spans="2:3">
      <c r="B1941" s="412" t="s">
        <v>2200</v>
      </c>
      <c r="C1941" s="1110">
        <v>13.821154278217543</v>
      </c>
    </row>
    <row r="1942" spans="2:3">
      <c r="B1942" s="412" t="s">
        <v>2201</v>
      </c>
      <c r="C1942" s="1110">
        <v>13.821154278217543</v>
      </c>
    </row>
    <row r="1943" spans="2:3">
      <c r="B1943" s="412" t="s">
        <v>2202</v>
      </c>
      <c r="C1943" s="1110">
        <v>13.821154278217543</v>
      </c>
    </row>
    <row r="1944" spans="2:3">
      <c r="B1944" s="412" t="s">
        <v>2203</v>
      </c>
      <c r="C1944" s="1110">
        <v>13.821154278217543</v>
      </c>
    </row>
    <row r="1945" spans="2:3">
      <c r="B1945" s="412" t="s">
        <v>2204</v>
      </c>
      <c r="C1945" s="1110">
        <v>13.821154278217543</v>
      </c>
    </row>
    <row r="1946" spans="2:3">
      <c r="B1946" s="412" t="s">
        <v>2205</v>
      </c>
      <c r="C1946" s="1110">
        <v>13.821154278217543</v>
      </c>
    </row>
    <row r="1947" spans="2:3">
      <c r="B1947" s="412" t="s">
        <v>2206</v>
      </c>
      <c r="C1947" s="1110">
        <v>13.821154278217543</v>
      </c>
    </row>
    <row r="1948" spans="2:3">
      <c r="B1948" s="412" t="s">
        <v>2207</v>
      </c>
      <c r="C1948" s="1110">
        <v>13.821154278217543</v>
      </c>
    </row>
    <row r="1949" spans="2:3">
      <c r="B1949" s="412" t="s">
        <v>2208</v>
      </c>
      <c r="C1949" s="1110">
        <v>13.821154278217543</v>
      </c>
    </row>
    <row r="1950" spans="2:3">
      <c r="B1950" s="412" t="s">
        <v>2209</v>
      </c>
      <c r="C1950" s="1110">
        <v>13.821154278217543</v>
      </c>
    </row>
    <row r="1951" spans="2:3">
      <c r="B1951" s="412" t="s">
        <v>2210</v>
      </c>
      <c r="C1951" s="1110">
        <v>13.821154278217543</v>
      </c>
    </row>
    <row r="1952" spans="2:3">
      <c r="B1952" s="412" t="s">
        <v>2211</v>
      </c>
      <c r="C1952" s="1110">
        <v>13.821154278217543</v>
      </c>
    </row>
    <row r="1953" spans="2:3">
      <c r="B1953" s="412" t="s">
        <v>2212</v>
      </c>
      <c r="C1953" s="1110">
        <v>13.821154278217543</v>
      </c>
    </row>
    <row r="1954" spans="2:3">
      <c r="B1954" s="412" t="s">
        <v>2213</v>
      </c>
      <c r="C1954" s="1110">
        <v>13.821154278217543</v>
      </c>
    </row>
    <row r="1955" spans="2:3">
      <c r="B1955" s="412" t="s">
        <v>2214</v>
      </c>
      <c r="C1955" s="1110">
        <v>13.821154278217543</v>
      </c>
    </row>
    <row r="1956" spans="2:3">
      <c r="B1956" s="412" t="s">
        <v>2215</v>
      </c>
      <c r="C1956" s="1110">
        <v>13.821154278217543</v>
      </c>
    </row>
    <row r="1957" spans="2:3">
      <c r="B1957" s="412" t="s">
        <v>2216</v>
      </c>
      <c r="C1957" s="1110">
        <v>13.821154278217543</v>
      </c>
    </row>
    <row r="1958" spans="2:3">
      <c r="B1958" s="412" t="s">
        <v>2217</v>
      </c>
      <c r="C1958" s="1110">
        <v>13.821154278217543</v>
      </c>
    </row>
    <row r="1959" spans="2:3">
      <c r="B1959" s="412" t="s">
        <v>2218</v>
      </c>
      <c r="C1959" s="1110">
        <v>13.821154278217543</v>
      </c>
    </row>
    <row r="1960" spans="2:3">
      <c r="B1960" s="412" t="s">
        <v>2219</v>
      </c>
      <c r="C1960" s="1110">
        <v>13.821154278217543</v>
      </c>
    </row>
    <row r="1961" spans="2:3">
      <c r="B1961" s="412" t="s">
        <v>2220</v>
      </c>
      <c r="C1961" s="1110">
        <v>13.821154278217543</v>
      </c>
    </row>
    <row r="1962" spans="2:3">
      <c r="B1962" s="412" t="s">
        <v>2221</v>
      </c>
      <c r="C1962" s="1110">
        <v>13.821154278217543</v>
      </c>
    </row>
    <row r="1963" spans="2:3">
      <c r="B1963" s="412" t="s">
        <v>2222</v>
      </c>
      <c r="C1963" s="1110">
        <v>13.821154278217543</v>
      </c>
    </row>
    <row r="1964" spans="2:3" ht="17" thickBot="1">
      <c r="B1964" s="413" t="s">
        <v>2223</v>
      </c>
      <c r="C1964" s="655">
        <v>13.821154278217543</v>
      </c>
    </row>
    <row r="1965" spans="2:3">
      <c r="B1965" s="415" t="s">
        <v>2224</v>
      </c>
      <c r="C1965" s="1109">
        <v>13.821154278217543</v>
      </c>
    </row>
    <row r="1966" spans="2:3">
      <c r="B1966" s="412" t="s">
        <v>2225</v>
      </c>
      <c r="C1966" s="1110">
        <v>13.821154278217543</v>
      </c>
    </row>
    <row r="1967" spans="2:3">
      <c r="B1967" s="412" t="s">
        <v>2226</v>
      </c>
      <c r="C1967" s="1110">
        <v>13.821154278217543</v>
      </c>
    </row>
    <row r="1968" spans="2:3">
      <c r="B1968" s="412" t="s">
        <v>2227</v>
      </c>
      <c r="C1968" s="1110">
        <v>13.821154278217543</v>
      </c>
    </row>
    <row r="1969" spans="2:3">
      <c r="B1969" s="412" t="s">
        <v>2228</v>
      </c>
      <c r="C1969" s="1110">
        <v>13.821154278217543</v>
      </c>
    </row>
    <row r="1970" spans="2:3">
      <c r="B1970" s="412" t="s">
        <v>2229</v>
      </c>
      <c r="C1970" s="1110">
        <v>13.821154278217543</v>
      </c>
    </row>
    <row r="1971" spans="2:3">
      <c r="B1971" s="412" t="s">
        <v>2230</v>
      </c>
      <c r="C1971" s="1110">
        <v>13.821154278217543</v>
      </c>
    </row>
    <row r="1972" spans="2:3">
      <c r="B1972" s="412" t="s">
        <v>2231</v>
      </c>
      <c r="C1972" s="1110">
        <v>13.821154278217543</v>
      </c>
    </row>
    <row r="1973" spans="2:3">
      <c r="B1973" s="412" t="s">
        <v>2232</v>
      </c>
      <c r="C1973" s="1110">
        <v>13.821154278217543</v>
      </c>
    </row>
    <row r="1974" spans="2:3">
      <c r="B1974" s="412" t="s">
        <v>2233</v>
      </c>
      <c r="C1974" s="1110">
        <v>13.821154278217543</v>
      </c>
    </row>
    <row r="1975" spans="2:3">
      <c r="B1975" s="412" t="s">
        <v>2234</v>
      </c>
      <c r="C1975" s="1110">
        <v>13.821154278217543</v>
      </c>
    </row>
    <row r="1976" spans="2:3">
      <c r="B1976" s="412" t="s">
        <v>2235</v>
      </c>
      <c r="C1976" s="1110">
        <v>13.821154278217543</v>
      </c>
    </row>
    <row r="1977" spans="2:3">
      <c r="B1977" s="412" t="s">
        <v>2236</v>
      </c>
      <c r="C1977" s="1110">
        <v>13.821154278217543</v>
      </c>
    </row>
    <row r="1978" spans="2:3">
      <c r="B1978" s="412" t="s">
        <v>2237</v>
      </c>
      <c r="C1978" s="1110">
        <v>13.821154278217543</v>
      </c>
    </row>
    <row r="1979" spans="2:3">
      <c r="B1979" s="412" t="s">
        <v>2238</v>
      </c>
      <c r="C1979" s="1110">
        <v>13.821154278217543</v>
      </c>
    </row>
    <row r="1980" spans="2:3">
      <c r="B1980" s="412" t="s">
        <v>2239</v>
      </c>
      <c r="C1980" s="1110">
        <v>13.821154278217543</v>
      </c>
    </row>
    <row r="1981" spans="2:3">
      <c r="B1981" s="412" t="s">
        <v>2240</v>
      </c>
      <c r="C1981" s="1110">
        <v>13.821154278217543</v>
      </c>
    </row>
    <row r="1982" spans="2:3">
      <c r="B1982" s="412" t="s">
        <v>2241</v>
      </c>
      <c r="C1982" s="1110">
        <v>13.821154278217543</v>
      </c>
    </row>
    <row r="1983" spans="2:3">
      <c r="B1983" s="412" t="s">
        <v>2242</v>
      </c>
      <c r="C1983" s="1110">
        <v>13.821154278217543</v>
      </c>
    </row>
    <row r="1984" spans="2:3">
      <c r="B1984" s="412" t="s">
        <v>2243</v>
      </c>
      <c r="C1984" s="1110">
        <v>13.821154278217543</v>
      </c>
    </row>
    <row r="1985" spans="2:3">
      <c r="B1985" s="412" t="s">
        <v>2244</v>
      </c>
      <c r="C1985" s="1110">
        <v>13.821154278217543</v>
      </c>
    </row>
    <row r="1986" spans="2:3">
      <c r="B1986" s="412" t="s">
        <v>2245</v>
      </c>
      <c r="C1986" s="1110">
        <v>13.821154278217543</v>
      </c>
    </row>
    <row r="1987" spans="2:3">
      <c r="B1987" s="412" t="s">
        <v>2246</v>
      </c>
      <c r="C1987" s="1110">
        <v>13.821154278217543</v>
      </c>
    </row>
    <row r="1988" spans="2:3">
      <c r="B1988" s="412" t="s">
        <v>2247</v>
      </c>
      <c r="C1988" s="1110">
        <v>13.821154278217543</v>
      </c>
    </row>
    <row r="1989" spans="2:3">
      <c r="B1989" s="412" t="s">
        <v>2248</v>
      </c>
      <c r="C1989" s="1110">
        <v>13.821154278217543</v>
      </c>
    </row>
    <row r="1990" spans="2:3">
      <c r="B1990" s="412" t="s">
        <v>2249</v>
      </c>
      <c r="C1990" s="1110">
        <v>13.821154278217543</v>
      </c>
    </row>
    <row r="1991" spans="2:3">
      <c r="B1991" s="412" t="s">
        <v>2250</v>
      </c>
      <c r="C1991" s="1110">
        <v>13.821154278217543</v>
      </c>
    </row>
    <row r="1992" spans="2:3">
      <c r="B1992" s="412" t="s">
        <v>2251</v>
      </c>
      <c r="C1992" s="1110">
        <v>13.821154278217543</v>
      </c>
    </row>
    <row r="1993" spans="2:3">
      <c r="B1993" s="412" t="s">
        <v>2252</v>
      </c>
      <c r="C1993" s="1110">
        <v>13.821154278217543</v>
      </c>
    </row>
    <row r="1994" spans="2:3">
      <c r="B1994" s="412" t="s">
        <v>2253</v>
      </c>
      <c r="C1994" s="1110">
        <v>13.821154278217543</v>
      </c>
    </row>
    <row r="1995" spans="2:3">
      <c r="B1995" s="412" t="s">
        <v>2254</v>
      </c>
      <c r="C1995" s="1110">
        <v>13.821154278217543</v>
      </c>
    </row>
    <row r="1996" spans="2:3">
      <c r="B1996" s="412" t="s">
        <v>2255</v>
      </c>
      <c r="C1996" s="1110">
        <v>13.821154278217543</v>
      </c>
    </row>
    <row r="1997" spans="2:3">
      <c r="B1997" s="412" t="s">
        <v>2256</v>
      </c>
      <c r="C1997" s="1110">
        <v>13.821154278217543</v>
      </c>
    </row>
    <row r="1998" spans="2:3">
      <c r="B1998" s="412" t="s">
        <v>2257</v>
      </c>
      <c r="C1998" s="1110">
        <v>13.821154278217543</v>
      </c>
    </row>
    <row r="1999" spans="2:3">
      <c r="B1999" s="412" t="s">
        <v>2258</v>
      </c>
      <c r="C1999" s="1110">
        <v>13.821154278217543</v>
      </c>
    </row>
    <row r="2000" spans="2:3">
      <c r="B2000" s="412" t="s">
        <v>2259</v>
      </c>
      <c r="C2000" s="1110">
        <v>13.821154278217543</v>
      </c>
    </row>
    <row r="2001" spans="2:3">
      <c r="B2001" s="412" t="s">
        <v>2260</v>
      </c>
      <c r="C2001" s="1110">
        <v>13.821154278217543</v>
      </c>
    </row>
    <row r="2002" spans="2:3">
      <c r="B2002" s="412" t="s">
        <v>2261</v>
      </c>
      <c r="C2002" s="1110">
        <v>13.821154278217543</v>
      </c>
    </row>
    <row r="2003" spans="2:3">
      <c r="B2003" s="412" t="s">
        <v>2262</v>
      </c>
      <c r="C2003" s="1110">
        <v>13.821154278217543</v>
      </c>
    </row>
    <row r="2004" spans="2:3">
      <c r="B2004" s="412" t="s">
        <v>2263</v>
      </c>
      <c r="C2004" s="1110">
        <v>13.821154278217543</v>
      </c>
    </row>
    <row r="2005" spans="2:3">
      <c r="B2005" s="412" t="s">
        <v>2264</v>
      </c>
      <c r="C2005" s="1110">
        <v>13.821154278217543</v>
      </c>
    </row>
    <row r="2006" spans="2:3">
      <c r="B2006" s="412" t="s">
        <v>2265</v>
      </c>
      <c r="C2006" s="1110">
        <v>13.821154278217543</v>
      </c>
    </row>
    <row r="2007" spans="2:3">
      <c r="B2007" s="412" t="s">
        <v>2266</v>
      </c>
      <c r="C2007" s="1110">
        <v>13.821154278217543</v>
      </c>
    </row>
    <row r="2008" spans="2:3">
      <c r="B2008" s="412" t="s">
        <v>2267</v>
      </c>
      <c r="C2008" s="1110">
        <v>13.821154278217543</v>
      </c>
    </row>
    <row r="2009" spans="2:3">
      <c r="B2009" s="412" t="s">
        <v>2268</v>
      </c>
      <c r="C2009" s="1110">
        <v>13.821154278217543</v>
      </c>
    </row>
    <row r="2010" spans="2:3">
      <c r="B2010" s="412" t="s">
        <v>2269</v>
      </c>
      <c r="C2010" s="1110">
        <v>13.821154278217543</v>
      </c>
    </row>
    <row r="2011" spans="2:3">
      <c r="B2011" s="412" t="s">
        <v>2270</v>
      </c>
      <c r="C2011" s="1110">
        <v>13.821154278217543</v>
      </c>
    </row>
    <row r="2012" spans="2:3">
      <c r="B2012" s="412" t="s">
        <v>2271</v>
      </c>
      <c r="C2012" s="1110">
        <v>13.821154278217543</v>
      </c>
    </row>
    <row r="2013" spans="2:3">
      <c r="B2013" s="412" t="s">
        <v>2272</v>
      </c>
      <c r="C2013" s="1110">
        <v>13.821154278217543</v>
      </c>
    </row>
    <row r="2014" spans="2:3">
      <c r="B2014" s="412" t="s">
        <v>2273</v>
      </c>
      <c r="C2014" s="1110">
        <v>13.821154278217543</v>
      </c>
    </row>
    <row r="2015" spans="2:3">
      <c r="B2015" s="412" t="s">
        <v>2274</v>
      </c>
      <c r="C2015" s="1110">
        <v>13.821154278217543</v>
      </c>
    </row>
    <row r="2016" spans="2:3">
      <c r="B2016" s="412" t="s">
        <v>2275</v>
      </c>
      <c r="C2016" s="1110">
        <v>13.821154278217543</v>
      </c>
    </row>
    <row r="2017" spans="2:3">
      <c r="B2017" s="412" t="s">
        <v>2276</v>
      </c>
      <c r="C2017" s="1110">
        <v>13.821154278217543</v>
      </c>
    </row>
    <row r="2018" spans="2:3">
      <c r="B2018" s="412" t="s">
        <v>2277</v>
      </c>
      <c r="C2018" s="1110">
        <v>13.821154278217543</v>
      </c>
    </row>
    <row r="2019" spans="2:3">
      <c r="B2019" s="412" t="s">
        <v>2278</v>
      </c>
      <c r="C2019" s="1110">
        <v>13.821154278217543</v>
      </c>
    </row>
    <row r="2020" spans="2:3">
      <c r="B2020" s="412" t="s">
        <v>2279</v>
      </c>
      <c r="C2020" s="1110">
        <v>13.821154278217543</v>
      </c>
    </row>
    <row r="2021" spans="2:3">
      <c r="B2021" s="412" t="s">
        <v>2280</v>
      </c>
      <c r="C2021" s="1110">
        <v>13.821154278217543</v>
      </c>
    </row>
    <row r="2022" spans="2:3">
      <c r="B2022" s="412" t="s">
        <v>2281</v>
      </c>
      <c r="C2022" s="1110">
        <v>13.821154278217543</v>
      </c>
    </row>
    <row r="2023" spans="2:3">
      <c r="B2023" s="412" t="s">
        <v>2282</v>
      </c>
      <c r="C2023" s="1110">
        <v>13.821154278217543</v>
      </c>
    </row>
    <row r="2024" spans="2:3">
      <c r="B2024" s="412" t="s">
        <v>2283</v>
      </c>
      <c r="C2024" s="1110">
        <v>13.821154278217543</v>
      </c>
    </row>
    <row r="2025" spans="2:3">
      <c r="B2025" s="412" t="s">
        <v>2284</v>
      </c>
      <c r="C2025" s="1110">
        <v>13.821154278217543</v>
      </c>
    </row>
    <row r="2026" spans="2:3">
      <c r="B2026" s="412" t="s">
        <v>2285</v>
      </c>
      <c r="C2026" s="1110">
        <v>13.821154278217543</v>
      </c>
    </row>
    <row r="2027" spans="2:3">
      <c r="B2027" s="412" t="s">
        <v>2286</v>
      </c>
      <c r="C2027" s="1110">
        <v>13.821154278217543</v>
      </c>
    </row>
    <row r="2028" spans="2:3">
      <c r="B2028" s="412" t="s">
        <v>2287</v>
      </c>
      <c r="C2028" s="1110">
        <v>13.821154278217543</v>
      </c>
    </row>
    <row r="2029" spans="2:3">
      <c r="B2029" s="412" t="s">
        <v>2288</v>
      </c>
      <c r="C2029" s="1110">
        <v>13.821154278217543</v>
      </c>
    </row>
    <row r="2030" spans="2:3">
      <c r="B2030" s="412" t="s">
        <v>2289</v>
      </c>
      <c r="C2030" s="1110">
        <v>13.821154278217543</v>
      </c>
    </row>
    <row r="2031" spans="2:3">
      <c r="B2031" s="412" t="s">
        <v>2290</v>
      </c>
      <c r="C2031" s="1110">
        <v>13.821154278217543</v>
      </c>
    </row>
    <row r="2032" spans="2:3">
      <c r="B2032" s="412" t="s">
        <v>2291</v>
      </c>
      <c r="C2032" s="1110">
        <v>13.821154278217543</v>
      </c>
    </row>
    <row r="2033" spans="2:3">
      <c r="B2033" s="412" t="s">
        <v>2292</v>
      </c>
      <c r="C2033" s="1110">
        <v>13.821154278217543</v>
      </c>
    </row>
    <row r="2034" spans="2:3">
      <c r="B2034" s="412" t="s">
        <v>2293</v>
      </c>
      <c r="C2034" s="1110">
        <v>13.821154278217543</v>
      </c>
    </row>
    <row r="2035" spans="2:3">
      <c r="B2035" s="412" t="s">
        <v>2294</v>
      </c>
      <c r="C2035" s="1110">
        <v>13.821154278217543</v>
      </c>
    </row>
    <row r="2036" spans="2:3">
      <c r="B2036" s="412" t="s">
        <v>2295</v>
      </c>
      <c r="C2036" s="1110">
        <v>13.821154278217543</v>
      </c>
    </row>
    <row r="2037" spans="2:3">
      <c r="B2037" s="412" t="s">
        <v>2296</v>
      </c>
      <c r="C2037" s="1110">
        <v>13.821154278217543</v>
      </c>
    </row>
    <row r="2038" spans="2:3">
      <c r="B2038" s="412" t="s">
        <v>2297</v>
      </c>
      <c r="C2038" s="1110">
        <v>13.821154278217543</v>
      </c>
    </row>
    <row r="2039" spans="2:3">
      <c r="B2039" s="412" t="s">
        <v>2298</v>
      </c>
      <c r="C2039" s="1110">
        <v>13.821154278217543</v>
      </c>
    </row>
    <row r="2040" spans="2:3">
      <c r="B2040" s="412" t="s">
        <v>2299</v>
      </c>
      <c r="C2040" s="1110">
        <v>13.821154278217543</v>
      </c>
    </row>
    <row r="2041" spans="2:3">
      <c r="B2041" s="412" t="s">
        <v>2300</v>
      </c>
      <c r="C2041" s="1110">
        <v>13.821154278217543</v>
      </c>
    </row>
    <row r="2042" spans="2:3">
      <c r="B2042" s="412" t="s">
        <v>2301</v>
      </c>
      <c r="C2042" s="1110">
        <v>13.821154278217543</v>
      </c>
    </row>
    <row r="2043" spans="2:3">
      <c r="B2043" s="412" t="s">
        <v>2302</v>
      </c>
      <c r="C2043" s="1110">
        <v>13.821154278217543</v>
      </c>
    </row>
    <row r="2044" spans="2:3">
      <c r="B2044" s="412" t="s">
        <v>2303</v>
      </c>
      <c r="C2044" s="1110">
        <v>13.821154278217543</v>
      </c>
    </row>
    <row r="2045" spans="2:3">
      <c r="B2045" s="412" t="s">
        <v>2304</v>
      </c>
      <c r="C2045" s="1110">
        <v>13.821154278217543</v>
      </c>
    </row>
    <row r="2046" spans="2:3">
      <c r="B2046" s="412" t="s">
        <v>2305</v>
      </c>
      <c r="C2046" s="1110">
        <v>13.821154278217543</v>
      </c>
    </row>
    <row r="2047" spans="2:3">
      <c r="B2047" s="412" t="s">
        <v>2306</v>
      </c>
      <c r="C2047" s="1110">
        <v>13.821154278217543</v>
      </c>
    </row>
    <row r="2048" spans="2:3">
      <c r="B2048" s="412" t="s">
        <v>2307</v>
      </c>
      <c r="C2048" s="1110">
        <v>13.821154278217543</v>
      </c>
    </row>
    <row r="2049" spans="2:3">
      <c r="B2049" s="412" t="s">
        <v>2308</v>
      </c>
      <c r="C2049" s="1110">
        <v>13.821154278217543</v>
      </c>
    </row>
    <row r="2050" spans="2:3">
      <c r="B2050" s="412" t="s">
        <v>2309</v>
      </c>
      <c r="C2050" s="1110">
        <v>13.821154278217543</v>
      </c>
    </row>
    <row r="2051" spans="2:3">
      <c r="B2051" s="412" t="s">
        <v>2310</v>
      </c>
      <c r="C2051" s="1110">
        <v>13.821154278217543</v>
      </c>
    </row>
    <row r="2052" spans="2:3">
      <c r="B2052" s="412" t="s">
        <v>2311</v>
      </c>
      <c r="C2052" s="1110">
        <v>13.821154278217543</v>
      </c>
    </row>
    <row r="2053" spans="2:3">
      <c r="B2053" s="412" t="s">
        <v>2312</v>
      </c>
      <c r="C2053" s="1110">
        <v>13.821154278217543</v>
      </c>
    </row>
    <row r="2054" spans="2:3">
      <c r="B2054" s="412" t="s">
        <v>2313</v>
      </c>
      <c r="C2054" s="1110">
        <v>13.821154278217543</v>
      </c>
    </row>
    <row r="2055" spans="2:3">
      <c r="B2055" s="412" t="s">
        <v>2314</v>
      </c>
      <c r="C2055" s="1110">
        <v>13.821154278217543</v>
      </c>
    </row>
    <row r="2056" spans="2:3">
      <c r="B2056" s="412" t="s">
        <v>2315</v>
      </c>
      <c r="C2056" s="1110">
        <v>13.821154278217543</v>
      </c>
    </row>
    <row r="2057" spans="2:3">
      <c r="B2057" s="412" t="s">
        <v>2316</v>
      </c>
      <c r="C2057" s="1110">
        <v>13.821154278217543</v>
      </c>
    </row>
    <row r="2058" spans="2:3">
      <c r="B2058" s="412" t="s">
        <v>2317</v>
      </c>
      <c r="C2058" s="1110">
        <v>13.821154278217543</v>
      </c>
    </row>
    <row r="2059" spans="2:3">
      <c r="B2059" s="412" t="s">
        <v>2318</v>
      </c>
      <c r="C2059" s="1110">
        <v>13.821154278217543</v>
      </c>
    </row>
    <row r="2060" spans="2:3">
      <c r="B2060" s="412" t="s">
        <v>2319</v>
      </c>
      <c r="C2060" s="1110">
        <v>13.821154278217543</v>
      </c>
    </row>
    <row r="2061" spans="2:3">
      <c r="B2061" s="412" t="s">
        <v>2320</v>
      </c>
      <c r="C2061" s="1110">
        <v>13.821154278217543</v>
      </c>
    </row>
    <row r="2062" spans="2:3">
      <c r="B2062" s="412" t="s">
        <v>2321</v>
      </c>
      <c r="C2062" s="1110">
        <v>13.821154278217543</v>
      </c>
    </row>
    <row r="2063" spans="2:3">
      <c r="B2063" s="412" t="s">
        <v>2322</v>
      </c>
      <c r="C2063" s="1110">
        <v>13.821154278217543</v>
      </c>
    </row>
    <row r="2064" spans="2:3">
      <c r="B2064" s="412" t="s">
        <v>2323</v>
      </c>
      <c r="C2064" s="1110">
        <v>13.821154278217543</v>
      </c>
    </row>
    <row r="2065" spans="2:3">
      <c r="B2065" s="412" t="s">
        <v>2324</v>
      </c>
      <c r="C2065" s="1110">
        <v>13.821154278217543</v>
      </c>
    </row>
    <row r="2066" spans="2:3">
      <c r="B2066" s="412" t="s">
        <v>2325</v>
      </c>
      <c r="C2066" s="1110">
        <v>13.821154278217543</v>
      </c>
    </row>
    <row r="2067" spans="2:3">
      <c r="B2067" s="412" t="s">
        <v>2326</v>
      </c>
      <c r="C2067" s="1110">
        <v>13.821154278217543</v>
      </c>
    </row>
    <row r="2068" spans="2:3">
      <c r="B2068" s="412" t="s">
        <v>2327</v>
      </c>
      <c r="C2068" s="1110">
        <v>13.821154278217543</v>
      </c>
    </row>
    <row r="2069" spans="2:3">
      <c r="B2069" s="412" t="s">
        <v>2328</v>
      </c>
      <c r="C2069" s="1110">
        <v>13.821154278217543</v>
      </c>
    </row>
    <row r="2070" spans="2:3">
      <c r="B2070" s="412" t="s">
        <v>2329</v>
      </c>
      <c r="C2070" s="1110">
        <v>13.821154278217543</v>
      </c>
    </row>
    <row r="2071" spans="2:3">
      <c r="B2071" s="412" t="s">
        <v>2330</v>
      </c>
      <c r="C2071" s="1110">
        <v>13.821154278217543</v>
      </c>
    </row>
    <row r="2072" spans="2:3">
      <c r="B2072" s="412" t="s">
        <v>2331</v>
      </c>
      <c r="C2072" s="1110">
        <v>13.821154278217543</v>
      </c>
    </row>
    <row r="2073" spans="2:3">
      <c r="B2073" s="412" t="s">
        <v>2332</v>
      </c>
      <c r="C2073" s="1110">
        <v>13.821154278217543</v>
      </c>
    </row>
    <row r="2074" spans="2:3">
      <c r="B2074" s="412" t="s">
        <v>2333</v>
      </c>
      <c r="C2074" s="1110">
        <v>13.821154278217543</v>
      </c>
    </row>
    <row r="2075" spans="2:3">
      <c r="B2075" s="412" t="s">
        <v>2334</v>
      </c>
      <c r="C2075" s="1110">
        <v>13.821154278217543</v>
      </c>
    </row>
    <row r="2076" spans="2:3">
      <c r="B2076" s="412" t="s">
        <v>2335</v>
      </c>
      <c r="C2076" s="1110">
        <v>13.821154278217543</v>
      </c>
    </row>
    <row r="2077" spans="2:3">
      <c r="B2077" s="412" t="s">
        <v>2336</v>
      </c>
      <c r="C2077" s="1110">
        <v>13.821154278217543</v>
      </c>
    </row>
    <row r="2078" spans="2:3">
      <c r="B2078" s="412" t="s">
        <v>2337</v>
      </c>
      <c r="C2078" s="1110">
        <v>13.821154278217543</v>
      </c>
    </row>
    <row r="2079" spans="2:3">
      <c r="B2079" s="412" t="s">
        <v>2338</v>
      </c>
      <c r="C2079" s="1110">
        <v>13.821154278217543</v>
      </c>
    </row>
    <row r="2080" spans="2:3">
      <c r="B2080" s="412" t="s">
        <v>2339</v>
      </c>
      <c r="C2080" s="1110">
        <v>13.821154278217543</v>
      </c>
    </row>
    <row r="2081" spans="2:3">
      <c r="B2081" s="412" t="s">
        <v>2340</v>
      </c>
      <c r="C2081" s="1110">
        <v>13.821154278217543</v>
      </c>
    </row>
    <row r="2082" spans="2:3">
      <c r="B2082" s="412" t="s">
        <v>2341</v>
      </c>
      <c r="C2082" s="1110">
        <v>13.821154278217543</v>
      </c>
    </row>
    <row r="2083" spans="2:3">
      <c r="B2083" s="412" t="s">
        <v>2342</v>
      </c>
      <c r="C2083" s="1110">
        <v>13.821154278217543</v>
      </c>
    </row>
    <row r="2084" spans="2:3">
      <c r="B2084" s="412" t="s">
        <v>2343</v>
      </c>
      <c r="C2084" s="1110">
        <v>13.821154278217543</v>
      </c>
    </row>
    <row r="2085" spans="2:3">
      <c r="B2085" s="412" t="s">
        <v>2344</v>
      </c>
      <c r="C2085" s="1110">
        <v>13.821154278217543</v>
      </c>
    </row>
    <row r="2086" spans="2:3">
      <c r="B2086" s="412" t="s">
        <v>2345</v>
      </c>
      <c r="C2086" s="1110">
        <v>13.821154278217543</v>
      </c>
    </row>
    <row r="2087" spans="2:3">
      <c r="B2087" s="412" t="s">
        <v>2346</v>
      </c>
      <c r="C2087" s="1110">
        <v>13.821154278217543</v>
      </c>
    </row>
    <row r="2088" spans="2:3">
      <c r="B2088" s="412" t="s">
        <v>2347</v>
      </c>
      <c r="C2088" s="1110">
        <v>13.821154278217543</v>
      </c>
    </row>
    <row r="2089" spans="2:3">
      <c r="B2089" s="412" t="s">
        <v>2348</v>
      </c>
      <c r="C2089" s="1110">
        <v>13.821154278217543</v>
      </c>
    </row>
    <row r="2090" spans="2:3">
      <c r="B2090" s="412" t="s">
        <v>2349</v>
      </c>
      <c r="C2090" s="1110">
        <v>13.821154278217543</v>
      </c>
    </row>
    <row r="2091" spans="2:3">
      <c r="B2091" s="412" t="s">
        <v>2350</v>
      </c>
      <c r="C2091" s="1110">
        <v>13.821154278217543</v>
      </c>
    </row>
    <row r="2092" spans="2:3">
      <c r="B2092" s="412" t="s">
        <v>2351</v>
      </c>
      <c r="C2092" s="1110">
        <v>13.821154278217543</v>
      </c>
    </row>
    <row r="2093" spans="2:3">
      <c r="B2093" s="412" t="s">
        <v>2352</v>
      </c>
      <c r="C2093" s="1110">
        <v>13.821154278217543</v>
      </c>
    </row>
    <row r="2094" spans="2:3">
      <c r="B2094" s="412" t="s">
        <v>2353</v>
      </c>
      <c r="C2094" s="1110">
        <v>13.821154278217543</v>
      </c>
    </row>
    <row r="2095" spans="2:3">
      <c r="B2095" s="412" t="s">
        <v>2354</v>
      </c>
      <c r="C2095" s="1110">
        <v>13.821154278217543</v>
      </c>
    </row>
    <row r="2096" spans="2:3">
      <c r="B2096" s="412" t="s">
        <v>2355</v>
      </c>
      <c r="C2096" s="1110">
        <v>13.821154278217543</v>
      </c>
    </row>
    <row r="2097" spans="2:3">
      <c r="B2097" s="412" t="s">
        <v>2356</v>
      </c>
      <c r="C2097" s="1110">
        <v>13.821154278217543</v>
      </c>
    </row>
    <row r="2098" spans="2:3">
      <c r="B2098" s="412" t="s">
        <v>2357</v>
      </c>
      <c r="C2098" s="1110">
        <v>13.821154278217543</v>
      </c>
    </row>
    <row r="2099" spans="2:3">
      <c r="B2099" s="412" t="s">
        <v>2358</v>
      </c>
      <c r="C2099" s="1110">
        <v>13.821154278217543</v>
      </c>
    </row>
    <row r="2100" spans="2:3">
      <c r="B2100" s="412" t="s">
        <v>2359</v>
      </c>
      <c r="C2100" s="1110">
        <v>13.821154278217543</v>
      </c>
    </row>
    <row r="2101" spans="2:3">
      <c r="B2101" s="412" t="s">
        <v>2360</v>
      </c>
      <c r="C2101" s="1110">
        <v>13.821154278217543</v>
      </c>
    </row>
    <row r="2102" spans="2:3">
      <c r="B2102" s="412" t="s">
        <v>2361</v>
      </c>
      <c r="C2102" s="1110">
        <v>13.821154278217543</v>
      </c>
    </row>
    <row r="2103" spans="2:3">
      <c r="B2103" s="412" t="s">
        <v>2362</v>
      </c>
      <c r="C2103" s="1110">
        <v>13.821154278217543</v>
      </c>
    </row>
    <row r="2104" spans="2:3">
      <c r="B2104" s="412" t="s">
        <v>2363</v>
      </c>
      <c r="C2104" s="1110">
        <v>13.821154278217543</v>
      </c>
    </row>
    <row r="2105" spans="2:3">
      <c r="B2105" s="412" t="s">
        <v>2364</v>
      </c>
      <c r="C2105" s="1110">
        <v>13.821154278217543</v>
      </c>
    </row>
    <row r="2106" spans="2:3">
      <c r="B2106" s="412" t="s">
        <v>2365</v>
      </c>
      <c r="C2106" s="1110">
        <v>13.821154278217543</v>
      </c>
    </row>
    <row r="2107" spans="2:3">
      <c r="B2107" s="412" t="s">
        <v>2366</v>
      </c>
      <c r="C2107" s="1110">
        <v>13.821154278217543</v>
      </c>
    </row>
    <row r="2108" spans="2:3">
      <c r="B2108" s="412" t="s">
        <v>2367</v>
      </c>
      <c r="C2108" s="1110">
        <v>13.821154278217543</v>
      </c>
    </row>
    <row r="2109" spans="2:3">
      <c r="B2109" s="412" t="s">
        <v>2368</v>
      </c>
      <c r="C2109" s="1110">
        <v>13.821154278217543</v>
      </c>
    </row>
    <row r="2110" spans="2:3">
      <c r="B2110" s="412" t="s">
        <v>2369</v>
      </c>
      <c r="C2110" s="1110">
        <v>13.821154278217543</v>
      </c>
    </row>
    <row r="2111" spans="2:3">
      <c r="B2111" s="412" t="s">
        <v>2370</v>
      </c>
      <c r="C2111" s="1110">
        <v>13.821154278217543</v>
      </c>
    </row>
    <row r="2112" spans="2:3">
      <c r="B2112" s="412" t="s">
        <v>2371</v>
      </c>
      <c r="C2112" s="1110">
        <v>13.821154278217543</v>
      </c>
    </row>
    <row r="2113" spans="2:3">
      <c r="B2113" s="412" t="s">
        <v>2372</v>
      </c>
      <c r="C2113" s="1110">
        <v>13.821154278217543</v>
      </c>
    </row>
    <row r="2114" spans="2:3">
      <c r="B2114" s="412" t="s">
        <v>2373</v>
      </c>
      <c r="C2114" s="1110">
        <v>13.821154278217543</v>
      </c>
    </row>
    <row r="2115" spans="2:3">
      <c r="B2115" s="412" t="s">
        <v>2374</v>
      </c>
      <c r="C2115" s="1110">
        <v>13.821154278217543</v>
      </c>
    </row>
    <row r="2116" spans="2:3">
      <c r="B2116" s="412" t="s">
        <v>2375</v>
      </c>
      <c r="C2116" s="1110">
        <v>13.821154278217543</v>
      </c>
    </row>
    <row r="2117" spans="2:3">
      <c r="B2117" s="412" t="s">
        <v>2376</v>
      </c>
      <c r="C2117" s="1110">
        <v>13.821154278217543</v>
      </c>
    </row>
    <row r="2118" spans="2:3">
      <c r="B2118" s="412" t="s">
        <v>2377</v>
      </c>
      <c r="C2118" s="1110">
        <v>13.821154278217543</v>
      </c>
    </row>
    <row r="2119" spans="2:3">
      <c r="B2119" s="412" t="s">
        <v>2378</v>
      </c>
      <c r="C2119" s="1110">
        <v>13.821154278217543</v>
      </c>
    </row>
    <row r="2120" spans="2:3">
      <c r="B2120" s="412" t="s">
        <v>2379</v>
      </c>
      <c r="C2120" s="1110">
        <v>13.821154278217543</v>
      </c>
    </row>
    <row r="2121" spans="2:3">
      <c r="B2121" s="412" t="s">
        <v>2380</v>
      </c>
      <c r="C2121" s="1110">
        <v>13.821154278217543</v>
      </c>
    </row>
    <row r="2122" spans="2:3">
      <c r="B2122" s="412" t="s">
        <v>2381</v>
      </c>
      <c r="C2122" s="1110">
        <v>13.821154278217543</v>
      </c>
    </row>
    <row r="2123" spans="2:3">
      <c r="B2123" s="412" t="s">
        <v>2382</v>
      </c>
      <c r="C2123" s="1110">
        <v>13.821154278217543</v>
      </c>
    </row>
    <row r="2124" spans="2:3">
      <c r="B2124" s="412" t="s">
        <v>2383</v>
      </c>
      <c r="C2124" s="1110">
        <v>13.821154278217543</v>
      </c>
    </row>
    <row r="2125" spans="2:3">
      <c r="B2125" s="412" t="s">
        <v>2384</v>
      </c>
      <c r="C2125" s="1110">
        <v>13.821154278217543</v>
      </c>
    </row>
    <row r="2126" spans="2:3">
      <c r="B2126" s="412" t="s">
        <v>2385</v>
      </c>
      <c r="C2126" s="1110">
        <v>13.821154278217543</v>
      </c>
    </row>
    <row r="2127" spans="2:3">
      <c r="B2127" s="412" t="s">
        <v>2386</v>
      </c>
      <c r="C2127" s="1110">
        <v>13.821154278217543</v>
      </c>
    </row>
    <row r="2128" spans="2:3">
      <c r="B2128" s="412" t="s">
        <v>2387</v>
      </c>
      <c r="C2128" s="1110">
        <v>13.821154278217543</v>
      </c>
    </row>
    <row r="2129" spans="2:3">
      <c r="B2129" s="412" t="s">
        <v>2388</v>
      </c>
      <c r="C2129" s="1110">
        <v>13.821154278217543</v>
      </c>
    </row>
    <row r="2130" spans="2:3">
      <c r="B2130" s="412" t="s">
        <v>2389</v>
      </c>
      <c r="C2130" s="1110">
        <v>13.821154278217543</v>
      </c>
    </row>
    <row r="2131" spans="2:3">
      <c r="B2131" s="412" t="s">
        <v>2390</v>
      </c>
      <c r="C2131" s="1110">
        <v>13.821154278217543</v>
      </c>
    </row>
    <row r="2132" spans="2:3">
      <c r="B2132" s="412" t="s">
        <v>2391</v>
      </c>
      <c r="C2132" s="1110">
        <v>13.821154278217543</v>
      </c>
    </row>
    <row r="2133" spans="2:3">
      <c r="B2133" s="412" t="s">
        <v>2392</v>
      </c>
      <c r="C2133" s="1110">
        <v>13.821154278217543</v>
      </c>
    </row>
    <row r="2134" spans="2:3">
      <c r="B2134" s="412" t="s">
        <v>2393</v>
      </c>
      <c r="C2134" s="1110">
        <v>13.821154278217543</v>
      </c>
    </row>
    <row r="2135" spans="2:3">
      <c r="B2135" s="412" t="s">
        <v>2394</v>
      </c>
      <c r="C2135" s="1110">
        <v>13.821154278217543</v>
      </c>
    </row>
    <row r="2136" spans="2:3">
      <c r="B2136" s="412" t="s">
        <v>2395</v>
      </c>
      <c r="C2136" s="1110">
        <v>13.821154278217543</v>
      </c>
    </row>
    <row r="2137" spans="2:3">
      <c r="B2137" s="412" t="s">
        <v>2396</v>
      </c>
      <c r="C2137" s="1110">
        <v>13.821154278217543</v>
      </c>
    </row>
    <row r="2138" spans="2:3">
      <c r="B2138" s="412" t="s">
        <v>2397</v>
      </c>
      <c r="C2138" s="1110">
        <v>13.821154278217543</v>
      </c>
    </row>
    <row r="2139" spans="2:3">
      <c r="B2139" s="412" t="s">
        <v>2398</v>
      </c>
      <c r="C2139" s="1110">
        <v>13.821154278217543</v>
      </c>
    </row>
    <row r="2140" spans="2:3">
      <c r="B2140" s="412" t="s">
        <v>2399</v>
      </c>
      <c r="C2140" s="1110">
        <v>13.821154278217543</v>
      </c>
    </row>
    <row r="2141" spans="2:3">
      <c r="B2141" s="412" t="s">
        <v>2400</v>
      </c>
      <c r="C2141" s="1110">
        <v>13.821154278217543</v>
      </c>
    </row>
    <row r="2142" spans="2:3">
      <c r="B2142" s="412" t="s">
        <v>2401</v>
      </c>
      <c r="C2142" s="1110">
        <v>13.821154278217543</v>
      </c>
    </row>
    <row r="2143" spans="2:3">
      <c r="B2143" s="412" t="s">
        <v>2402</v>
      </c>
      <c r="C2143" s="1110">
        <v>13.821154278217543</v>
      </c>
    </row>
    <row r="2144" spans="2:3">
      <c r="B2144" s="412" t="s">
        <v>2403</v>
      </c>
      <c r="C2144" s="1110">
        <v>13.821154278217543</v>
      </c>
    </row>
    <row r="2145" spans="2:3">
      <c r="B2145" s="412" t="s">
        <v>2404</v>
      </c>
      <c r="C2145" s="1110">
        <v>13.821154278217543</v>
      </c>
    </row>
    <row r="2146" spans="2:3">
      <c r="B2146" s="412" t="s">
        <v>2405</v>
      </c>
      <c r="C2146" s="1110">
        <v>13.821154278217543</v>
      </c>
    </row>
    <row r="2147" spans="2:3">
      <c r="B2147" s="412" t="s">
        <v>2406</v>
      </c>
      <c r="C2147" s="1110">
        <v>13.821154278217543</v>
      </c>
    </row>
    <row r="2148" spans="2:3">
      <c r="B2148" s="412" t="s">
        <v>2407</v>
      </c>
      <c r="C2148" s="1110">
        <v>13.821154278217543</v>
      </c>
    </row>
    <row r="2149" spans="2:3">
      <c r="B2149" s="412" t="s">
        <v>2408</v>
      </c>
      <c r="C2149" s="1110">
        <v>13.821154278217543</v>
      </c>
    </row>
    <row r="2150" spans="2:3">
      <c r="B2150" s="412" t="s">
        <v>2409</v>
      </c>
      <c r="C2150" s="1110">
        <v>13.821154278217543</v>
      </c>
    </row>
    <row r="2151" spans="2:3">
      <c r="B2151" s="412" t="s">
        <v>2410</v>
      </c>
      <c r="C2151" s="1110">
        <v>13.821154278217543</v>
      </c>
    </row>
    <row r="2152" spans="2:3">
      <c r="B2152" s="412" t="s">
        <v>2411</v>
      </c>
      <c r="C2152" s="1110">
        <v>13.821154278217543</v>
      </c>
    </row>
    <row r="2153" spans="2:3">
      <c r="B2153" s="412" t="s">
        <v>2412</v>
      </c>
      <c r="C2153" s="1110">
        <v>13.821154278217543</v>
      </c>
    </row>
    <row r="2154" spans="2:3">
      <c r="B2154" s="412" t="s">
        <v>2413</v>
      </c>
      <c r="C2154" s="1110">
        <v>13.821154278217543</v>
      </c>
    </row>
    <row r="2155" spans="2:3">
      <c r="B2155" s="412" t="s">
        <v>2414</v>
      </c>
      <c r="C2155" s="1110">
        <v>13.821154278217543</v>
      </c>
    </row>
    <row r="2156" spans="2:3">
      <c r="B2156" s="412" t="s">
        <v>2415</v>
      </c>
      <c r="C2156" s="1110">
        <v>13.821154278217543</v>
      </c>
    </row>
    <row r="2157" spans="2:3">
      <c r="B2157" s="412" t="s">
        <v>2416</v>
      </c>
      <c r="C2157" s="1110">
        <v>13.821154278217543</v>
      </c>
    </row>
    <row r="2158" spans="2:3">
      <c r="B2158" s="412" t="s">
        <v>2417</v>
      </c>
      <c r="C2158" s="1110">
        <v>13.821154278217543</v>
      </c>
    </row>
    <row r="2159" spans="2:3">
      <c r="B2159" s="412" t="s">
        <v>2418</v>
      </c>
      <c r="C2159" s="1110">
        <v>13.821154278217543</v>
      </c>
    </row>
    <row r="2160" spans="2:3">
      <c r="B2160" s="412" t="s">
        <v>2419</v>
      </c>
      <c r="C2160" s="1110">
        <v>13.821154278217543</v>
      </c>
    </row>
    <row r="2161" spans="2:3">
      <c r="B2161" s="412" t="s">
        <v>2420</v>
      </c>
      <c r="C2161" s="1110">
        <v>13.821154278217543</v>
      </c>
    </row>
    <row r="2162" spans="2:3">
      <c r="B2162" s="412" t="s">
        <v>2421</v>
      </c>
      <c r="C2162" s="1110">
        <v>13.821154278217543</v>
      </c>
    </row>
    <row r="2163" spans="2:3">
      <c r="B2163" s="412" t="s">
        <v>2422</v>
      </c>
      <c r="C2163" s="1110">
        <v>13.821154278217543</v>
      </c>
    </row>
    <row r="2164" spans="2:3">
      <c r="B2164" s="412" t="s">
        <v>2423</v>
      </c>
      <c r="C2164" s="1110">
        <v>13.821154278217543</v>
      </c>
    </row>
    <row r="2165" spans="2:3">
      <c r="B2165" s="412" t="s">
        <v>2424</v>
      </c>
      <c r="C2165" s="1110">
        <v>13.821154278217543</v>
      </c>
    </row>
    <row r="2166" spans="2:3">
      <c r="B2166" s="412" t="s">
        <v>2425</v>
      </c>
      <c r="C2166" s="1110">
        <v>13.821154278217543</v>
      </c>
    </row>
    <row r="2167" spans="2:3">
      <c r="B2167" s="412" t="s">
        <v>2426</v>
      </c>
      <c r="C2167" s="1110">
        <v>13.821154278217543</v>
      </c>
    </row>
    <row r="2168" spans="2:3">
      <c r="B2168" s="412" t="s">
        <v>2427</v>
      </c>
      <c r="C2168" s="1110">
        <v>13.821154278217543</v>
      </c>
    </row>
    <row r="2169" spans="2:3">
      <c r="B2169" s="412" t="s">
        <v>2428</v>
      </c>
      <c r="C2169" s="1110">
        <v>13.821154278217543</v>
      </c>
    </row>
    <row r="2170" spans="2:3">
      <c r="B2170" s="412" t="s">
        <v>2429</v>
      </c>
      <c r="C2170" s="1110">
        <v>13.821154278217543</v>
      </c>
    </row>
    <row r="2171" spans="2:3">
      <c r="B2171" s="412" t="s">
        <v>2430</v>
      </c>
      <c r="C2171" s="1110">
        <v>13.821154278217543</v>
      </c>
    </row>
    <row r="2172" spans="2:3">
      <c r="B2172" s="412" t="s">
        <v>2431</v>
      </c>
      <c r="C2172" s="1110">
        <v>13.821154278217543</v>
      </c>
    </row>
    <row r="2173" spans="2:3">
      <c r="B2173" s="412" t="s">
        <v>2432</v>
      </c>
      <c r="C2173" s="1110">
        <v>13.821154278217543</v>
      </c>
    </row>
    <row r="2174" spans="2:3">
      <c r="B2174" s="412" t="s">
        <v>2433</v>
      </c>
      <c r="C2174" s="1110">
        <v>13.821154278217543</v>
      </c>
    </row>
    <row r="2175" spans="2:3">
      <c r="B2175" s="412" t="s">
        <v>2434</v>
      </c>
      <c r="C2175" s="1110">
        <v>13.821154278217543</v>
      </c>
    </row>
    <row r="2176" spans="2:3">
      <c r="B2176" s="412" t="s">
        <v>2435</v>
      </c>
      <c r="C2176" s="1110">
        <v>13.821154278217543</v>
      </c>
    </row>
    <row r="2177" spans="2:3">
      <c r="B2177" s="412" t="s">
        <v>2436</v>
      </c>
      <c r="C2177" s="1110">
        <v>13.821154278217543</v>
      </c>
    </row>
    <row r="2178" spans="2:3">
      <c r="B2178" s="412" t="s">
        <v>2437</v>
      </c>
      <c r="C2178" s="1110">
        <v>13.821154278217543</v>
      </c>
    </row>
    <row r="2179" spans="2:3">
      <c r="B2179" s="412" t="s">
        <v>2438</v>
      </c>
      <c r="C2179" s="1110">
        <v>13.821154278217543</v>
      </c>
    </row>
    <row r="2180" spans="2:3">
      <c r="B2180" s="412" t="s">
        <v>2439</v>
      </c>
      <c r="C2180" s="1110">
        <v>13.821154278217543</v>
      </c>
    </row>
    <row r="2181" spans="2:3">
      <c r="B2181" s="412" t="s">
        <v>2440</v>
      </c>
      <c r="C2181" s="1110">
        <v>13.821154278217543</v>
      </c>
    </row>
    <row r="2182" spans="2:3">
      <c r="B2182" s="412" t="s">
        <v>2441</v>
      </c>
      <c r="C2182" s="1110">
        <v>13.821154278217543</v>
      </c>
    </row>
    <row r="2183" spans="2:3">
      <c r="B2183" s="412" t="s">
        <v>2442</v>
      </c>
      <c r="C2183" s="1110">
        <v>13.821154278217543</v>
      </c>
    </row>
    <row r="2184" spans="2:3">
      <c r="B2184" s="412" t="s">
        <v>2443</v>
      </c>
      <c r="C2184" s="1110">
        <v>13.821154278217543</v>
      </c>
    </row>
    <row r="2185" spans="2:3">
      <c r="B2185" s="412" t="s">
        <v>2444</v>
      </c>
      <c r="C2185" s="1110">
        <v>13.821154278217543</v>
      </c>
    </row>
    <row r="2186" spans="2:3">
      <c r="B2186" s="412" t="s">
        <v>2445</v>
      </c>
      <c r="C2186" s="1110">
        <v>13.821154278217543</v>
      </c>
    </row>
    <row r="2187" spans="2:3">
      <c r="B2187" s="412" t="s">
        <v>2446</v>
      </c>
      <c r="C2187" s="1110">
        <v>13.821154278217543</v>
      </c>
    </row>
    <row r="2188" spans="2:3">
      <c r="B2188" s="412" t="s">
        <v>2447</v>
      </c>
      <c r="C2188" s="1110">
        <v>13.821154278217543</v>
      </c>
    </row>
    <row r="2189" spans="2:3">
      <c r="B2189" s="412" t="s">
        <v>2448</v>
      </c>
      <c r="C2189" s="1110">
        <v>13.821154278217543</v>
      </c>
    </row>
    <row r="2190" spans="2:3">
      <c r="B2190" s="412" t="s">
        <v>2449</v>
      </c>
      <c r="C2190" s="1110">
        <v>13.821154278217543</v>
      </c>
    </row>
    <row r="2191" spans="2:3">
      <c r="B2191" s="412" t="s">
        <v>2450</v>
      </c>
      <c r="C2191" s="1110">
        <v>13.821154278217543</v>
      </c>
    </row>
    <row r="2192" spans="2:3">
      <c r="B2192" s="412" t="s">
        <v>2451</v>
      </c>
      <c r="C2192" s="1110">
        <v>13.821154278217543</v>
      </c>
    </row>
    <row r="2193" spans="2:3">
      <c r="B2193" s="412" t="s">
        <v>2452</v>
      </c>
      <c r="C2193" s="1110">
        <v>11.805934893525311</v>
      </c>
    </row>
    <row r="2194" spans="2:3" ht="17" thickBot="1">
      <c r="B2194" s="413" t="s">
        <v>2453</v>
      </c>
      <c r="C2194" s="655">
        <v>12.010185368879032</v>
      </c>
    </row>
    <row r="2195" spans="2:3">
      <c r="B2195" s="415" t="s">
        <v>2454</v>
      </c>
      <c r="C2195" s="1109">
        <v>13.821154278217543</v>
      </c>
    </row>
    <row r="2196" spans="2:3">
      <c r="B2196" s="412" t="s">
        <v>2455</v>
      </c>
      <c r="C2196" s="1110">
        <v>13.821154278217543</v>
      </c>
    </row>
    <row r="2197" spans="2:3">
      <c r="B2197" s="412" t="s">
        <v>2456</v>
      </c>
      <c r="C2197" s="1110">
        <v>13.821154278217543</v>
      </c>
    </row>
    <row r="2198" spans="2:3">
      <c r="B2198" s="412" t="s">
        <v>2457</v>
      </c>
      <c r="C2198" s="1110">
        <v>13.821154278217543</v>
      </c>
    </row>
    <row r="2199" spans="2:3">
      <c r="B2199" s="412" t="s">
        <v>2458</v>
      </c>
      <c r="C2199" s="1110">
        <v>13.821154278217543</v>
      </c>
    </row>
    <row r="2200" spans="2:3">
      <c r="B2200" s="412" t="s">
        <v>2459</v>
      </c>
      <c r="C2200" s="1110">
        <v>13.821154278217543</v>
      </c>
    </row>
    <row r="2201" spans="2:3">
      <c r="B2201" s="412" t="s">
        <v>2460</v>
      </c>
      <c r="C2201" s="1110">
        <v>13.821154278217543</v>
      </c>
    </row>
    <row r="2202" spans="2:3">
      <c r="B2202" s="412" t="s">
        <v>2461</v>
      </c>
      <c r="C2202" s="1110">
        <v>13.821154278217543</v>
      </c>
    </row>
    <row r="2203" spans="2:3">
      <c r="B2203" s="412" t="s">
        <v>2462</v>
      </c>
      <c r="C2203" s="1110">
        <v>13.821154278217543</v>
      </c>
    </row>
    <row r="2204" spans="2:3">
      <c r="B2204" s="412" t="s">
        <v>2463</v>
      </c>
      <c r="C2204" s="1110">
        <v>13.821154278217543</v>
      </c>
    </row>
    <row r="2205" spans="2:3">
      <c r="B2205" s="412" t="s">
        <v>2464</v>
      </c>
      <c r="C2205" s="1110">
        <v>13.821154278217543</v>
      </c>
    </row>
    <row r="2206" spans="2:3">
      <c r="B2206" s="412" t="s">
        <v>2465</v>
      </c>
      <c r="C2206" s="1110">
        <v>13.821154278217543</v>
      </c>
    </row>
    <row r="2207" spans="2:3">
      <c r="B2207" s="412" t="s">
        <v>2466</v>
      </c>
      <c r="C2207" s="1110">
        <v>13.821154278217543</v>
      </c>
    </row>
    <row r="2208" spans="2:3">
      <c r="B2208" s="412" t="s">
        <v>2467</v>
      </c>
      <c r="C2208" s="1110">
        <v>13.821154278217543</v>
      </c>
    </row>
    <row r="2209" spans="2:3">
      <c r="B2209" s="412" t="s">
        <v>2468</v>
      </c>
      <c r="C2209" s="1110">
        <v>13.821154278217543</v>
      </c>
    </row>
    <row r="2210" spans="2:3">
      <c r="B2210" s="412" t="s">
        <v>2469</v>
      </c>
      <c r="C2210" s="1110">
        <v>13.821154278217543</v>
      </c>
    </row>
    <row r="2211" spans="2:3">
      <c r="B2211" s="412" t="s">
        <v>2470</v>
      </c>
      <c r="C2211" s="1110">
        <v>13.821154278217543</v>
      </c>
    </row>
    <row r="2212" spans="2:3">
      <c r="B2212" s="412" t="s">
        <v>2471</v>
      </c>
      <c r="C2212" s="1110">
        <v>13.821154278217543</v>
      </c>
    </row>
    <row r="2213" spans="2:3">
      <c r="B2213" s="412" t="s">
        <v>2472</v>
      </c>
      <c r="C2213" s="1110">
        <v>13.821154278217543</v>
      </c>
    </row>
    <row r="2214" spans="2:3">
      <c r="B2214" s="412" t="s">
        <v>2473</v>
      </c>
      <c r="C2214" s="1110">
        <v>13.821154278217543</v>
      </c>
    </row>
    <row r="2215" spans="2:3">
      <c r="B2215" s="412" t="s">
        <v>2474</v>
      </c>
      <c r="C2215" s="1110">
        <v>13.821154278217543</v>
      </c>
    </row>
    <row r="2216" spans="2:3">
      <c r="B2216" s="412" t="s">
        <v>2475</v>
      </c>
      <c r="C2216" s="1110">
        <v>13.821154278217543</v>
      </c>
    </row>
    <row r="2217" spans="2:3">
      <c r="B2217" s="412" t="s">
        <v>2476</v>
      </c>
      <c r="C2217" s="1110">
        <v>13.821154278217543</v>
      </c>
    </row>
    <row r="2218" spans="2:3">
      <c r="B2218" s="412" t="s">
        <v>2477</v>
      </c>
      <c r="C2218" s="1110">
        <v>13.821154278217543</v>
      </c>
    </row>
    <row r="2219" spans="2:3">
      <c r="B2219" s="412" t="s">
        <v>2478</v>
      </c>
      <c r="C2219" s="1110">
        <v>13.821154278217543</v>
      </c>
    </row>
    <row r="2220" spans="2:3">
      <c r="B2220" s="412" t="s">
        <v>2479</v>
      </c>
      <c r="C2220" s="1110">
        <v>13.821154278217543</v>
      </c>
    </row>
    <row r="2221" spans="2:3">
      <c r="B2221" s="412" t="s">
        <v>2480</v>
      </c>
      <c r="C2221" s="1110">
        <v>13.821154278217543</v>
      </c>
    </row>
    <row r="2222" spans="2:3">
      <c r="B2222" s="412" t="s">
        <v>2481</v>
      </c>
      <c r="C2222" s="1110">
        <v>13.821154278217543</v>
      </c>
    </row>
    <row r="2223" spans="2:3">
      <c r="B2223" s="412" t="s">
        <v>2482</v>
      </c>
      <c r="C2223" s="1110">
        <v>13.821154278217543</v>
      </c>
    </row>
    <row r="2224" spans="2:3">
      <c r="B2224" s="412" t="s">
        <v>2483</v>
      </c>
      <c r="C2224" s="1110">
        <v>13.821154278217543</v>
      </c>
    </row>
    <row r="2225" spans="2:3">
      <c r="B2225" s="412" t="s">
        <v>2484</v>
      </c>
      <c r="C2225" s="1110">
        <v>13.821154278217543</v>
      </c>
    </row>
    <row r="2226" spans="2:3">
      <c r="B2226" s="412" t="s">
        <v>2485</v>
      </c>
      <c r="C2226" s="1110">
        <v>13.821154278217543</v>
      </c>
    </row>
    <row r="2227" spans="2:3">
      <c r="B2227" s="412" t="s">
        <v>2486</v>
      </c>
      <c r="C2227" s="1110">
        <v>13.821154278217543</v>
      </c>
    </row>
    <row r="2228" spans="2:3">
      <c r="B2228" s="412" t="s">
        <v>2487</v>
      </c>
      <c r="C2228" s="1110">
        <v>13.821154278217543</v>
      </c>
    </row>
    <row r="2229" spans="2:3">
      <c r="B2229" s="412" t="s">
        <v>2488</v>
      </c>
      <c r="C2229" s="1110">
        <v>13.821154278217543</v>
      </c>
    </row>
    <row r="2230" spans="2:3">
      <c r="B2230" s="412" t="s">
        <v>2489</v>
      </c>
      <c r="C2230" s="1110">
        <v>13.821154278217543</v>
      </c>
    </row>
    <row r="2231" spans="2:3">
      <c r="B2231" s="412" t="s">
        <v>2490</v>
      </c>
      <c r="C2231" s="1110">
        <v>13.821154278217543</v>
      </c>
    </row>
    <row r="2232" spans="2:3">
      <c r="B2232" s="412" t="s">
        <v>2491</v>
      </c>
      <c r="C2232" s="1110">
        <v>13.821154278217543</v>
      </c>
    </row>
    <row r="2233" spans="2:3">
      <c r="B2233" s="412" t="s">
        <v>2492</v>
      </c>
      <c r="C2233" s="1110">
        <v>13.821154278217543</v>
      </c>
    </row>
    <row r="2234" spans="2:3">
      <c r="B2234" s="412" t="s">
        <v>2493</v>
      </c>
      <c r="C2234" s="1110">
        <v>13.821154278217543</v>
      </c>
    </row>
    <row r="2235" spans="2:3">
      <c r="B2235" s="412" t="s">
        <v>2494</v>
      </c>
      <c r="C2235" s="1110">
        <v>13.821154278217543</v>
      </c>
    </row>
    <row r="2236" spans="2:3">
      <c r="B2236" s="412" t="s">
        <v>2495</v>
      </c>
      <c r="C2236" s="1110">
        <v>13.821154278217543</v>
      </c>
    </row>
    <row r="2237" spans="2:3">
      <c r="B2237" s="412" t="s">
        <v>2496</v>
      </c>
      <c r="C2237" s="1110">
        <v>13.821154278217543</v>
      </c>
    </row>
    <row r="2238" spans="2:3">
      <c r="B2238" s="412" t="s">
        <v>2497</v>
      </c>
      <c r="C2238" s="1110">
        <v>13.821154278217543</v>
      </c>
    </row>
    <row r="2239" spans="2:3">
      <c r="B2239" s="412" t="s">
        <v>2498</v>
      </c>
      <c r="C2239" s="1110">
        <v>13.821154278217543</v>
      </c>
    </row>
    <row r="2240" spans="2:3">
      <c r="B2240" s="412" t="s">
        <v>2499</v>
      </c>
      <c r="C2240" s="1110">
        <v>13.821154278217543</v>
      </c>
    </row>
    <row r="2241" spans="2:3">
      <c r="B2241" s="412" t="s">
        <v>2500</v>
      </c>
      <c r="C2241" s="1110">
        <v>13.821154278217543</v>
      </c>
    </row>
    <row r="2242" spans="2:3">
      <c r="B2242" s="412" t="s">
        <v>2501</v>
      </c>
      <c r="C2242" s="1110">
        <v>13.821154278217543</v>
      </c>
    </row>
    <row r="2243" spans="2:3">
      <c r="B2243" s="412" t="s">
        <v>2502</v>
      </c>
      <c r="C2243" s="1110">
        <v>13.821154278217543</v>
      </c>
    </row>
    <row r="2244" spans="2:3">
      <c r="B2244" s="412" t="s">
        <v>2503</v>
      </c>
      <c r="C2244" s="1110">
        <v>13.821154278217543</v>
      </c>
    </row>
    <row r="2245" spans="2:3">
      <c r="B2245" s="412" t="s">
        <v>2504</v>
      </c>
      <c r="C2245" s="1110">
        <v>13.821154278217543</v>
      </c>
    </row>
    <row r="2246" spans="2:3">
      <c r="B2246" s="704">
        <v>1</v>
      </c>
      <c r="C2246" s="1110">
        <v>9.4919290855704439</v>
      </c>
    </row>
    <row r="2247" spans="2:3">
      <c r="B2247" s="704">
        <v>10</v>
      </c>
      <c r="C2247" s="1110">
        <v>9.4919290855704439</v>
      </c>
    </row>
    <row r="2248" spans="2:3">
      <c r="B2248" s="704">
        <v>11</v>
      </c>
      <c r="C2248" s="1110">
        <v>9.4919290855704439</v>
      </c>
    </row>
    <row r="2249" spans="2:3">
      <c r="B2249" s="704">
        <v>12</v>
      </c>
      <c r="C2249" s="1110">
        <v>9.4919290855704439</v>
      </c>
    </row>
    <row r="2250" spans="2:3">
      <c r="B2250" s="704">
        <v>13</v>
      </c>
      <c r="C2250" s="1110">
        <v>9.4919290855704439</v>
      </c>
    </row>
    <row r="2251" spans="2:3">
      <c r="B2251" s="704">
        <v>14</v>
      </c>
      <c r="C2251" s="1110">
        <v>9.8046339550232844</v>
      </c>
    </row>
    <row r="2252" spans="2:3">
      <c r="B2252" s="704">
        <v>15</v>
      </c>
      <c r="C2252" s="1110">
        <v>13.80582958727012</v>
      </c>
    </row>
    <row r="2253" spans="2:3">
      <c r="B2253" s="704">
        <v>16</v>
      </c>
      <c r="C2253" s="1110">
        <v>13.821154278217543</v>
      </c>
    </row>
    <row r="2254" spans="2:3">
      <c r="B2254" s="704">
        <v>17</v>
      </c>
      <c r="C2254" s="1110">
        <v>13.821154278217543</v>
      </c>
    </row>
    <row r="2255" spans="2:3">
      <c r="B2255" s="704">
        <v>18</v>
      </c>
      <c r="C2255" s="1110">
        <v>13.821154278217543</v>
      </c>
    </row>
    <row r="2256" spans="2:3">
      <c r="B2256" s="704">
        <v>19</v>
      </c>
      <c r="C2256" s="1110">
        <v>13.821154278217543</v>
      </c>
    </row>
    <row r="2257" spans="2:3">
      <c r="B2257" s="704">
        <v>2</v>
      </c>
      <c r="C2257" s="1110">
        <v>9.4919290855704439</v>
      </c>
    </row>
    <row r="2258" spans="2:3">
      <c r="B2258" s="704">
        <v>20</v>
      </c>
      <c r="C2258" s="1110">
        <v>13.821154278217543</v>
      </c>
    </row>
    <row r="2259" spans="2:3">
      <c r="B2259" s="704">
        <v>3</v>
      </c>
      <c r="C2259" s="1110">
        <v>9.4919290855704439</v>
      </c>
    </row>
    <row r="2260" spans="2:3">
      <c r="B2260" s="704">
        <v>4</v>
      </c>
      <c r="C2260" s="1110">
        <v>13.034022425008981</v>
      </c>
    </row>
    <row r="2261" spans="2:3">
      <c r="B2261" s="704">
        <v>5</v>
      </c>
      <c r="C2261" s="1110">
        <v>9.4919290855704439</v>
      </c>
    </row>
    <row r="2262" spans="2:3">
      <c r="B2262" s="704">
        <v>6</v>
      </c>
      <c r="C2262" s="1110">
        <v>9.4919290855704439</v>
      </c>
    </row>
    <row r="2263" spans="2:3">
      <c r="B2263" s="704">
        <v>7</v>
      </c>
      <c r="C2263" s="1110">
        <v>9.4919290855704439</v>
      </c>
    </row>
    <row r="2264" spans="2:3">
      <c r="B2264" s="704">
        <v>8</v>
      </c>
      <c r="C2264" s="1110">
        <v>9.4919290855704439</v>
      </c>
    </row>
    <row r="2265" spans="2:3" ht="17" thickBot="1">
      <c r="B2265" s="705">
        <v>9</v>
      </c>
      <c r="C2265" s="655">
        <v>9.4919290855704439</v>
      </c>
    </row>
    <row r="2266" spans="2:3">
      <c r="B2266" s="415" t="s">
        <v>2505</v>
      </c>
      <c r="C2266" s="1109">
        <v>11.714334012402938</v>
      </c>
    </row>
    <row r="2267" spans="2:3">
      <c r="B2267" s="412" t="s">
        <v>2506</v>
      </c>
      <c r="C2267" s="1110">
        <v>11.714334012402938</v>
      </c>
    </row>
    <row r="2268" spans="2:3">
      <c r="B2268" s="412" t="s">
        <v>2507</v>
      </c>
      <c r="C2268" s="1110">
        <v>11.717526164320839</v>
      </c>
    </row>
    <row r="2269" spans="2:3">
      <c r="B2269" s="412" t="s">
        <v>2508</v>
      </c>
      <c r="C2269" s="1110">
        <v>11.766274111406071</v>
      </c>
    </row>
    <row r="2270" spans="2:3">
      <c r="B2270" s="412" t="s">
        <v>2509</v>
      </c>
      <c r="C2270" s="1110">
        <v>11.714334012402938</v>
      </c>
    </row>
    <row r="2271" spans="2:3">
      <c r="B2271" s="412" t="s">
        <v>2510</v>
      </c>
      <c r="C2271" s="1110">
        <v>11.714334012402938</v>
      </c>
    </row>
    <row r="2272" spans="2:3">
      <c r="B2272" s="412" t="s">
        <v>2511</v>
      </c>
      <c r="C2272" s="1110">
        <v>11.73127894751673</v>
      </c>
    </row>
    <row r="2273" spans="2:3">
      <c r="B2273" s="412" t="s">
        <v>2512</v>
      </c>
      <c r="C2273" s="1110">
        <v>13.821154278217543</v>
      </c>
    </row>
    <row r="2274" spans="2:3">
      <c r="B2274" s="412" t="s">
        <v>2513</v>
      </c>
      <c r="C2274" s="1110">
        <v>11.714334012402938</v>
      </c>
    </row>
    <row r="2275" spans="2:3">
      <c r="B2275" s="412" t="s">
        <v>2514</v>
      </c>
      <c r="C2275" s="1110">
        <v>11.714334012402938</v>
      </c>
    </row>
    <row r="2276" spans="2:3">
      <c r="B2276" s="412" t="s">
        <v>2515</v>
      </c>
      <c r="C2276" s="1110">
        <v>13.821154278217543</v>
      </c>
    </row>
    <row r="2277" spans="2:3">
      <c r="B2277" s="412" t="s">
        <v>2516</v>
      </c>
      <c r="C2277" s="1110">
        <v>11.714334012402938</v>
      </c>
    </row>
    <row r="2278" spans="2:3">
      <c r="B2278" s="412" t="s">
        <v>2517</v>
      </c>
      <c r="C2278" s="1110">
        <v>11.714334012402938</v>
      </c>
    </row>
    <row r="2279" spans="2:3">
      <c r="B2279" s="412" t="s">
        <v>2518</v>
      </c>
      <c r="C2279" s="1110">
        <v>11.714334012402938</v>
      </c>
    </row>
    <row r="2280" spans="2:3">
      <c r="B2280" s="412" t="s">
        <v>2519</v>
      </c>
      <c r="C2280" s="1110">
        <v>13.821154278217543</v>
      </c>
    </row>
    <row r="2281" spans="2:3">
      <c r="B2281" s="412" t="s">
        <v>2520</v>
      </c>
      <c r="C2281" s="1110">
        <v>13.821154278217543</v>
      </c>
    </row>
    <row r="2282" spans="2:3">
      <c r="B2282" s="412" t="s">
        <v>2521</v>
      </c>
      <c r="C2282" s="1110">
        <v>11.714334012402938</v>
      </c>
    </row>
    <row r="2283" spans="2:3">
      <c r="B2283" s="412" t="s">
        <v>2522</v>
      </c>
      <c r="C2283" s="1110">
        <v>11.714334012402938</v>
      </c>
    </row>
    <row r="2284" spans="2:3">
      <c r="B2284" s="412" t="s">
        <v>2523</v>
      </c>
      <c r="C2284" s="1110">
        <v>11.714334012402938</v>
      </c>
    </row>
    <row r="2285" spans="2:3">
      <c r="B2285" s="412" t="s">
        <v>2524</v>
      </c>
      <c r="C2285" s="1110">
        <v>13.821154278217543</v>
      </c>
    </row>
    <row r="2286" spans="2:3">
      <c r="B2286" s="412" t="s">
        <v>2525</v>
      </c>
      <c r="C2286" s="1110">
        <v>13.821154278217543</v>
      </c>
    </row>
    <row r="2287" spans="2:3">
      <c r="B2287" s="412" t="s">
        <v>2526</v>
      </c>
      <c r="C2287" s="1110">
        <v>13.821154278217543</v>
      </c>
    </row>
    <row r="2288" spans="2:3">
      <c r="B2288" s="412" t="s">
        <v>2527</v>
      </c>
      <c r="C2288" s="1110">
        <v>13.821154278217543</v>
      </c>
    </row>
    <row r="2289" spans="2:3">
      <c r="B2289" s="412" t="s">
        <v>2528</v>
      </c>
      <c r="C2289" s="1110">
        <v>13.821154278217543</v>
      </c>
    </row>
    <row r="2290" spans="2:3">
      <c r="B2290" s="412" t="s">
        <v>2529</v>
      </c>
      <c r="C2290" s="1110">
        <v>13.821154278217543</v>
      </c>
    </row>
    <row r="2291" spans="2:3">
      <c r="B2291" s="412" t="s">
        <v>2530</v>
      </c>
      <c r="C2291" s="1110">
        <v>13.821154278217543</v>
      </c>
    </row>
    <row r="2292" spans="2:3">
      <c r="B2292" s="412" t="s">
        <v>2531</v>
      </c>
      <c r="C2292" s="1110">
        <v>11.714334012402938</v>
      </c>
    </row>
    <row r="2293" spans="2:3">
      <c r="B2293" s="412" t="s">
        <v>2532</v>
      </c>
      <c r="C2293" s="1110">
        <v>11.714334012402938</v>
      </c>
    </row>
    <row r="2294" spans="2:3">
      <c r="B2294" s="412" t="s">
        <v>2533</v>
      </c>
      <c r="C2294" s="1110">
        <v>11.714334012402938</v>
      </c>
    </row>
    <row r="2295" spans="2:3">
      <c r="B2295" s="412" t="s">
        <v>2534</v>
      </c>
      <c r="C2295" s="1110">
        <v>11.714334012402938</v>
      </c>
    </row>
    <row r="2296" spans="2:3">
      <c r="B2296" s="412" t="s">
        <v>2535</v>
      </c>
      <c r="C2296" s="1110">
        <v>11.714334012402938</v>
      </c>
    </row>
    <row r="2297" spans="2:3">
      <c r="B2297" s="412" t="s">
        <v>2536</v>
      </c>
      <c r="C2297" s="1110">
        <v>11.714334012402938</v>
      </c>
    </row>
    <row r="2298" spans="2:3">
      <c r="B2298" s="412" t="s">
        <v>2537</v>
      </c>
      <c r="C2298" s="1110">
        <v>11.714334012402938</v>
      </c>
    </row>
    <row r="2299" spans="2:3">
      <c r="B2299" s="412" t="s">
        <v>2538</v>
      </c>
      <c r="C2299" s="1110">
        <v>11.714334012402938</v>
      </c>
    </row>
    <row r="2300" spans="2:3">
      <c r="B2300" s="412" t="s">
        <v>2539</v>
      </c>
      <c r="C2300" s="1110">
        <v>11.714334012402938</v>
      </c>
    </row>
    <row r="2301" spans="2:3">
      <c r="B2301" s="412" t="s">
        <v>2540</v>
      </c>
      <c r="C2301" s="1110">
        <v>11.714334012402938</v>
      </c>
    </row>
    <row r="2302" spans="2:3">
      <c r="B2302" s="412" t="s">
        <v>2541</v>
      </c>
      <c r="C2302" s="1110">
        <v>11.714334012402938</v>
      </c>
    </row>
    <row r="2303" spans="2:3">
      <c r="B2303" s="412" t="s">
        <v>2542</v>
      </c>
      <c r="C2303" s="1110">
        <v>11.714334012402938</v>
      </c>
    </row>
    <row r="2304" spans="2:3">
      <c r="B2304" s="412" t="s">
        <v>2543</v>
      </c>
      <c r="C2304" s="1110">
        <v>11.714334012402938</v>
      </c>
    </row>
    <row r="2305" spans="2:3">
      <c r="B2305" s="412" t="s">
        <v>2544</v>
      </c>
      <c r="C2305" s="1110">
        <v>11.714334012402938</v>
      </c>
    </row>
    <row r="2306" spans="2:3">
      <c r="B2306" s="412" t="s">
        <v>2545</v>
      </c>
      <c r="C2306" s="1110">
        <v>11.714334012402938</v>
      </c>
    </row>
    <row r="2307" spans="2:3">
      <c r="B2307" s="412" t="s">
        <v>2546</v>
      </c>
      <c r="C2307" s="1110">
        <v>11.714334012402938</v>
      </c>
    </row>
    <row r="2308" spans="2:3">
      <c r="B2308" s="412" t="s">
        <v>2547</v>
      </c>
      <c r="C2308" s="1110">
        <v>11.716818470263568</v>
      </c>
    </row>
    <row r="2309" spans="2:3">
      <c r="B2309" s="412" t="s">
        <v>2548</v>
      </c>
      <c r="C2309" s="1110">
        <v>13.78696652542542</v>
      </c>
    </row>
    <row r="2310" spans="2:3">
      <c r="B2310" s="412" t="s">
        <v>2549</v>
      </c>
      <c r="C2310" s="1110">
        <v>13.633927086626597</v>
      </c>
    </row>
    <row r="2311" spans="2:3">
      <c r="B2311" s="412" t="s">
        <v>2550</v>
      </c>
      <c r="C2311" s="1110">
        <v>11.714334012402938</v>
      </c>
    </row>
    <row r="2312" spans="2:3">
      <c r="B2312" s="412" t="s">
        <v>2551</v>
      </c>
      <c r="C2312" s="1110">
        <v>11.714334012402938</v>
      </c>
    </row>
    <row r="2313" spans="2:3">
      <c r="B2313" s="412" t="s">
        <v>2552</v>
      </c>
      <c r="C2313" s="1110">
        <v>11.714334012402938</v>
      </c>
    </row>
    <row r="2314" spans="2:3">
      <c r="B2314" s="412" t="s">
        <v>2553</v>
      </c>
      <c r="C2314" s="1110">
        <v>11.714334012402938</v>
      </c>
    </row>
    <row r="2315" spans="2:3">
      <c r="B2315" s="412" t="s">
        <v>2554</v>
      </c>
      <c r="C2315" s="1110">
        <v>11.714334012402938</v>
      </c>
    </row>
    <row r="2316" spans="2:3">
      <c r="B2316" s="412" t="s">
        <v>2555</v>
      </c>
      <c r="C2316" s="1110">
        <v>11.714334012402938</v>
      </c>
    </row>
    <row r="2317" spans="2:3">
      <c r="B2317" s="412" t="s">
        <v>2556</v>
      </c>
      <c r="C2317" s="1110">
        <v>11.714334012402938</v>
      </c>
    </row>
    <row r="2318" spans="2:3">
      <c r="B2318" s="412" t="s">
        <v>2557</v>
      </c>
      <c r="C2318" s="1110">
        <v>13.821154278217543</v>
      </c>
    </row>
    <row r="2319" spans="2:3">
      <c r="B2319" s="412" t="s">
        <v>2558</v>
      </c>
      <c r="C2319" s="1110">
        <v>13.821154278217543</v>
      </c>
    </row>
    <row r="2320" spans="2:3">
      <c r="B2320" s="412" t="s">
        <v>2559</v>
      </c>
      <c r="C2320" s="1110">
        <v>13.821154278217543</v>
      </c>
    </row>
    <row r="2321" spans="2:3">
      <c r="B2321" s="412" t="s">
        <v>2560</v>
      </c>
      <c r="C2321" s="1110">
        <v>13.821154278217543</v>
      </c>
    </row>
    <row r="2322" spans="2:3">
      <c r="B2322" s="412" t="s">
        <v>2561</v>
      </c>
      <c r="C2322" s="1110">
        <v>13.821154278217543</v>
      </c>
    </row>
    <row r="2323" spans="2:3">
      <c r="B2323" s="412" t="s">
        <v>2562</v>
      </c>
      <c r="C2323" s="1110">
        <v>13.821154278217543</v>
      </c>
    </row>
    <row r="2324" spans="2:3">
      <c r="B2324" s="412" t="s">
        <v>2563</v>
      </c>
      <c r="C2324" s="1110">
        <v>13.821154278217543</v>
      </c>
    </row>
    <row r="2325" spans="2:3">
      <c r="B2325" s="412" t="s">
        <v>2564</v>
      </c>
      <c r="C2325" s="1110">
        <v>13.821154278217543</v>
      </c>
    </row>
    <row r="2326" spans="2:3">
      <c r="B2326" s="412" t="s">
        <v>2565</v>
      </c>
      <c r="C2326" s="1110">
        <v>13.821154278217543</v>
      </c>
    </row>
    <row r="2327" spans="2:3">
      <c r="B2327" s="412" t="s">
        <v>2566</v>
      </c>
      <c r="C2327" s="1110">
        <v>13.821154278217543</v>
      </c>
    </row>
    <row r="2328" spans="2:3">
      <c r="B2328" s="412" t="s">
        <v>2567</v>
      </c>
      <c r="C2328" s="1110">
        <v>13.821154278217543</v>
      </c>
    </row>
    <row r="2329" spans="2:3">
      <c r="B2329" s="412" t="s">
        <v>2568</v>
      </c>
      <c r="C2329" s="1110">
        <v>13.821154278217543</v>
      </c>
    </row>
    <row r="2330" spans="2:3">
      <c r="B2330" s="412" t="s">
        <v>2569</v>
      </c>
      <c r="C2330" s="1110">
        <v>13.821154278217543</v>
      </c>
    </row>
    <row r="2331" spans="2:3">
      <c r="B2331" s="412" t="s">
        <v>2570</v>
      </c>
      <c r="C2331" s="1110">
        <v>13.821154278217543</v>
      </c>
    </row>
    <row r="2332" spans="2:3">
      <c r="B2332" s="412" t="s">
        <v>2571</v>
      </c>
      <c r="C2332" s="1110">
        <v>13.821154278217543</v>
      </c>
    </row>
    <row r="2333" spans="2:3">
      <c r="B2333" s="412" t="s">
        <v>2572</v>
      </c>
      <c r="C2333" s="1110">
        <v>13.821154278217543</v>
      </c>
    </row>
    <row r="2334" spans="2:3">
      <c r="B2334" s="412" t="s">
        <v>2573</v>
      </c>
      <c r="C2334" s="1110">
        <v>13.821154278217543</v>
      </c>
    </row>
    <row r="2335" spans="2:3">
      <c r="B2335" s="412" t="s">
        <v>2574</v>
      </c>
      <c r="C2335" s="1110">
        <v>13.821154278217543</v>
      </c>
    </row>
    <row r="2336" spans="2:3">
      <c r="B2336" s="412" t="s">
        <v>2575</v>
      </c>
      <c r="C2336" s="1110">
        <v>13.821154278217543</v>
      </c>
    </row>
    <row r="2337" spans="2:3">
      <c r="B2337" s="412" t="s">
        <v>2576</v>
      </c>
      <c r="C2337" s="1110">
        <v>13.821154278217543</v>
      </c>
    </row>
    <row r="2338" spans="2:3">
      <c r="B2338" s="412" t="s">
        <v>2577</v>
      </c>
      <c r="C2338" s="1110">
        <v>13.821154278217543</v>
      </c>
    </row>
    <row r="2339" spans="2:3">
      <c r="B2339" s="412" t="s">
        <v>2578</v>
      </c>
      <c r="C2339" s="1110">
        <v>13.821154278217543</v>
      </c>
    </row>
    <row r="2340" spans="2:3">
      <c r="B2340" s="412" t="s">
        <v>2579</v>
      </c>
      <c r="C2340" s="1110">
        <v>13.821154278217543</v>
      </c>
    </row>
    <row r="2341" spans="2:3">
      <c r="B2341" s="412" t="s">
        <v>2580</v>
      </c>
      <c r="C2341" s="1110">
        <v>13.821154278217543</v>
      </c>
    </row>
    <row r="2342" spans="2:3">
      <c r="B2342" s="412" t="s">
        <v>2581</v>
      </c>
      <c r="C2342" s="1110">
        <v>13.821154278217543</v>
      </c>
    </row>
    <row r="2343" spans="2:3">
      <c r="B2343" s="412" t="s">
        <v>2582</v>
      </c>
      <c r="C2343" s="1110">
        <v>13.821154278217543</v>
      </c>
    </row>
    <row r="2344" spans="2:3">
      <c r="B2344" s="412" t="s">
        <v>2583</v>
      </c>
      <c r="C2344" s="1110">
        <v>13.821154278217543</v>
      </c>
    </row>
    <row r="2345" spans="2:3">
      <c r="B2345" s="412" t="s">
        <v>2584</v>
      </c>
      <c r="C2345" s="1110">
        <v>13.821154278217543</v>
      </c>
    </row>
    <row r="2346" spans="2:3">
      <c r="B2346" s="412" t="s">
        <v>2585</v>
      </c>
      <c r="C2346" s="1110">
        <v>13.821154278217543</v>
      </c>
    </row>
    <row r="2347" spans="2:3">
      <c r="B2347" s="412" t="s">
        <v>2586</v>
      </c>
      <c r="C2347" s="1110">
        <v>13.821154278217543</v>
      </c>
    </row>
    <row r="2348" spans="2:3">
      <c r="B2348" s="412" t="s">
        <v>2587</v>
      </c>
      <c r="C2348" s="1110">
        <v>13.821154278217543</v>
      </c>
    </row>
    <row r="2349" spans="2:3">
      <c r="B2349" s="412" t="s">
        <v>2588</v>
      </c>
      <c r="C2349" s="1110">
        <v>13.821154278217543</v>
      </c>
    </row>
    <row r="2350" spans="2:3">
      <c r="B2350" s="412" t="s">
        <v>2589</v>
      </c>
      <c r="C2350" s="1110">
        <v>13.821154278217543</v>
      </c>
    </row>
    <row r="2351" spans="2:3">
      <c r="B2351" s="412" t="s">
        <v>2590</v>
      </c>
      <c r="C2351" s="1110">
        <v>13.821154278217543</v>
      </c>
    </row>
    <row r="2352" spans="2:3">
      <c r="B2352" s="412" t="s">
        <v>2591</v>
      </c>
      <c r="C2352" s="1110">
        <v>13.821154278217543</v>
      </c>
    </row>
    <row r="2353" spans="2:3">
      <c r="B2353" s="412" t="s">
        <v>2592</v>
      </c>
      <c r="C2353" s="1110">
        <v>13.821154278217543</v>
      </c>
    </row>
    <row r="2354" spans="2:3">
      <c r="B2354" s="412" t="s">
        <v>2593</v>
      </c>
      <c r="C2354" s="1110">
        <v>13.821154278217543</v>
      </c>
    </row>
    <row r="2355" spans="2:3">
      <c r="B2355" s="412" t="s">
        <v>2594</v>
      </c>
      <c r="C2355" s="1110">
        <v>13.821154278217543</v>
      </c>
    </row>
    <row r="2356" spans="2:3">
      <c r="B2356" s="412" t="s">
        <v>2595</v>
      </c>
      <c r="C2356" s="1110">
        <v>13.821154278217543</v>
      </c>
    </row>
    <row r="2357" spans="2:3">
      <c r="B2357" s="412" t="s">
        <v>2596</v>
      </c>
      <c r="C2357" s="1110">
        <v>13.821154278217543</v>
      </c>
    </row>
    <row r="2358" spans="2:3">
      <c r="B2358" s="412" t="s">
        <v>2597</v>
      </c>
      <c r="C2358" s="1110">
        <v>13.821154278217543</v>
      </c>
    </row>
    <row r="2359" spans="2:3">
      <c r="B2359" s="412" t="s">
        <v>2598</v>
      </c>
      <c r="C2359" s="1110">
        <v>13.821154278217543</v>
      </c>
    </row>
    <row r="2360" spans="2:3">
      <c r="B2360" s="412" t="s">
        <v>2599</v>
      </c>
      <c r="C2360" s="1110">
        <v>13.821154278217543</v>
      </c>
    </row>
    <row r="2361" spans="2:3">
      <c r="B2361" s="412" t="s">
        <v>2600</v>
      </c>
      <c r="C2361" s="1110">
        <v>13.821154278217543</v>
      </c>
    </row>
    <row r="2362" spans="2:3">
      <c r="B2362" s="412" t="s">
        <v>2601</v>
      </c>
      <c r="C2362" s="1110">
        <v>13.821154278217543</v>
      </c>
    </row>
    <row r="2363" spans="2:3">
      <c r="B2363" s="412" t="s">
        <v>2602</v>
      </c>
      <c r="C2363" s="1110">
        <v>13.821154278217543</v>
      </c>
    </row>
    <row r="2364" spans="2:3">
      <c r="B2364" s="412" t="s">
        <v>2603</v>
      </c>
      <c r="C2364" s="1110">
        <v>13.821154278217543</v>
      </c>
    </row>
    <row r="2365" spans="2:3">
      <c r="B2365" s="412" t="s">
        <v>2604</v>
      </c>
      <c r="C2365" s="1110">
        <v>13.821154278217543</v>
      </c>
    </row>
    <row r="2366" spans="2:3">
      <c r="B2366" s="412" t="s">
        <v>2605</v>
      </c>
      <c r="C2366" s="1110">
        <v>13.821154278217543</v>
      </c>
    </row>
    <row r="2367" spans="2:3">
      <c r="B2367" s="412" t="s">
        <v>2606</v>
      </c>
      <c r="C2367" s="1110">
        <v>13.821154278217543</v>
      </c>
    </row>
    <row r="2368" spans="2:3">
      <c r="B2368" s="412" t="s">
        <v>2607</v>
      </c>
      <c r="C2368" s="1110">
        <v>13.821154278217543</v>
      </c>
    </row>
    <row r="2369" spans="2:3">
      <c r="B2369" s="412" t="s">
        <v>2608</v>
      </c>
      <c r="C2369" s="1110">
        <v>13.821154278217543</v>
      </c>
    </row>
    <row r="2370" spans="2:3">
      <c r="B2370" s="412" t="s">
        <v>2609</v>
      </c>
      <c r="C2370" s="1110">
        <v>13.821154278217543</v>
      </c>
    </row>
    <row r="2371" spans="2:3">
      <c r="B2371" s="412" t="s">
        <v>2610</v>
      </c>
      <c r="C2371" s="1110">
        <v>9.4919290855704439</v>
      </c>
    </row>
    <row r="2372" spans="2:3">
      <c r="B2372" s="412" t="s">
        <v>2611</v>
      </c>
      <c r="C2372" s="1110">
        <v>9.4919290855704439</v>
      </c>
    </row>
    <row r="2373" spans="2:3">
      <c r="B2373" s="412" t="s">
        <v>2612</v>
      </c>
      <c r="C2373" s="1110">
        <v>9.4919290855704439</v>
      </c>
    </row>
    <row r="2374" spans="2:3">
      <c r="B2374" s="412" t="s">
        <v>2613</v>
      </c>
      <c r="C2374" s="1110">
        <v>9.4919290855704439</v>
      </c>
    </row>
    <row r="2375" spans="2:3">
      <c r="B2375" s="412" t="s">
        <v>2614</v>
      </c>
      <c r="C2375" s="1110">
        <v>9.4919290855704439</v>
      </c>
    </row>
    <row r="2376" spans="2:3">
      <c r="B2376" s="412" t="s">
        <v>2615</v>
      </c>
      <c r="C2376" s="1110">
        <v>9.4919290855704439</v>
      </c>
    </row>
    <row r="2377" spans="2:3">
      <c r="B2377" s="412" t="s">
        <v>2616</v>
      </c>
      <c r="C2377" s="1110">
        <v>9.4919290855704439</v>
      </c>
    </row>
    <row r="2378" spans="2:3">
      <c r="B2378" s="412" t="s">
        <v>2617</v>
      </c>
      <c r="C2378" s="1110">
        <v>9.4919290855704439</v>
      </c>
    </row>
    <row r="2379" spans="2:3">
      <c r="B2379" s="412" t="s">
        <v>2618</v>
      </c>
      <c r="C2379" s="1110">
        <v>9.4919290855704439</v>
      </c>
    </row>
    <row r="2380" spans="2:3">
      <c r="B2380" s="412" t="s">
        <v>2619</v>
      </c>
      <c r="C2380" s="1110">
        <v>9.4919290855704439</v>
      </c>
    </row>
    <row r="2381" spans="2:3">
      <c r="B2381" s="412" t="s">
        <v>2620</v>
      </c>
      <c r="C2381" s="1110">
        <v>9.4919290855704439</v>
      </c>
    </row>
    <row r="2382" spans="2:3">
      <c r="B2382" s="412" t="s">
        <v>2621</v>
      </c>
      <c r="C2382" s="1110">
        <v>9.4919290855704439</v>
      </c>
    </row>
    <row r="2383" spans="2:3">
      <c r="B2383" s="412" t="s">
        <v>2622</v>
      </c>
      <c r="C2383" s="1110">
        <v>9.4919290855704439</v>
      </c>
    </row>
    <row r="2384" spans="2:3">
      <c r="B2384" s="412" t="s">
        <v>2623</v>
      </c>
      <c r="C2384" s="1110">
        <v>9.4919290855704439</v>
      </c>
    </row>
    <row r="2385" spans="2:3">
      <c r="B2385" s="412" t="s">
        <v>2624</v>
      </c>
      <c r="C2385" s="1110">
        <v>9.4919290855704439</v>
      </c>
    </row>
    <row r="2386" spans="2:3">
      <c r="B2386" s="412" t="s">
        <v>2625</v>
      </c>
      <c r="C2386" s="1110">
        <v>9.4919290855704439</v>
      </c>
    </row>
    <row r="2387" spans="2:3">
      <c r="B2387" s="412" t="s">
        <v>2626</v>
      </c>
      <c r="C2387" s="1110">
        <v>9.4919290855704439</v>
      </c>
    </row>
    <row r="2388" spans="2:3">
      <c r="B2388" s="412" t="s">
        <v>2627</v>
      </c>
      <c r="C2388" s="1110">
        <v>9.4919290855704439</v>
      </c>
    </row>
    <row r="2389" spans="2:3">
      <c r="B2389" s="412" t="s">
        <v>2628</v>
      </c>
      <c r="C2389" s="1110">
        <v>9.4919290855704439</v>
      </c>
    </row>
    <row r="2390" spans="2:3">
      <c r="B2390" s="412" t="s">
        <v>2629</v>
      </c>
      <c r="C2390" s="1110">
        <v>9.4919290855704439</v>
      </c>
    </row>
    <row r="2391" spans="2:3">
      <c r="B2391" s="412" t="s">
        <v>2630</v>
      </c>
      <c r="C2391" s="1110">
        <v>9.4919290855704439</v>
      </c>
    </row>
    <row r="2392" spans="2:3">
      <c r="B2392" s="412" t="s">
        <v>2631</v>
      </c>
      <c r="C2392" s="1110">
        <v>9.4919290855704439</v>
      </c>
    </row>
    <row r="2393" spans="2:3">
      <c r="B2393" s="412" t="s">
        <v>2632</v>
      </c>
      <c r="C2393" s="1110">
        <v>9.4919290855704439</v>
      </c>
    </row>
    <row r="2394" spans="2:3">
      <c r="B2394" s="412" t="s">
        <v>2633</v>
      </c>
      <c r="C2394" s="1110">
        <v>9.4919290855704439</v>
      </c>
    </row>
    <row r="2395" spans="2:3">
      <c r="B2395" s="412" t="s">
        <v>2634</v>
      </c>
      <c r="C2395" s="1110">
        <v>9.4919290855704439</v>
      </c>
    </row>
    <row r="2396" spans="2:3">
      <c r="B2396" s="412" t="s">
        <v>2635</v>
      </c>
      <c r="C2396" s="1110">
        <v>9.4919290855704439</v>
      </c>
    </row>
    <row r="2397" spans="2:3">
      <c r="B2397" s="412" t="s">
        <v>2636</v>
      </c>
      <c r="C2397" s="1110">
        <v>9.4919290855704439</v>
      </c>
    </row>
    <row r="2398" spans="2:3">
      <c r="B2398" s="412" t="s">
        <v>2637</v>
      </c>
      <c r="C2398" s="1110">
        <v>9.4919290855704439</v>
      </c>
    </row>
    <row r="2399" spans="2:3">
      <c r="B2399" s="412" t="s">
        <v>2638</v>
      </c>
      <c r="C2399" s="1110">
        <v>9.4919290855704439</v>
      </c>
    </row>
    <row r="2400" spans="2:3">
      <c r="B2400" s="412" t="s">
        <v>2639</v>
      </c>
      <c r="C2400" s="1110">
        <v>13.821154278217543</v>
      </c>
    </row>
    <row r="2401" spans="2:3">
      <c r="B2401" s="412" t="s">
        <v>2640</v>
      </c>
      <c r="C2401" s="1110">
        <v>13.821154278217543</v>
      </c>
    </row>
    <row r="2402" spans="2:3">
      <c r="B2402" s="412" t="s">
        <v>2641</v>
      </c>
      <c r="C2402" s="1110">
        <v>13.821154278217543</v>
      </c>
    </row>
    <row r="2403" spans="2:3">
      <c r="B2403" s="412" t="s">
        <v>2642</v>
      </c>
      <c r="C2403" s="1110">
        <v>13.821154278217543</v>
      </c>
    </row>
    <row r="2404" spans="2:3">
      <c r="B2404" s="412" t="s">
        <v>2643</v>
      </c>
      <c r="C2404" s="1110">
        <v>13.821154278217543</v>
      </c>
    </row>
    <row r="2405" spans="2:3">
      <c r="B2405" s="412" t="s">
        <v>2644</v>
      </c>
      <c r="C2405" s="1110">
        <v>13.821154278217543</v>
      </c>
    </row>
    <row r="2406" spans="2:3">
      <c r="B2406" s="412" t="s">
        <v>2645</v>
      </c>
      <c r="C2406" s="1110">
        <v>13.821154278217543</v>
      </c>
    </row>
    <row r="2407" spans="2:3">
      <c r="B2407" s="412" t="s">
        <v>2646</v>
      </c>
      <c r="C2407" s="1110">
        <v>13.821154278217543</v>
      </c>
    </row>
    <row r="2408" spans="2:3">
      <c r="B2408" s="412" t="s">
        <v>2647</v>
      </c>
      <c r="C2408" s="1110">
        <v>13.821154278217543</v>
      </c>
    </row>
    <row r="2409" spans="2:3">
      <c r="B2409" s="412" t="s">
        <v>2648</v>
      </c>
      <c r="C2409" s="1110">
        <v>13.821154278217543</v>
      </c>
    </row>
    <row r="2410" spans="2:3">
      <c r="B2410" s="412" t="s">
        <v>2649</v>
      </c>
      <c r="C2410" s="1110">
        <v>13.821154278217543</v>
      </c>
    </row>
    <row r="2411" spans="2:3">
      <c r="B2411" s="412" t="s">
        <v>2650</v>
      </c>
      <c r="C2411" s="1110">
        <v>13.821154278217543</v>
      </c>
    </row>
    <row r="2412" spans="2:3">
      <c r="B2412" s="412" t="s">
        <v>2651</v>
      </c>
      <c r="C2412" s="1110">
        <v>13.821154278217543</v>
      </c>
    </row>
    <row r="2413" spans="2:3">
      <c r="B2413" s="412" t="s">
        <v>2652</v>
      </c>
      <c r="C2413" s="1110">
        <v>13.821154278217543</v>
      </c>
    </row>
    <row r="2414" spans="2:3">
      <c r="B2414" s="412" t="s">
        <v>2653</v>
      </c>
      <c r="C2414" s="1110">
        <v>13.821154278217543</v>
      </c>
    </row>
    <row r="2415" spans="2:3">
      <c r="B2415" s="412" t="s">
        <v>2654</v>
      </c>
      <c r="C2415" s="1110">
        <v>13.821154278217543</v>
      </c>
    </row>
    <row r="2416" spans="2:3">
      <c r="B2416" s="412" t="s">
        <v>2655</v>
      </c>
      <c r="C2416" s="1110">
        <v>13.821154278217543</v>
      </c>
    </row>
    <row r="2417" spans="2:3">
      <c r="B2417" s="412" t="s">
        <v>2656</v>
      </c>
      <c r="C2417" s="1110">
        <v>13.821154278217543</v>
      </c>
    </row>
    <row r="2418" spans="2:3">
      <c r="B2418" s="412" t="s">
        <v>2657</v>
      </c>
      <c r="C2418" s="1110">
        <v>13.821154278217543</v>
      </c>
    </row>
    <row r="2419" spans="2:3">
      <c r="B2419" s="412" t="s">
        <v>2658</v>
      </c>
      <c r="C2419" s="1110">
        <v>11.714334012402938</v>
      </c>
    </row>
    <row r="2420" spans="2:3">
      <c r="B2420" s="412" t="s">
        <v>2659</v>
      </c>
      <c r="C2420" s="1110">
        <v>13.821154278217543</v>
      </c>
    </row>
    <row r="2421" spans="2:3">
      <c r="B2421" s="412" t="s">
        <v>2660</v>
      </c>
      <c r="C2421" s="1110">
        <v>13.821154278217543</v>
      </c>
    </row>
    <row r="2422" spans="2:3">
      <c r="B2422" s="412" t="s">
        <v>2661</v>
      </c>
      <c r="C2422" s="1110">
        <v>13.758663846604398</v>
      </c>
    </row>
    <row r="2423" spans="2:3">
      <c r="B2423" s="412" t="s">
        <v>2662</v>
      </c>
      <c r="C2423" s="1110">
        <v>13.819036870915216</v>
      </c>
    </row>
    <row r="2424" spans="2:3">
      <c r="B2424" s="412" t="s">
        <v>2663</v>
      </c>
      <c r="C2424" s="1110">
        <v>11.715971013386477</v>
      </c>
    </row>
    <row r="2425" spans="2:3">
      <c r="B2425" s="412" t="s">
        <v>2664</v>
      </c>
      <c r="C2425" s="1110">
        <v>11.714334012402938</v>
      </c>
    </row>
    <row r="2426" spans="2:3">
      <c r="B2426" s="412" t="s">
        <v>2665</v>
      </c>
      <c r="C2426" s="1110">
        <v>11.714334012402938</v>
      </c>
    </row>
    <row r="2427" spans="2:3">
      <c r="B2427" s="412" t="s">
        <v>2666</v>
      </c>
      <c r="C2427" s="1110">
        <v>13.821154278217543</v>
      </c>
    </row>
    <row r="2428" spans="2:3">
      <c r="B2428" s="412" t="s">
        <v>2667</v>
      </c>
      <c r="C2428" s="1110">
        <v>11.714334012402938</v>
      </c>
    </row>
    <row r="2429" spans="2:3">
      <c r="B2429" s="412" t="s">
        <v>2668</v>
      </c>
      <c r="C2429" s="1110">
        <v>13.799378358157446</v>
      </c>
    </row>
    <row r="2430" spans="2:3">
      <c r="B2430" s="412" t="s">
        <v>2669</v>
      </c>
      <c r="C2430" s="1110">
        <v>13.821154278217543</v>
      </c>
    </row>
    <row r="2431" spans="2:3">
      <c r="B2431" s="412" t="s">
        <v>2670</v>
      </c>
      <c r="C2431" s="1110">
        <v>11.714334012402938</v>
      </c>
    </row>
    <row r="2432" spans="2:3">
      <c r="B2432" s="412" t="s">
        <v>2671</v>
      </c>
      <c r="C2432" s="1110">
        <v>11.714334012402938</v>
      </c>
    </row>
    <row r="2433" spans="2:3">
      <c r="B2433" s="412" t="s">
        <v>2672</v>
      </c>
      <c r="C2433" s="1110">
        <v>11.714334012402938</v>
      </c>
    </row>
    <row r="2434" spans="2:3">
      <c r="B2434" s="412" t="s">
        <v>2673</v>
      </c>
      <c r="C2434" s="1110">
        <v>11.720922973359356</v>
      </c>
    </row>
    <row r="2435" spans="2:3">
      <c r="B2435" s="412" t="s">
        <v>2674</v>
      </c>
      <c r="C2435" s="1110">
        <v>11.718518362484</v>
      </c>
    </row>
    <row r="2436" spans="2:3">
      <c r="B2436" s="412" t="s">
        <v>2675</v>
      </c>
      <c r="C2436" s="1110">
        <v>11.722290282288943</v>
      </c>
    </row>
    <row r="2437" spans="2:3">
      <c r="B2437" s="412" t="s">
        <v>2676</v>
      </c>
      <c r="C2437" s="1110">
        <v>13.821154278217543</v>
      </c>
    </row>
    <row r="2438" spans="2:3">
      <c r="B2438" s="412" t="s">
        <v>2677</v>
      </c>
      <c r="C2438" s="1110">
        <v>13.821154278217543</v>
      </c>
    </row>
    <row r="2439" spans="2:3">
      <c r="B2439" s="412" t="s">
        <v>2678</v>
      </c>
      <c r="C2439" s="1110">
        <v>13.821154278217543</v>
      </c>
    </row>
    <row r="2440" spans="2:3">
      <c r="B2440" s="412" t="s">
        <v>2679</v>
      </c>
      <c r="C2440" s="1110">
        <v>13.821154278217543</v>
      </c>
    </row>
    <row r="2441" spans="2:3">
      <c r="B2441" s="412" t="s">
        <v>2680</v>
      </c>
      <c r="C2441" s="1110">
        <v>13.821154278217543</v>
      </c>
    </row>
    <row r="2442" spans="2:3">
      <c r="B2442" s="412" t="s">
        <v>2681</v>
      </c>
      <c r="C2442" s="1110">
        <v>13.821154278217543</v>
      </c>
    </row>
    <row r="2443" spans="2:3">
      <c r="B2443" s="412" t="s">
        <v>2682</v>
      </c>
      <c r="C2443" s="1110">
        <v>13.821154278217543</v>
      </c>
    </row>
    <row r="2444" spans="2:3">
      <c r="B2444" s="412" t="s">
        <v>2683</v>
      </c>
      <c r="C2444" s="1110">
        <v>13.821154278217543</v>
      </c>
    </row>
    <row r="2445" spans="2:3">
      <c r="B2445" s="412" t="s">
        <v>2684</v>
      </c>
      <c r="C2445" s="1110">
        <v>13.821154278217543</v>
      </c>
    </row>
    <row r="2446" spans="2:3">
      <c r="B2446" s="412" t="s">
        <v>2685</v>
      </c>
      <c r="C2446" s="1110">
        <v>13.821154278217543</v>
      </c>
    </row>
    <row r="2447" spans="2:3">
      <c r="B2447" s="412" t="s">
        <v>2686</v>
      </c>
      <c r="C2447" s="1110">
        <v>13.821154278217543</v>
      </c>
    </row>
    <row r="2448" spans="2:3">
      <c r="B2448" s="412" t="s">
        <v>2687</v>
      </c>
      <c r="C2448" s="1110">
        <v>13.821154278217543</v>
      </c>
    </row>
    <row r="2449" spans="2:3">
      <c r="B2449" s="412" t="s">
        <v>2688</v>
      </c>
      <c r="C2449" s="1110">
        <v>13.821154278217543</v>
      </c>
    </row>
    <row r="2450" spans="2:3">
      <c r="B2450" s="412" t="s">
        <v>2689</v>
      </c>
      <c r="C2450" s="1110">
        <v>9.4919290855704439</v>
      </c>
    </row>
    <row r="2451" spans="2:3">
      <c r="B2451" s="412" t="s">
        <v>2690</v>
      </c>
      <c r="C2451" s="1110">
        <v>9.7698185405038735</v>
      </c>
    </row>
    <row r="2452" spans="2:3">
      <c r="B2452" s="412" t="s">
        <v>2691</v>
      </c>
      <c r="C2452" s="1110">
        <v>9.5374998770719923</v>
      </c>
    </row>
    <row r="2453" spans="2:3">
      <c r="B2453" s="412" t="s">
        <v>2692</v>
      </c>
      <c r="C2453" s="1110">
        <v>9.4919290855704439</v>
      </c>
    </row>
    <row r="2454" spans="2:3">
      <c r="B2454" s="412" t="s">
        <v>2693</v>
      </c>
      <c r="C2454" s="1110">
        <v>9.4979839459797404</v>
      </c>
    </row>
    <row r="2455" spans="2:3">
      <c r="B2455" s="412" t="s">
        <v>2694</v>
      </c>
      <c r="C2455" s="1110">
        <v>9.4919290855704439</v>
      </c>
    </row>
    <row r="2456" spans="2:3">
      <c r="B2456" s="412" t="s">
        <v>2695</v>
      </c>
      <c r="C2456" s="1110">
        <v>13.611086389122853</v>
      </c>
    </row>
    <row r="2457" spans="2:3">
      <c r="B2457" s="412" t="s">
        <v>2696</v>
      </c>
      <c r="C2457" s="1110">
        <v>13.821154278217543</v>
      </c>
    </row>
    <row r="2458" spans="2:3">
      <c r="B2458" s="412" t="s">
        <v>2697</v>
      </c>
      <c r="C2458" s="1110">
        <v>13.821154278217543</v>
      </c>
    </row>
    <row r="2459" spans="2:3">
      <c r="B2459" s="412" t="s">
        <v>2698</v>
      </c>
      <c r="C2459" s="1110">
        <v>13.821154278217543</v>
      </c>
    </row>
    <row r="2460" spans="2:3">
      <c r="B2460" s="412" t="s">
        <v>2699</v>
      </c>
      <c r="C2460" s="1110">
        <v>13.821154278217543</v>
      </c>
    </row>
    <row r="2461" spans="2:3">
      <c r="B2461" s="412" t="s">
        <v>2700</v>
      </c>
      <c r="C2461" s="1110">
        <v>13.821154278217543</v>
      </c>
    </row>
    <row r="2462" spans="2:3">
      <c r="B2462" s="412" t="s">
        <v>2701</v>
      </c>
      <c r="C2462" s="1110">
        <v>13.821154278217543</v>
      </c>
    </row>
    <row r="2463" spans="2:3">
      <c r="B2463" s="412" t="s">
        <v>2702</v>
      </c>
      <c r="C2463" s="1110">
        <v>13.821154278217543</v>
      </c>
    </row>
    <row r="2464" spans="2:3">
      <c r="B2464" s="412" t="s">
        <v>2703</v>
      </c>
      <c r="C2464" s="1110">
        <v>13.821154278217543</v>
      </c>
    </row>
    <row r="2465" spans="2:3">
      <c r="B2465" s="412" t="s">
        <v>2704</v>
      </c>
      <c r="C2465" s="1110">
        <v>13.821154278217543</v>
      </c>
    </row>
    <row r="2466" spans="2:3">
      <c r="B2466" s="412" t="s">
        <v>2705</v>
      </c>
      <c r="C2466" s="1110">
        <v>13.821154278217543</v>
      </c>
    </row>
    <row r="2467" spans="2:3">
      <c r="B2467" s="412" t="s">
        <v>2706</v>
      </c>
      <c r="C2467" s="1110">
        <v>13.821154278217543</v>
      </c>
    </row>
    <row r="2468" spans="2:3">
      <c r="B2468" s="412" t="s">
        <v>2707</v>
      </c>
      <c r="C2468" s="1110">
        <v>13.821154278217543</v>
      </c>
    </row>
    <row r="2469" spans="2:3">
      <c r="B2469" s="412" t="s">
        <v>2708</v>
      </c>
      <c r="C2469" s="1110">
        <v>13.821154278217543</v>
      </c>
    </row>
    <row r="2470" spans="2:3">
      <c r="B2470" s="412" t="s">
        <v>2709</v>
      </c>
      <c r="C2470" s="1110">
        <v>13.821154278217543</v>
      </c>
    </row>
    <row r="2471" spans="2:3">
      <c r="B2471" s="412" t="s">
        <v>2710</v>
      </c>
      <c r="C2471" s="1110">
        <v>13.821154278217543</v>
      </c>
    </row>
    <row r="2472" spans="2:3">
      <c r="B2472" s="412" t="s">
        <v>2711</v>
      </c>
      <c r="C2472" s="1110">
        <v>13.821154278217543</v>
      </c>
    </row>
    <row r="2473" spans="2:3">
      <c r="B2473" s="412" t="s">
        <v>2712</v>
      </c>
      <c r="C2473" s="1110">
        <v>13.821154278217543</v>
      </c>
    </row>
    <row r="2474" spans="2:3">
      <c r="B2474" s="412" t="s">
        <v>2713</v>
      </c>
      <c r="C2474" s="1110">
        <v>13.821154278217543</v>
      </c>
    </row>
    <row r="2475" spans="2:3">
      <c r="B2475" s="412" t="s">
        <v>2714</v>
      </c>
      <c r="C2475" s="1110">
        <v>13.821154278217543</v>
      </c>
    </row>
    <row r="2476" spans="2:3">
      <c r="B2476" s="412" t="s">
        <v>2715</v>
      </c>
      <c r="C2476" s="1110">
        <v>13.821154278217543</v>
      </c>
    </row>
    <row r="2477" spans="2:3">
      <c r="B2477" s="412" t="s">
        <v>2716</v>
      </c>
      <c r="C2477" s="1110">
        <v>13.821154278217543</v>
      </c>
    </row>
    <row r="2478" spans="2:3">
      <c r="B2478" s="412" t="s">
        <v>2717</v>
      </c>
      <c r="C2478" s="1110">
        <v>13.821154278217543</v>
      </c>
    </row>
    <row r="2479" spans="2:3">
      <c r="B2479" s="412" t="s">
        <v>2718</v>
      </c>
      <c r="C2479" s="1110">
        <v>13.821154278217543</v>
      </c>
    </row>
    <row r="2480" spans="2:3">
      <c r="B2480" s="412" t="s">
        <v>2719</v>
      </c>
      <c r="C2480" s="1110">
        <v>13.821154278217543</v>
      </c>
    </row>
    <row r="2481" spans="2:3">
      <c r="B2481" s="412" t="s">
        <v>2720</v>
      </c>
      <c r="C2481" s="1110">
        <v>13.821154278217543</v>
      </c>
    </row>
    <row r="2482" spans="2:3">
      <c r="B2482" s="412" t="s">
        <v>2721</v>
      </c>
      <c r="C2482" s="1110">
        <v>13.821154278217543</v>
      </c>
    </row>
    <row r="2483" spans="2:3">
      <c r="B2483" s="412" t="s">
        <v>2722</v>
      </c>
      <c r="C2483" s="1110">
        <v>13.821154278217543</v>
      </c>
    </row>
    <row r="2484" spans="2:3">
      <c r="B2484" s="412" t="s">
        <v>2723</v>
      </c>
      <c r="C2484" s="1110">
        <v>13.821154278217543</v>
      </c>
    </row>
    <row r="2485" spans="2:3">
      <c r="B2485" s="412" t="s">
        <v>2724</v>
      </c>
      <c r="C2485" s="1110">
        <v>13.821154278217543</v>
      </c>
    </row>
    <row r="2486" spans="2:3">
      <c r="B2486" s="412" t="s">
        <v>2725</v>
      </c>
      <c r="C2486" s="1110">
        <v>13.821154278217543</v>
      </c>
    </row>
    <row r="2487" spans="2:3">
      <c r="B2487" s="412" t="s">
        <v>2726</v>
      </c>
      <c r="C2487" s="1110">
        <v>13.821154278217543</v>
      </c>
    </row>
    <row r="2488" spans="2:3">
      <c r="B2488" s="412" t="s">
        <v>2727</v>
      </c>
      <c r="C2488" s="1110">
        <v>13.821154278217543</v>
      </c>
    </row>
    <row r="2489" spans="2:3">
      <c r="B2489" s="412" t="s">
        <v>2728</v>
      </c>
      <c r="C2489" s="1110">
        <v>13.821154278217543</v>
      </c>
    </row>
    <row r="2490" spans="2:3">
      <c r="B2490" s="412" t="s">
        <v>2729</v>
      </c>
      <c r="C2490" s="1110">
        <v>13.821154278217543</v>
      </c>
    </row>
    <row r="2491" spans="2:3">
      <c r="B2491" s="412" t="s">
        <v>2730</v>
      </c>
      <c r="C2491" s="1110">
        <v>13.821154278217543</v>
      </c>
    </row>
    <row r="2492" spans="2:3">
      <c r="B2492" s="412" t="s">
        <v>2731</v>
      </c>
      <c r="C2492" s="1110">
        <v>13.821154278217543</v>
      </c>
    </row>
    <row r="2493" spans="2:3">
      <c r="B2493" s="412" t="s">
        <v>2732</v>
      </c>
      <c r="C2493" s="1110">
        <v>13.821154278217543</v>
      </c>
    </row>
    <row r="2494" spans="2:3">
      <c r="B2494" s="412" t="s">
        <v>2733</v>
      </c>
      <c r="C2494" s="1110">
        <v>13.821154278217543</v>
      </c>
    </row>
    <row r="2495" spans="2:3">
      <c r="B2495" s="412" t="s">
        <v>2734</v>
      </c>
      <c r="C2495" s="1110">
        <v>13.821154278217543</v>
      </c>
    </row>
    <row r="2496" spans="2:3">
      <c r="B2496" s="412" t="s">
        <v>2735</v>
      </c>
      <c r="C2496" s="1110">
        <v>13.821154278217543</v>
      </c>
    </row>
    <row r="2497" spans="2:3">
      <c r="B2497" s="412" t="s">
        <v>2736</v>
      </c>
      <c r="C2497" s="1110">
        <v>13.821154278217543</v>
      </c>
    </row>
    <row r="2498" spans="2:3">
      <c r="B2498" s="412" t="s">
        <v>2737</v>
      </c>
      <c r="C2498" s="1110">
        <v>13.821154278217543</v>
      </c>
    </row>
    <row r="2499" spans="2:3">
      <c r="B2499" s="412" t="s">
        <v>2738</v>
      </c>
      <c r="C2499" s="1110">
        <v>13.821154278217543</v>
      </c>
    </row>
    <row r="2500" spans="2:3">
      <c r="B2500" s="412" t="s">
        <v>2739</v>
      </c>
      <c r="C2500" s="1110">
        <v>13.821154278217543</v>
      </c>
    </row>
    <row r="2501" spans="2:3">
      <c r="B2501" s="412" t="s">
        <v>2740</v>
      </c>
      <c r="C2501" s="1110">
        <v>13.821154278217543</v>
      </c>
    </row>
    <row r="2502" spans="2:3">
      <c r="B2502" s="412" t="s">
        <v>2741</v>
      </c>
      <c r="C2502" s="1110">
        <v>13.821154278217543</v>
      </c>
    </row>
    <row r="2503" spans="2:3">
      <c r="B2503" s="412" t="s">
        <v>2742</v>
      </c>
      <c r="C2503" s="1110">
        <v>13.821154278217543</v>
      </c>
    </row>
    <row r="2504" spans="2:3">
      <c r="B2504" s="412" t="s">
        <v>2743</v>
      </c>
      <c r="C2504" s="1110">
        <v>13.821154278217543</v>
      </c>
    </row>
    <row r="2505" spans="2:3">
      <c r="B2505" s="412" t="s">
        <v>2744</v>
      </c>
      <c r="C2505" s="1110">
        <v>13.821154278217543</v>
      </c>
    </row>
    <row r="2506" spans="2:3">
      <c r="B2506" s="412" t="s">
        <v>2745</v>
      </c>
      <c r="C2506" s="1110">
        <v>13.821154278217543</v>
      </c>
    </row>
    <row r="2507" spans="2:3">
      <c r="B2507" s="412" t="s">
        <v>2746</v>
      </c>
      <c r="C2507" s="1110">
        <v>13.821154278217543</v>
      </c>
    </row>
    <row r="2508" spans="2:3">
      <c r="B2508" s="412" t="s">
        <v>2747</v>
      </c>
      <c r="C2508" s="1110">
        <v>13.821154278217543</v>
      </c>
    </row>
    <row r="2509" spans="2:3">
      <c r="B2509" s="412" t="s">
        <v>2748</v>
      </c>
      <c r="C2509" s="1110">
        <v>13.821154278217543</v>
      </c>
    </row>
    <row r="2510" spans="2:3">
      <c r="B2510" s="412" t="s">
        <v>2749</v>
      </c>
      <c r="C2510" s="1110">
        <v>13.821154278217543</v>
      </c>
    </row>
    <row r="2511" spans="2:3">
      <c r="B2511" s="412" t="s">
        <v>2750</v>
      </c>
      <c r="C2511" s="1110">
        <v>13.821154278217543</v>
      </c>
    </row>
    <row r="2512" spans="2:3">
      <c r="B2512" s="412" t="s">
        <v>2751</v>
      </c>
      <c r="C2512" s="1110">
        <v>13.821154278217543</v>
      </c>
    </row>
    <row r="2513" spans="2:3">
      <c r="B2513" s="412" t="s">
        <v>2752</v>
      </c>
      <c r="C2513" s="1110">
        <v>11.714334012402938</v>
      </c>
    </row>
    <row r="2514" spans="2:3">
      <c r="B2514" s="412" t="s">
        <v>2753</v>
      </c>
      <c r="C2514" s="1110">
        <v>11.714334012402938</v>
      </c>
    </row>
    <row r="2515" spans="2:3">
      <c r="B2515" s="412" t="s">
        <v>2754</v>
      </c>
      <c r="C2515" s="1110">
        <v>11.714334012402938</v>
      </c>
    </row>
    <row r="2516" spans="2:3">
      <c r="B2516" s="412" t="s">
        <v>2755</v>
      </c>
      <c r="C2516" s="1110">
        <v>11.714334012402938</v>
      </c>
    </row>
    <row r="2517" spans="2:3">
      <c r="B2517" s="412" t="s">
        <v>2756</v>
      </c>
      <c r="C2517" s="1110">
        <v>11.714334012402938</v>
      </c>
    </row>
    <row r="2518" spans="2:3">
      <c r="B2518" s="412" t="s">
        <v>2757</v>
      </c>
      <c r="C2518" s="1110">
        <v>11.714334012402938</v>
      </c>
    </row>
    <row r="2519" spans="2:3">
      <c r="B2519" s="412" t="s">
        <v>2758</v>
      </c>
      <c r="C2519" s="1110">
        <v>11.714334012402938</v>
      </c>
    </row>
    <row r="2520" spans="2:3">
      <c r="B2520" s="412" t="s">
        <v>2759</v>
      </c>
      <c r="C2520" s="1110">
        <v>13.813674442954294</v>
      </c>
    </row>
    <row r="2521" spans="2:3">
      <c r="B2521" s="412" t="s">
        <v>2760</v>
      </c>
      <c r="C2521" s="1110">
        <v>13.821154278217543</v>
      </c>
    </row>
    <row r="2522" spans="2:3">
      <c r="B2522" s="412" t="s">
        <v>2761</v>
      </c>
      <c r="C2522" s="1110">
        <v>13.821154278217543</v>
      </c>
    </row>
    <row r="2523" spans="2:3">
      <c r="B2523" s="412" t="s">
        <v>2762</v>
      </c>
      <c r="C2523" s="1110">
        <v>13.821154278217543</v>
      </c>
    </row>
    <row r="2524" spans="2:3">
      <c r="B2524" s="412" t="s">
        <v>2763</v>
      </c>
      <c r="C2524" s="1110">
        <v>13.821154278217543</v>
      </c>
    </row>
    <row r="2525" spans="2:3">
      <c r="B2525" s="412" t="s">
        <v>2764</v>
      </c>
      <c r="C2525" s="1110">
        <v>13.821154278217543</v>
      </c>
    </row>
    <row r="2526" spans="2:3">
      <c r="B2526" s="412" t="s">
        <v>2765</v>
      </c>
      <c r="C2526" s="1110">
        <v>13.821154278217543</v>
      </c>
    </row>
    <row r="2527" spans="2:3">
      <c r="B2527" s="412" t="s">
        <v>2766</v>
      </c>
      <c r="C2527" s="1110">
        <v>13.821154278217543</v>
      </c>
    </row>
    <row r="2528" spans="2:3">
      <c r="B2528" s="412" t="s">
        <v>2767</v>
      </c>
      <c r="C2528" s="1110">
        <v>13.821154278217543</v>
      </c>
    </row>
    <row r="2529" spans="2:3">
      <c r="B2529" s="412" t="s">
        <v>2768</v>
      </c>
      <c r="C2529" s="1110">
        <v>13.821154278217543</v>
      </c>
    </row>
    <row r="2530" spans="2:3">
      <c r="B2530" s="412" t="s">
        <v>2769</v>
      </c>
      <c r="C2530" s="1110">
        <v>13.821154278217543</v>
      </c>
    </row>
    <row r="2531" spans="2:3">
      <c r="B2531" s="412" t="s">
        <v>2770</v>
      </c>
      <c r="C2531" s="1110">
        <v>13.821154278217543</v>
      </c>
    </row>
    <row r="2532" spans="2:3">
      <c r="B2532" s="412" t="s">
        <v>2771</v>
      </c>
      <c r="C2532" s="1110">
        <v>13.821154278217543</v>
      </c>
    </row>
    <row r="2533" spans="2:3">
      <c r="B2533" s="412" t="s">
        <v>2772</v>
      </c>
      <c r="C2533" s="1110">
        <v>13.821154278217543</v>
      </c>
    </row>
    <row r="2534" spans="2:3">
      <c r="B2534" s="412" t="s">
        <v>2773</v>
      </c>
      <c r="C2534" s="1110">
        <v>13.821154278217543</v>
      </c>
    </row>
    <row r="2535" spans="2:3">
      <c r="B2535" s="412" t="s">
        <v>2774</v>
      </c>
      <c r="C2535" s="1110">
        <v>13.821154278217543</v>
      </c>
    </row>
    <row r="2536" spans="2:3">
      <c r="B2536" s="412" t="s">
        <v>2775</v>
      </c>
      <c r="C2536" s="1110">
        <v>13.821154278217543</v>
      </c>
    </row>
    <row r="2537" spans="2:3">
      <c r="B2537" s="412" t="s">
        <v>2776</v>
      </c>
      <c r="C2537" s="1110">
        <v>13.821154278217543</v>
      </c>
    </row>
    <row r="2538" spans="2:3">
      <c r="B2538" s="412" t="s">
        <v>2777</v>
      </c>
      <c r="C2538" s="1110">
        <v>13.821154278217543</v>
      </c>
    </row>
    <row r="2539" spans="2:3">
      <c r="B2539" s="412" t="s">
        <v>2778</v>
      </c>
      <c r="C2539" s="1110">
        <v>13.821154278217543</v>
      </c>
    </row>
    <row r="2540" spans="2:3">
      <c r="B2540" s="412" t="s">
        <v>2779</v>
      </c>
      <c r="C2540" s="1110">
        <v>13.821154278217543</v>
      </c>
    </row>
    <row r="2541" spans="2:3">
      <c r="B2541" s="412" t="s">
        <v>2780</v>
      </c>
      <c r="C2541" s="1110">
        <v>13.821154278217543</v>
      </c>
    </row>
    <row r="2542" spans="2:3">
      <c r="B2542" s="412" t="s">
        <v>2781</v>
      </c>
      <c r="C2542" s="1110">
        <v>13.821154278217543</v>
      </c>
    </row>
    <row r="2543" spans="2:3">
      <c r="B2543" s="412" t="s">
        <v>2782</v>
      </c>
      <c r="C2543" s="1110">
        <v>13.821154278217543</v>
      </c>
    </row>
    <row r="2544" spans="2:3">
      <c r="B2544" s="412" t="s">
        <v>2783</v>
      </c>
      <c r="C2544" s="1110">
        <v>13.821154278217543</v>
      </c>
    </row>
    <row r="2545" spans="2:3">
      <c r="B2545" s="412" t="s">
        <v>2784</v>
      </c>
      <c r="C2545" s="1110">
        <v>13.821154278217543</v>
      </c>
    </row>
    <row r="2546" spans="2:3">
      <c r="B2546" s="412" t="s">
        <v>2785</v>
      </c>
      <c r="C2546" s="1110">
        <v>13.821154278217543</v>
      </c>
    </row>
    <row r="2547" spans="2:3">
      <c r="B2547" s="412" t="s">
        <v>2786</v>
      </c>
      <c r="C2547" s="1110">
        <v>13.821154278217543</v>
      </c>
    </row>
    <row r="2548" spans="2:3">
      <c r="B2548" s="412" t="s">
        <v>2787</v>
      </c>
      <c r="C2548" s="1110">
        <v>13.821154278217543</v>
      </c>
    </row>
    <row r="2549" spans="2:3">
      <c r="B2549" s="412" t="s">
        <v>2788</v>
      </c>
      <c r="C2549" s="1110">
        <v>13.821154278217543</v>
      </c>
    </row>
    <row r="2550" spans="2:3">
      <c r="B2550" s="412" t="s">
        <v>2789</v>
      </c>
      <c r="C2550" s="1110">
        <v>13.821154278217543</v>
      </c>
    </row>
    <row r="2551" spans="2:3">
      <c r="B2551" s="412" t="s">
        <v>2790</v>
      </c>
      <c r="C2551" s="1110">
        <v>13.821154278217543</v>
      </c>
    </row>
    <row r="2552" spans="2:3">
      <c r="B2552" s="412" t="s">
        <v>2791</v>
      </c>
      <c r="C2552" s="1110">
        <v>13.821154278217543</v>
      </c>
    </row>
    <row r="2553" spans="2:3">
      <c r="B2553" s="412" t="s">
        <v>2792</v>
      </c>
      <c r="C2553" s="1110">
        <v>13.821154278217543</v>
      </c>
    </row>
    <row r="2554" spans="2:3">
      <c r="B2554" s="412" t="s">
        <v>2793</v>
      </c>
      <c r="C2554" s="1110">
        <v>13.821154278217543</v>
      </c>
    </row>
    <row r="2555" spans="2:3">
      <c r="B2555" s="412" t="s">
        <v>2794</v>
      </c>
      <c r="C2555" s="1110">
        <v>13.821154278217543</v>
      </c>
    </row>
    <row r="2556" spans="2:3">
      <c r="B2556" s="412" t="s">
        <v>2795</v>
      </c>
      <c r="C2556" s="1110">
        <v>13.821154278217543</v>
      </c>
    </row>
    <row r="2557" spans="2:3">
      <c r="B2557" s="412" t="s">
        <v>2796</v>
      </c>
      <c r="C2557" s="1110">
        <v>13.821154278217543</v>
      </c>
    </row>
    <row r="2558" spans="2:3">
      <c r="B2558" s="412" t="s">
        <v>2797</v>
      </c>
      <c r="C2558" s="1110">
        <v>13.821154278217543</v>
      </c>
    </row>
    <row r="2559" spans="2:3">
      <c r="B2559" s="412" t="s">
        <v>2798</v>
      </c>
      <c r="C2559" s="1110">
        <v>13.821154278217543</v>
      </c>
    </row>
    <row r="2560" spans="2:3">
      <c r="B2560" s="412" t="s">
        <v>2799</v>
      </c>
      <c r="C2560" s="1110">
        <v>13.821154278217543</v>
      </c>
    </row>
    <row r="2561" spans="2:3">
      <c r="B2561" s="412" t="s">
        <v>2800</v>
      </c>
      <c r="C2561" s="1110">
        <v>13.821154278217543</v>
      </c>
    </row>
    <row r="2562" spans="2:3">
      <c r="B2562" s="412" t="s">
        <v>2801</v>
      </c>
      <c r="C2562" s="1110">
        <v>13.821154278217543</v>
      </c>
    </row>
    <row r="2563" spans="2:3">
      <c r="B2563" s="412" t="s">
        <v>2802</v>
      </c>
      <c r="C2563" s="1110">
        <v>9.4919290855704439</v>
      </c>
    </row>
    <row r="2564" spans="2:3">
      <c r="B2564" s="412" t="s">
        <v>2803</v>
      </c>
      <c r="C2564" s="1110">
        <v>9.4919290855704439</v>
      </c>
    </row>
    <row r="2565" spans="2:3">
      <c r="B2565" s="412" t="s">
        <v>2804</v>
      </c>
      <c r="C2565" s="1110">
        <v>9.4919290855704439</v>
      </c>
    </row>
    <row r="2566" spans="2:3">
      <c r="B2566" s="412" t="s">
        <v>2805</v>
      </c>
      <c r="C2566" s="1110">
        <v>9.4919290855704439</v>
      </c>
    </row>
    <row r="2567" spans="2:3">
      <c r="B2567" s="412" t="s">
        <v>2806</v>
      </c>
      <c r="C2567" s="1110">
        <v>9.4919290855704439</v>
      </c>
    </row>
    <row r="2568" spans="2:3">
      <c r="B2568" s="412" t="s">
        <v>2807</v>
      </c>
      <c r="C2568" s="1110">
        <v>9.4919290855704439</v>
      </c>
    </row>
    <row r="2569" spans="2:3">
      <c r="B2569" s="412" t="s">
        <v>2808</v>
      </c>
      <c r="C2569" s="1110">
        <v>9.4919290855704439</v>
      </c>
    </row>
    <row r="2570" spans="2:3">
      <c r="B2570" s="412" t="s">
        <v>2809</v>
      </c>
      <c r="C2570" s="1110">
        <v>9.4919290855704439</v>
      </c>
    </row>
    <row r="2571" spans="2:3">
      <c r="B2571" s="412" t="s">
        <v>2810</v>
      </c>
      <c r="C2571" s="1110">
        <v>9.4919290855704439</v>
      </c>
    </row>
    <row r="2572" spans="2:3">
      <c r="B2572" s="412" t="s">
        <v>2811</v>
      </c>
      <c r="C2572" s="1110">
        <v>9.4919290855704439</v>
      </c>
    </row>
    <row r="2573" spans="2:3">
      <c r="B2573" s="412" t="s">
        <v>2812</v>
      </c>
      <c r="C2573" s="1110">
        <v>9.4919290855704439</v>
      </c>
    </row>
    <row r="2574" spans="2:3">
      <c r="B2574" s="412" t="s">
        <v>2813</v>
      </c>
      <c r="C2574" s="1110">
        <v>9.4919290855704439</v>
      </c>
    </row>
    <row r="2575" spans="2:3">
      <c r="B2575" s="412" t="s">
        <v>2814</v>
      </c>
      <c r="C2575" s="1110">
        <v>9.4919290855704439</v>
      </c>
    </row>
    <row r="2576" spans="2:3">
      <c r="B2576" s="412" t="s">
        <v>2815</v>
      </c>
      <c r="C2576" s="1110">
        <v>9.4919290855704439</v>
      </c>
    </row>
    <row r="2577" spans="2:3">
      <c r="B2577" s="412" t="s">
        <v>2816</v>
      </c>
      <c r="C2577" s="1110">
        <v>9.4919290855704439</v>
      </c>
    </row>
    <row r="2578" spans="2:3">
      <c r="B2578" s="412" t="s">
        <v>2817</v>
      </c>
      <c r="C2578" s="1110">
        <v>9.4919290855704439</v>
      </c>
    </row>
    <row r="2579" spans="2:3">
      <c r="B2579" s="412" t="s">
        <v>2818</v>
      </c>
      <c r="C2579" s="1110">
        <v>9.4919290855704439</v>
      </c>
    </row>
    <row r="2580" spans="2:3">
      <c r="B2580" s="412" t="s">
        <v>2819</v>
      </c>
      <c r="C2580" s="1110">
        <v>9.4919290855704439</v>
      </c>
    </row>
    <row r="2581" spans="2:3">
      <c r="B2581" s="412" t="s">
        <v>2820</v>
      </c>
      <c r="C2581" s="1110">
        <v>9.4919290855704439</v>
      </c>
    </row>
    <row r="2582" spans="2:3">
      <c r="B2582" s="412" t="s">
        <v>2821</v>
      </c>
      <c r="C2582" s="1110">
        <v>9.4919290855704439</v>
      </c>
    </row>
    <row r="2583" spans="2:3">
      <c r="B2583" s="412" t="s">
        <v>2822</v>
      </c>
      <c r="C2583" s="1110">
        <v>9.4919290855704439</v>
      </c>
    </row>
    <row r="2584" spans="2:3">
      <c r="B2584" s="412" t="s">
        <v>2823</v>
      </c>
      <c r="C2584" s="1110">
        <v>9.4919290855704439</v>
      </c>
    </row>
    <row r="2585" spans="2:3">
      <c r="B2585" s="412" t="s">
        <v>2824</v>
      </c>
      <c r="C2585" s="1110">
        <v>9.4919290855704439</v>
      </c>
    </row>
    <row r="2586" spans="2:3">
      <c r="B2586" s="412" t="s">
        <v>2825</v>
      </c>
      <c r="C2586" s="1110">
        <v>9.4919290855704439</v>
      </c>
    </row>
    <row r="2587" spans="2:3">
      <c r="B2587" s="412" t="s">
        <v>2826</v>
      </c>
      <c r="C2587" s="1110">
        <v>9.4919290855704439</v>
      </c>
    </row>
    <row r="2588" spans="2:3">
      <c r="B2588" s="412" t="s">
        <v>2827</v>
      </c>
      <c r="C2588" s="1110">
        <v>9.4919290855704439</v>
      </c>
    </row>
    <row r="2589" spans="2:3">
      <c r="B2589" s="412" t="s">
        <v>2828</v>
      </c>
      <c r="C2589" s="1110">
        <v>9.4919290855704439</v>
      </c>
    </row>
    <row r="2590" spans="2:3">
      <c r="B2590" s="412" t="s">
        <v>2829</v>
      </c>
      <c r="C2590" s="1110">
        <v>9.4919290855704439</v>
      </c>
    </row>
    <row r="2591" spans="2:3">
      <c r="B2591" s="412" t="s">
        <v>2830</v>
      </c>
      <c r="C2591" s="1110">
        <v>13.821154278217543</v>
      </c>
    </row>
    <row r="2592" spans="2:3">
      <c r="B2592" s="412" t="s">
        <v>2831</v>
      </c>
      <c r="C2592" s="1110">
        <v>13.821154278217543</v>
      </c>
    </row>
    <row r="2593" spans="2:3">
      <c r="B2593" s="412" t="s">
        <v>2832</v>
      </c>
      <c r="C2593" s="1110">
        <v>13.821154278217543</v>
      </c>
    </row>
    <row r="2594" spans="2:3">
      <c r="B2594" s="412" t="s">
        <v>2833</v>
      </c>
      <c r="C2594" s="1110">
        <v>13.821154278217543</v>
      </c>
    </row>
    <row r="2595" spans="2:3">
      <c r="B2595" s="412" t="s">
        <v>2834</v>
      </c>
      <c r="C2595" s="1110">
        <v>13.821154278217543</v>
      </c>
    </row>
    <row r="2596" spans="2:3">
      <c r="B2596" s="412" t="s">
        <v>2835</v>
      </c>
      <c r="C2596" s="1110">
        <v>13.821154278217543</v>
      </c>
    </row>
    <row r="2597" spans="2:3">
      <c r="B2597" s="412" t="s">
        <v>2836</v>
      </c>
      <c r="C2597" s="1110">
        <v>13.821154278217543</v>
      </c>
    </row>
    <row r="2598" spans="2:3">
      <c r="B2598" s="412" t="s">
        <v>2837</v>
      </c>
      <c r="C2598" s="1110">
        <v>13.821154278217543</v>
      </c>
    </row>
    <row r="2599" spans="2:3">
      <c r="B2599" s="412" t="s">
        <v>2838</v>
      </c>
      <c r="C2599" s="1110">
        <v>13.821154278217543</v>
      </c>
    </row>
    <row r="2600" spans="2:3">
      <c r="B2600" s="412" t="s">
        <v>2839</v>
      </c>
      <c r="C2600" s="1110">
        <v>13.821154278217543</v>
      </c>
    </row>
    <row r="2601" spans="2:3">
      <c r="B2601" s="412" t="s">
        <v>2840</v>
      </c>
      <c r="C2601" s="1110">
        <v>13.821154278217543</v>
      </c>
    </row>
    <row r="2602" spans="2:3">
      <c r="B2602" s="412" t="s">
        <v>2841</v>
      </c>
      <c r="C2602" s="1110">
        <v>13.821154278217543</v>
      </c>
    </row>
    <row r="2603" spans="2:3">
      <c r="B2603" s="412" t="s">
        <v>2842</v>
      </c>
      <c r="C2603" s="1110">
        <v>13.821154278217543</v>
      </c>
    </row>
    <row r="2604" spans="2:3">
      <c r="B2604" s="412" t="s">
        <v>2843</v>
      </c>
      <c r="C2604" s="1110">
        <v>13.821154278217543</v>
      </c>
    </row>
    <row r="2605" spans="2:3">
      <c r="B2605" s="412" t="s">
        <v>2844</v>
      </c>
      <c r="C2605" s="1110">
        <v>13.821154278217543</v>
      </c>
    </row>
    <row r="2606" spans="2:3">
      <c r="B2606" s="412" t="s">
        <v>2845</v>
      </c>
      <c r="C2606" s="1110">
        <v>13.821154278217543</v>
      </c>
    </row>
    <row r="2607" spans="2:3">
      <c r="B2607" s="412" t="s">
        <v>2846</v>
      </c>
      <c r="C2607" s="1110">
        <v>13.821154278217543</v>
      </c>
    </row>
    <row r="2608" spans="2:3">
      <c r="B2608" s="412" t="s">
        <v>2847</v>
      </c>
      <c r="C2608" s="1110">
        <v>13.821154278217543</v>
      </c>
    </row>
    <row r="2609" spans="2:3">
      <c r="B2609" s="412" t="s">
        <v>2848</v>
      </c>
      <c r="C2609" s="1110">
        <v>13.821154278217543</v>
      </c>
    </row>
    <row r="2610" spans="2:3">
      <c r="B2610" s="412" t="s">
        <v>2849</v>
      </c>
      <c r="C2610" s="1110">
        <v>13.821154278217543</v>
      </c>
    </row>
    <row r="2611" spans="2:3">
      <c r="B2611" s="412" t="s">
        <v>2850</v>
      </c>
      <c r="C2611" s="1110">
        <v>13.821154278217543</v>
      </c>
    </row>
    <row r="2612" spans="2:3">
      <c r="B2612" s="412" t="s">
        <v>2851</v>
      </c>
      <c r="C2612" s="1110">
        <v>13.821154278217543</v>
      </c>
    </row>
    <row r="2613" spans="2:3">
      <c r="B2613" s="412" t="s">
        <v>2852</v>
      </c>
      <c r="C2613" s="1110">
        <v>13.821154278217543</v>
      </c>
    </row>
    <row r="2614" spans="2:3">
      <c r="B2614" s="412" t="s">
        <v>2853</v>
      </c>
      <c r="C2614" s="1110">
        <v>13.821154278217543</v>
      </c>
    </row>
    <row r="2615" spans="2:3">
      <c r="B2615" s="412" t="s">
        <v>2854</v>
      </c>
      <c r="C2615" s="1110">
        <v>13.821154278217543</v>
      </c>
    </row>
    <row r="2616" spans="2:3" ht="17" thickBot="1">
      <c r="B2616" s="413" t="s">
        <v>2855</v>
      </c>
      <c r="C2616" s="655">
        <v>13.821154278217543</v>
      </c>
    </row>
    <row r="2617" spans="2:3">
      <c r="B2617" s="415" t="s">
        <v>2856</v>
      </c>
      <c r="C2617" s="1110">
        <v>13.821154278217543</v>
      </c>
    </row>
    <row r="2618" spans="2:3">
      <c r="B2618" s="412" t="s">
        <v>2857</v>
      </c>
      <c r="C2618" s="1110">
        <v>13.821154278217543</v>
      </c>
    </row>
    <row r="2619" spans="2:3">
      <c r="B2619" s="412" t="s">
        <v>2858</v>
      </c>
      <c r="C2619" s="1110">
        <v>13.821154278217543</v>
      </c>
    </row>
    <row r="2620" spans="2:3">
      <c r="B2620" s="412" t="s">
        <v>2859</v>
      </c>
      <c r="C2620" s="1110">
        <v>13.821154278217543</v>
      </c>
    </row>
    <row r="2621" spans="2:3">
      <c r="B2621" s="412" t="s">
        <v>2860</v>
      </c>
      <c r="C2621" s="1110">
        <v>13.821154278217543</v>
      </c>
    </row>
    <row r="2622" spans="2:3">
      <c r="B2622" s="412" t="s">
        <v>2861</v>
      </c>
      <c r="C2622" s="1110">
        <v>13.821154278217543</v>
      </c>
    </row>
    <row r="2623" spans="2:3">
      <c r="B2623" s="412" t="s">
        <v>2862</v>
      </c>
      <c r="C2623" s="1110">
        <v>13.821154278217543</v>
      </c>
    </row>
    <row r="2624" spans="2:3">
      <c r="B2624" s="412" t="s">
        <v>2863</v>
      </c>
      <c r="C2624" s="1110">
        <v>13.821154278217543</v>
      </c>
    </row>
    <row r="2625" spans="2:3">
      <c r="B2625" s="412" t="s">
        <v>2864</v>
      </c>
      <c r="C2625" s="1110">
        <v>13.821154278217543</v>
      </c>
    </row>
    <row r="2626" spans="2:3">
      <c r="B2626" s="412" t="s">
        <v>2865</v>
      </c>
      <c r="C2626" s="1110">
        <v>13.821154278217543</v>
      </c>
    </row>
    <row r="2627" spans="2:3">
      <c r="B2627" s="412" t="s">
        <v>2866</v>
      </c>
      <c r="C2627" s="1110">
        <v>13.821154278217543</v>
      </c>
    </row>
    <row r="2628" spans="2:3">
      <c r="B2628" s="412" t="s">
        <v>2867</v>
      </c>
      <c r="C2628" s="1110">
        <v>13.821154278217543</v>
      </c>
    </row>
    <row r="2629" spans="2:3">
      <c r="B2629" s="412" t="s">
        <v>2868</v>
      </c>
      <c r="C2629" s="1110">
        <v>13.821154278217543</v>
      </c>
    </row>
    <row r="2630" spans="2:3">
      <c r="B2630" s="412" t="s">
        <v>2869</v>
      </c>
      <c r="C2630" s="1110">
        <v>13.821154278217543</v>
      </c>
    </row>
    <row r="2631" spans="2:3">
      <c r="B2631" s="412" t="s">
        <v>2870</v>
      </c>
      <c r="C2631" s="1110">
        <v>13.821154278217543</v>
      </c>
    </row>
    <row r="2632" spans="2:3">
      <c r="B2632" s="412" t="s">
        <v>2871</v>
      </c>
      <c r="C2632" s="1110">
        <v>13.821154278217543</v>
      </c>
    </row>
    <row r="2633" spans="2:3">
      <c r="B2633" s="412" t="s">
        <v>2872</v>
      </c>
      <c r="C2633" s="1110">
        <v>13.821154278217543</v>
      </c>
    </row>
    <row r="2634" spans="2:3">
      <c r="B2634" s="412" t="s">
        <v>2873</v>
      </c>
      <c r="C2634" s="1110">
        <v>13.821154278217543</v>
      </c>
    </row>
    <row r="2635" spans="2:3">
      <c r="B2635" s="412" t="s">
        <v>2874</v>
      </c>
      <c r="C2635" s="1110">
        <v>13.821154278217543</v>
      </c>
    </row>
    <row r="2636" spans="2:3">
      <c r="B2636" s="412" t="s">
        <v>2875</v>
      </c>
      <c r="C2636" s="1110">
        <v>13.821154278217543</v>
      </c>
    </row>
    <row r="2637" spans="2:3">
      <c r="B2637" s="412" t="s">
        <v>2876</v>
      </c>
      <c r="C2637" s="1110">
        <v>13.821154278217543</v>
      </c>
    </row>
    <row r="2638" spans="2:3">
      <c r="B2638" s="412" t="s">
        <v>2877</v>
      </c>
      <c r="C2638" s="1110">
        <v>13.821154278217543</v>
      </c>
    </row>
    <row r="2639" spans="2:3">
      <c r="B2639" s="412" t="s">
        <v>2878</v>
      </c>
      <c r="C2639" s="1110">
        <v>13.821154278217543</v>
      </c>
    </row>
    <row r="2640" spans="2:3">
      <c r="B2640" s="412" t="s">
        <v>2879</v>
      </c>
      <c r="C2640" s="1110">
        <v>13.821154278217543</v>
      </c>
    </row>
    <row r="2641" spans="2:3">
      <c r="B2641" s="412" t="s">
        <v>2880</v>
      </c>
      <c r="C2641" s="1110">
        <v>13.821154278217543</v>
      </c>
    </row>
    <row r="2642" spans="2:3">
      <c r="B2642" s="412" t="s">
        <v>2881</v>
      </c>
      <c r="C2642" s="1110">
        <v>13.821154278217543</v>
      </c>
    </row>
    <row r="2643" spans="2:3">
      <c r="B2643" s="412" t="s">
        <v>2882</v>
      </c>
      <c r="C2643" s="1110">
        <v>13.821154278217543</v>
      </c>
    </row>
    <row r="2644" spans="2:3">
      <c r="B2644" s="412" t="s">
        <v>2883</v>
      </c>
      <c r="C2644" s="1110">
        <v>13.821154278217543</v>
      </c>
    </row>
    <row r="2645" spans="2:3">
      <c r="B2645" s="412" t="s">
        <v>2884</v>
      </c>
      <c r="C2645" s="1110">
        <v>13.821154278217543</v>
      </c>
    </row>
    <row r="2646" spans="2:3">
      <c r="B2646" s="412" t="s">
        <v>2885</v>
      </c>
      <c r="C2646" s="1110">
        <v>13.821154278217543</v>
      </c>
    </row>
    <row r="2647" spans="2:3">
      <c r="B2647" s="412" t="s">
        <v>2886</v>
      </c>
      <c r="C2647" s="1110">
        <v>13.821154278217543</v>
      </c>
    </row>
    <row r="2648" spans="2:3">
      <c r="B2648" s="412" t="s">
        <v>2887</v>
      </c>
      <c r="C2648" s="1110">
        <v>13.821154278217543</v>
      </c>
    </row>
    <row r="2649" spans="2:3">
      <c r="B2649" s="412" t="s">
        <v>2888</v>
      </c>
      <c r="C2649" s="1110">
        <v>13.821154278217543</v>
      </c>
    </row>
    <row r="2650" spans="2:3">
      <c r="B2650" s="412" t="s">
        <v>2889</v>
      </c>
      <c r="C2650" s="1110">
        <v>13.821154278217543</v>
      </c>
    </row>
    <row r="2651" spans="2:3">
      <c r="B2651" s="412" t="s">
        <v>2890</v>
      </c>
      <c r="C2651" s="1110">
        <v>13.821154278217543</v>
      </c>
    </row>
    <row r="2652" spans="2:3">
      <c r="B2652" s="412" t="s">
        <v>2891</v>
      </c>
      <c r="C2652" s="1110">
        <v>13.821154278217543</v>
      </c>
    </row>
    <row r="2653" spans="2:3">
      <c r="B2653" s="412" t="s">
        <v>2892</v>
      </c>
      <c r="C2653" s="1110">
        <v>13.821154278217543</v>
      </c>
    </row>
    <row r="2654" spans="2:3">
      <c r="B2654" s="412" t="s">
        <v>2893</v>
      </c>
      <c r="C2654" s="1110">
        <v>13.821154278217543</v>
      </c>
    </row>
    <row r="2655" spans="2:3">
      <c r="B2655" s="412" t="s">
        <v>2894</v>
      </c>
      <c r="C2655" s="1110">
        <v>13.821154278217543</v>
      </c>
    </row>
    <row r="2656" spans="2:3">
      <c r="B2656" s="412" t="s">
        <v>2895</v>
      </c>
      <c r="C2656" s="1110">
        <v>13.821154278217543</v>
      </c>
    </row>
    <row r="2657" spans="2:3">
      <c r="B2657" s="412" t="s">
        <v>2896</v>
      </c>
      <c r="C2657" s="1110">
        <v>13.821154278217543</v>
      </c>
    </row>
    <row r="2658" spans="2:3">
      <c r="B2658" s="412" t="s">
        <v>2897</v>
      </c>
      <c r="C2658" s="1110">
        <v>13.821154278217543</v>
      </c>
    </row>
    <row r="2659" spans="2:3">
      <c r="B2659" s="412" t="s">
        <v>2898</v>
      </c>
      <c r="C2659" s="1110">
        <v>13.821154278217543</v>
      </c>
    </row>
    <row r="2660" spans="2:3">
      <c r="B2660" s="412" t="s">
        <v>2899</v>
      </c>
      <c r="C2660" s="1110">
        <v>13.821154278217543</v>
      </c>
    </row>
    <row r="2661" spans="2:3">
      <c r="B2661" s="412" t="s">
        <v>2900</v>
      </c>
      <c r="C2661" s="1110">
        <v>13.821154278217543</v>
      </c>
    </row>
    <row r="2662" spans="2:3">
      <c r="B2662" s="412" t="s">
        <v>2901</v>
      </c>
      <c r="C2662" s="1110">
        <v>13.821154278217543</v>
      </c>
    </row>
    <row r="2663" spans="2:3">
      <c r="B2663" s="412" t="s">
        <v>2902</v>
      </c>
      <c r="C2663" s="1110">
        <v>13.821154278217543</v>
      </c>
    </row>
    <row r="2664" spans="2:3">
      <c r="B2664" s="412" t="s">
        <v>2903</v>
      </c>
      <c r="C2664" s="1110">
        <v>13.821154278217543</v>
      </c>
    </row>
    <row r="2665" spans="2:3">
      <c r="B2665" s="412" t="s">
        <v>2904</v>
      </c>
      <c r="C2665" s="1110">
        <v>13.821154278217543</v>
      </c>
    </row>
    <row r="2666" spans="2:3">
      <c r="B2666" s="412" t="s">
        <v>2905</v>
      </c>
      <c r="C2666" s="1110">
        <v>13.821154278217543</v>
      </c>
    </row>
    <row r="2667" spans="2:3">
      <c r="B2667" s="412" t="s">
        <v>2906</v>
      </c>
      <c r="C2667" s="1110">
        <v>13.821154278217543</v>
      </c>
    </row>
    <row r="2668" spans="2:3">
      <c r="B2668" s="412" t="s">
        <v>2907</v>
      </c>
      <c r="C2668" s="1110">
        <v>13.821154278217543</v>
      </c>
    </row>
    <row r="2669" spans="2:3">
      <c r="B2669" s="412" t="s">
        <v>2908</v>
      </c>
      <c r="C2669" s="1110">
        <v>13.821154278217543</v>
      </c>
    </row>
    <row r="2670" spans="2:3">
      <c r="B2670" s="412" t="s">
        <v>2909</v>
      </c>
      <c r="C2670" s="1110">
        <v>13.821154278217543</v>
      </c>
    </row>
    <row r="2671" spans="2:3">
      <c r="B2671" s="412" t="s">
        <v>2910</v>
      </c>
      <c r="C2671" s="1110">
        <v>13.821154278217543</v>
      </c>
    </row>
    <row r="2672" spans="2:3">
      <c r="B2672" s="412" t="s">
        <v>2911</v>
      </c>
      <c r="C2672" s="1110">
        <v>13.821154278217543</v>
      </c>
    </row>
    <row r="2673" spans="2:3">
      <c r="B2673" s="412" t="s">
        <v>2912</v>
      </c>
      <c r="C2673" s="1110">
        <v>13.821154278217543</v>
      </c>
    </row>
    <row r="2674" spans="2:3">
      <c r="B2674" s="412" t="s">
        <v>2913</v>
      </c>
      <c r="C2674" s="1110">
        <v>13.618924035654445</v>
      </c>
    </row>
    <row r="2675" spans="2:3">
      <c r="B2675" s="412" t="s">
        <v>2914</v>
      </c>
      <c r="C2675" s="1110">
        <v>13.821154278217543</v>
      </c>
    </row>
    <row r="2676" spans="2:3">
      <c r="B2676" s="412" t="s">
        <v>2915</v>
      </c>
      <c r="C2676" s="1110">
        <v>11.698709459744453</v>
      </c>
    </row>
    <row r="2677" spans="2:3">
      <c r="B2677" s="412" t="s">
        <v>2916</v>
      </c>
      <c r="C2677" s="1110">
        <v>13.821154278217543</v>
      </c>
    </row>
    <row r="2678" spans="2:3">
      <c r="B2678" s="412" t="s">
        <v>2917</v>
      </c>
      <c r="C2678" s="1110">
        <v>13.821154278217543</v>
      </c>
    </row>
    <row r="2679" spans="2:3">
      <c r="B2679" s="412" t="s">
        <v>2918</v>
      </c>
      <c r="C2679" s="1110">
        <v>13.821154278217543</v>
      </c>
    </row>
    <row r="2680" spans="2:3">
      <c r="B2680" s="412" t="s">
        <v>2919</v>
      </c>
      <c r="C2680" s="1110">
        <v>13.821154278217543</v>
      </c>
    </row>
    <row r="2681" spans="2:3">
      <c r="B2681" s="412" t="s">
        <v>2920</v>
      </c>
      <c r="C2681" s="1110">
        <v>13.821154278217543</v>
      </c>
    </row>
    <row r="2682" spans="2:3">
      <c r="B2682" s="412" t="s">
        <v>2921</v>
      </c>
      <c r="C2682" s="1110">
        <v>13.821154278217543</v>
      </c>
    </row>
    <row r="2683" spans="2:3">
      <c r="B2683" s="412" t="s">
        <v>2922</v>
      </c>
      <c r="C2683" s="1110">
        <v>13.821154278217543</v>
      </c>
    </row>
    <row r="2684" spans="2:3">
      <c r="B2684" s="412" t="s">
        <v>2923</v>
      </c>
      <c r="C2684" s="1110">
        <v>13.821154278217543</v>
      </c>
    </row>
    <row r="2685" spans="2:3">
      <c r="B2685" s="412" t="s">
        <v>2924</v>
      </c>
      <c r="C2685" s="1110">
        <v>13.821154278217543</v>
      </c>
    </row>
    <row r="2686" spans="2:3">
      <c r="B2686" s="412" t="s">
        <v>2925</v>
      </c>
      <c r="C2686" s="1110">
        <v>13.821154278217543</v>
      </c>
    </row>
    <row r="2687" spans="2:3">
      <c r="B2687" s="412" t="s">
        <v>2926</v>
      </c>
      <c r="C2687" s="1110">
        <v>13.821154278217543</v>
      </c>
    </row>
    <row r="2688" spans="2:3">
      <c r="B2688" s="412" t="s">
        <v>2927</v>
      </c>
      <c r="C2688" s="1110">
        <v>13.821154278217543</v>
      </c>
    </row>
    <row r="2689" spans="2:3">
      <c r="B2689" s="412" t="s">
        <v>2928</v>
      </c>
      <c r="C2689" s="1110">
        <v>13.821154278217543</v>
      </c>
    </row>
    <row r="2690" spans="2:3">
      <c r="B2690" s="412" t="s">
        <v>2929</v>
      </c>
      <c r="C2690" s="1110">
        <v>13.821154278217543</v>
      </c>
    </row>
    <row r="2691" spans="2:3">
      <c r="B2691" s="412" t="s">
        <v>2930</v>
      </c>
      <c r="C2691" s="1110">
        <v>13.821154278217543</v>
      </c>
    </row>
    <row r="2692" spans="2:3">
      <c r="B2692" s="412" t="s">
        <v>2931</v>
      </c>
      <c r="C2692" s="1110">
        <v>13.821154278217543</v>
      </c>
    </row>
    <row r="2693" spans="2:3">
      <c r="B2693" s="412" t="s">
        <v>2932</v>
      </c>
      <c r="C2693" s="1110">
        <v>13.821154278217543</v>
      </c>
    </row>
    <row r="2694" spans="2:3">
      <c r="B2694" s="412" t="s">
        <v>2933</v>
      </c>
      <c r="C2694" s="1110">
        <v>13.821154278217543</v>
      </c>
    </row>
    <row r="2695" spans="2:3">
      <c r="B2695" s="412" t="s">
        <v>2934</v>
      </c>
      <c r="C2695" s="1110">
        <v>13.821154278217543</v>
      </c>
    </row>
    <row r="2696" spans="2:3">
      <c r="B2696" s="412" t="s">
        <v>2935</v>
      </c>
      <c r="C2696" s="1110">
        <v>13.821154278217543</v>
      </c>
    </row>
    <row r="2697" spans="2:3">
      <c r="B2697" s="412" t="s">
        <v>2936</v>
      </c>
      <c r="C2697" s="1110">
        <v>13.821154278217543</v>
      </c>
    </row>
    <row r="2698" spans="2:3">
      <c r="B2698" s="412" t="s">
        <v>2937</v>
      </c>
      <c r="C2698" s="1110">
        <v>13.821154278217543</v>
      </c>
    </row>
    <row r="2699" spans="2:3">
      <c r="B2699" s="412" t="s">
        <v>2938</v>
      </c>
      <c r="C2699" s="1110">
        <v>13.821154278217543</v>
      </c>
    </row>
    <row r="2700" spans="2:3">
      <c r="B2700" s="412" t="s">
        <v>2939</v>
      </c>
      <c r="C2700" s="1110">
        <v>13.821154278217543</v>
      </c>
    </row>
    <row r="2701" spans="2:3">
      <c r="B2701" s="412" t="s">
        <v>2940</v>
      </c>
      <c r="C2701" s="1110">
        <v>13.821154278217543</v>
      </c>
    </row>
    <row r="2702" spans="2:3">
      <c r="B2702" s="412" t="s">
        <v>2941</v>
      </c>
      <c r="C2702" s="1110">
        <v>13.821154278217543</v>
      </c>
    </row>
    <row r="2703" spans="2:3">
      <c r="B2703" s="412" t="s">
        <v>2942</v>
      </c>
      <c r="C2703" s="1110">
        <v>13.821154278217543</v>
      </c>
    </row>
    <row r="2704" spans="2:3">
      <c r="B2704" s="412" t="s">
        <v>2943</v>
      </c>
      <c r="C2704" s="1110">
        <v>13.821154278217543</v>
      </c>
    </row>
    <row r="2705" spans="2:3">
      <c r="B2705" s="412" t="s">
        <v>2944</v>
      </c>
      <c r="C2705" s="1110">
        <v>13.821154278217543</v>
      </c>
    </row>
    <row r="2706" spans="2:3">
      <c r="B2706" s="412" t="s">
        <v>2945</v>
      </c>
      <c r="C2706" s="1110">
        <v>13.821154278217543</v>
      </c>
    </row>
    <row r="2707" spans="2:3">
      <c r="B2707" s="412" t="s">
        <v>2946</v>
      </c>
      <c r="C2707" s="1110">
        <v>13.821154278217543</v>
      </c>
    </row>
    <row r="2708" spans="2:3">
      <c r="B2708" s="412" t="s">
        <v>2947</v>
      </c>
      <c r="C2708" s="1110">
        <v>13.821154278217543</v>
      </c>
    </row>
    <row r="2709" spans="2:3">
      <c r="B2709" s="412" t="s">
        <v>2948</v>
      </c>
      <c r="C2709" s="1110">
        <v>13.821154278217543</v>
      </c>
    </row>
    <row r="2710" spans="2:3">
      <c r="B2710" s="412" t="s">
        <v>2949</v>
      </c>
      <c r="C2710" s="1110">
        <v>13.821154278217543</v>
      </c>
    </row>
    <row r="2711" spans="2:3">
      <c r="B2711" s="412" t="s">
        <v>2950</v>
      </c>
      <c r="C2711" s="1110">
        <v>13.821154278217543</v>
      </c>
    </row>
    <row r="2712" spans="2:3">
      <c r="B2712" s="412" t="s">
        <v>2951</v>
      </c>
      <c r="C2712" s="1110">
        <v>13.821154278217543</v>
      </c>
    </row>
    <row r="2713" spans="2:3">
      <c r="B2713" s="412" t="s">
        <v>2952</v>
      </c>
      <c r="C2713" s="1110">
        <v>13.821154278217543</v>
      </c>
    </row>
    <row r="2714" spans="2:3">
      <c r="B2714" s="412" t="s">
        <v>2953</v>
      </c>
      <c r="C2714" s="1110">
        <v>13.821154278217543</v>
      </c>
    </row>
    <row r="2715" spans="2:3">
      <c r="B2715" s="412" t="s">
        <v>2954</v>
      </c>
      <c r="C2715" s="1110">
        <v>13.821154278217543</v>
      </c>
    </row>
    <row r="2716" spans="2:3">
      <c r="B2716" s="412" t="s">
        <v>2955</v>
      </c>
      <c r="C2716" s="1110">
        <v>13.821154278217543</v>
      </c>
    </row>
    <row r="2717" spans="2:3">
      <c r="B2717" s="412" t="s">
        <v>2956</v>
      </c>
      <c r="C2717" s="1110">
        <v>13.821154278217543</v>
      </c>
    </row>
    <row r="2718" spans="2:3">
      <c r="B2718" s="412" t="s">
        <v>2957</v>
      </c>
      <c r="C2718" s="1110">
        <v>13.821154278217543</v>
      </c>
    </row>
    <row r="2719" spans="2:3">
      <c r="B2719" s="412" t="s">
        <v>2958</v>
      </c>
      <c r="C2719" s="1110">
        <v>13.821154278217543</v>
      </c>
    </row>
    <row r="2720" spans="2:3">
      <c r="B2720" s="412" t="s">
        <v>2959</v>
      </c>
      <c r="C2720" s="1110">
        <v>13.821154278217543</v>
      </c>
    </row>
    <row r="2721" spans="2:3">
      <c r="B2721" s="412" t="s">
        <v>2960</v>
      </c>
      <c r="C2721" s="1110">
        <v>13.821154278217543</v>
      </c>
    </row>
    <row r="2722" spans="2:3">
      <c r="B2722" s="412" t="s">
        <v>2961</v>
      </c>
      <c r="C2722" s="1110">
        <v>13.821154278217543</v>
      </c>
    </row>
    <row r="2723" spans="2:3">
      <c r="B2723" s="412" t="s">
        <v>2962</v>
      </c>
      <c r="C2723" s="1110">
        <v>13.821154278217543</v>
      </c>
    </row>
    <row r="2724" spans="2:3">
      <c r="B2724" s="412" t="s">
        <v>2963</v>
      </c>
      <c r="C2724" s="1110">
        <v>13.821154278217543</v>
      </c>
    </row>
    <row r="2725" spans="2:3">
      <c r="B2725" s="412" t="s">
        <v>2964</v>
      </c>
      <c r="C2725" s="1110">
        <v>13.821154278217543</v>
      </c>
    </row>
    <row r="2726" spans="2:3">
      <c r="B2726" s="412" t="s">
        <v>2965</v>
      </c>
      <c r="C2726" s="1110">
        <v>13.821154278217543</v>
      </c>
    </row>
    <row r="2727" spans="2:3">
      <c r="B2727" s="412" t="s">
        <v>2966</v>
      </c>
      <c r="C2727" s="1110">
        <v>13.821154278217543</v>
      </c>
    </row>
    <row r="2728" spans="2:3">
      <c r="B2728" s="412" t="s">
        <v>2967</v>
      </c>
      <c r="C2728" s="1110">
        <v>13.821154278217543</v>
      </c>
    </row>
    <row r="2729" spans="2:3">
      <c r="B2729" s="412" t="s">
        <v>2968</v>
      </c>
      <c r="C2729" s="1110">
        <v>13.821154278217543</v>
      </c>
    </row>
    <row r="2730" spans="2:3">
      <c r="B2730" s="412" t="s">
        <v>2969</v>
      </c>
      <c r="C2730" s="1110">
        <v>13.821154278217543</v>
      </c>
    </row>
    <row r="2731" spans="2:3">
      <c r="B2731" s="412" t="s">
        <v>2970</v>
      </c>
      <c r="C2731" s="1110">
        <v>13.821154278217543</v>
      </c>
    </row>
    <row r="2732" spans="2:3">
      <c r="B2732" s="412" t="s">
        <v>2971</v>
      </c>
      <c r="C2732" s="1110">
        <v>13.821154278217543</v>
      </c>
    </row>
    <row r="2733" spans="2:3">
      <c r="B2733" s="412" t="s">
        <v>2972</v>
      </c>
      <c r="C2733" s="1110">
        <v>13.821154278217543</v>
      </c>
    </row>
    <row r="2734" spans="2:3">
      <c r="B2734" s="412" t="s">
        <v>2973</v>
      </c>
      <c r="C2734" s="1110">
        <v>13.821154278217543</v>
      </c>
    </row>
    <row r="2735" spans="2:3">
      <c r="B2735" s="412" t="s">
        <v>2974</v>
      </c>
      <c r="C2735" s="1110">
        <v>13.821154278217543</v>
      </c>
    </row>
    <row r="2736" spans="2:3">
      <c r="B2736" s="412" t="s">
        <v>2975</v>
      </c>
      <c r="C2736" s="1110">
        <v>22.950899850567449</v>
      </c>
    </row>
    <row r="2737" spans="2:3">
      <c r="B2737" s="412" t="s">
        <v>2976</v>
      </c>
      <c r="C2737" s="1110">
        <v>23.079487816375195</v>
      </c>
    </row>
    <row r="2738" spans="2:3">
      <c r="B2738" s="412" t="s">
        <v>2977</v>
      </c>
      <c r="C2738" s="1110">
        <v>23.079487816375195</v>
      </c>
    </row>
    <row r="2739" spans="2:3">
      <c r="B2739" s="412" t="s">
        <v>2978</v>
      </c>
      <c r="C2739" s="1110">
        <v>23.079487816375195</v>
      </c>
    </row>
    <row r="2740" spans="2:3">
      <c r="B2740" s="412" t="s">
        <v>2979</v>
      </c>
      <c r="C2740" s="1110">
        <v>23.079487816375195</v>
      </c>
    </row>
    <row r="2741" spans="2:3">
      <c r="B2741" s="412" t="s">
        <v>2980</v>
      </c>
      <c r="C2741" s="1110">
        <v>13.821154278217543</v>
      </c>
    </row>
    <row r="2742" spans="2:3">
      <c r="B2742" s="412" t="s">
        <v>2981</v>
      </c>
      <c r="C2742" s="1110">
        <v>13.821154278217543</v>
      </c>
    </row>
    <row r="2743" spans="2:3">
      <c r="B2743" s="412" t="s">
        <v>2982</v>
      </c>
      <c r="C2743" s="1110">
        <v>13.821154278217543</v>
      </c>
    </row>
    <row r="2744" spans="2:3">
      <c r="B2744" s="412" t="s">
        <v>2983</v>
      </c>
      <c r="C2744" s="1110">
        <v>13.821154278217543</v>
      </c>
    </row>
    <row r="2745" spans="2:3">
      <c r="B2745" s="412" t="s">
        <v>2984</v>
      </c>
      <c r="C2745" s="1110">
        <v>13.821154278217543</v>
      </c>
    </row>
    <row r="2746" spans="2:3">
      <c r="B2746" s="412" t="s">
        <v>2985</v>
      </c>
      <c r="C2746" s="1110">
        <v>13.821154278217543</v>
      </c>
    </row>
    <row r="2747" spans="2:3">
      <c r="B2747" s="412" t="s">
        <v>2986</v>
      </c>
      <c r="C2747" s="1110">
        <v>13.821154278217543</v>
      </c>
    </row>
    <row r="2748" spans="2:3">
      <c r="B2748" s="412" t="s">
        <v>2987</v>
      </c>
      <c r="C2748" s="1110">
        <v>13.821154278217543</v>
      </c>
    </row>
    <row r="2749" spans="2:3">
      <c r="B2749" s="412" t="s">
        <v>2988</v>
      </c>
      <c r="C2749" s="1110">
        <v>13.821154278217543</v>
      </c>
    </row>
    <row r="2750" spans="2:3">
      <c r="B2750" s="412" t="s">
        <v>2989</v>
      </c>
      <c r="C2750" s="1110">
        <v>13.821154278217543</v>
      </c>
    </row>
    <row r="2751" spans="2:3">
      <c r="B2751" s="412" t="s">
        <v>2990</v>
      </c>
      <c r="C2751" s="1110">
        <v>13.821154278217543</v>
      </c>
    </row>
    <row r="2752" spans="2:3">
      <c r="B2752" s="412" t="s">
        <v>2991</v>
      </c>
      <c r="C2752" s="1110">
        <v>13.821154278217543</v>
      </c>
    </row>
    <row r="2753" spans="2:3">
      <c r="B2753" s="412" t="s">
        <v>2992</v>
      </c>
      <c r="C2753" s="1110">
        <v>13.821154278217543</v>
      </c>
    </row>
    <row r="2754" spans="2:3">
      <c r="B2754" s="412" t="s">
        <v>2993</v>
      </c>
      <c r="C2754" s="1110">
        <v>13.821154278217543</v>
      </c>
    </row>
    <row r="2755" spans="2:3">
      <c r="B2755" s="412" t="s">
        <v>2994</v>
      </c>
      <c r="C2755" s="1110">
        <v>13.821154278217543</v>
      </c>
    </row>
    <row r="2756" spans="2:3">
      <c r="B2756" s="412" t="s">
        <v>2995</v>
      </c>
      <c r="C2756" s="1110">
        <v>13.821154278217543</v>
      </c>
    </row>
    <row r="2757" spans="2:3">
      <c r="B2757" s="412" t="s">
        <v>2996</v>
      </c>
      <c r="C2757" s="1110">
        <v>13.821154278217543</v>
      </c>
    </row>
    <row r="2758" spans="2:3">
      <c r="B2758" s="412" t="s">
        <v>2997</v>
      </c>
      <c r="C2758" s="1110">
        <v>13.821154278217543</v>
      </c>
    </row>
    <row r="2759" spans="2:3">
      <c r="B2759" s="412" t="s">
        <v>2998</v>
      </c>
      <c r="C2759" s="1110">
        <v>13.821154278217543</v>
      </c>
    </row>
    <row r="2760" spans="2:3">
      <c r="B2760" s="412" t="s">
        <v>2999</v>
      </c>
      <c r="C2760" s="1110">
        <v>13.821154278217543</v>
      </c>
    </row>
    <row r="2761" spans="2:3">
      <c r="B2761" s="412" t="s">
        <v>3000</v>
      </c>
      <c r="C2761" s="1110">
        <v>13.821154278217543</v>
      </c>
    </row>
    <row r="2762" spans="2:3">
      <c r="B2762" s="412" t="s">
        <v>3001</v>
      </c>
      <c r="C2762" s="1110">
        <v>13.821154278217543</v>
      </c>
    </row>
    <row r="2763" spans="2:3">
      <c r="B2763" s="412" t="s">
        <v>3002</v>
      </c>
      <c r="C2763" s="1110">
        <v>13.821154278217543</v>
      </c>
    </row>
    <row r="2764" spans="2:3">
      <c r="B2764" s="412" t="s">
        <v>3003</v>
      </c>
      <c r="C2764" s="1110">
        <v>13.821154278217543</v>
      </c>
    </row>
    <row r="2765" spans="2:3">
      <c r="B2765" s="412" t="s">
        <v>3004</v>
      </c>
      <c r="C2765" s="1110">
        <v>13.821154278217543</v>
      </c>
    </row>
    <row r="2766" spans="2:3">
      <c r="B2766" s="412" t="s">
        <v>3005</v>
      </c>
      <c r="C2766" s="1110">
        <v>13.821154278217543</v>
      </c>
    </row>
    <row r="2767" spans="2:3">
      <c r="B2767" s="412" t="s">
        <v>3006</v>
      </c>
      <c r="C2767" s="1110">
        <v>13.821154278217543</v>
      </c>
    </row>
    <row r="2768" spans="2:3">
      <c r="B2768" s="412" t="s">
        <v>3007</v>
      </c>
      <c r="C2768" s="1110">
        <v>13.821154278217543</v>
      </c>
    </row>
    <row r="2769" spans="2:3">
      <c r="B2769" s="412" t="s">
        <v>3008</v>
      </c>
      <c r="C2769" s="1110">
        <v>13.821154278217543</v>
      </c>
    </row>
    <row r="2770" spans="2:3">
      <c r="B2770" s="412" t="s">
        <v>3009</v>
      </c>
      <c r="C2770" s="1110">
        <v>13.821154278217543</v>
      </c>
    </row>
    <row r="2771" spans="2:3">
      <c r="B2771" s="412" t="s">
        <v>3010</v>
      </c>
      <c r="C2771" s="1110">
        <v>13.821154278217543</v>
      </c>
    </row>
    <row r="2772" spans="2:3">
      <c r="B2772" s="412" t="s">
        <v>3011</v>
      </c>
      <c r="C2772" s="1110">
        <v>13.821154278217543</v>
      </c>
    </row>
    <row r="2773" spans="2:3">
      <c r="B2773" s="412" t="s">
        <v>3012</v>
      </c>
      <c r="C2773" s="1110">
        <v>13.821154278217543</v>
      </c>
    </row>
    <row r="2774" spans="2:3">
      <c r="B2774" s="412" t="s">
        <v>3013</v>
      </c>
      <c r="C2774" s="1110">
        <v>13.821154278217543</v>
      </c>
    </row>
    <row r="2775" spans="2:3">
      <c r="B2775" s="412" t="s">
        <v>3014</v>
      </c>
      <c r="C2775" s="1110">
        <v>13.821154278217543</v>
      </c>
    </row>
    <row r="2776" spans="2:3">
      <c r="B2776" s="412" t="s">
        <v>3015</v>
      </c>
      <c r="C2776" s="1110">
        <v>13.821154278217543</v>
      </c>
    </row>
    <row r="2777" spans="2:3">
      <c r="B2777" s="412" t="s">
        <v>3016</v>
      </c>
      <c r="C2777" s="1110">
        <v>13.821154278217543</v>
      </c>
    </row>
    <row r="2778" spans="2:3">
      <c r="B2778" s="412" t="s">
        <v>3017</v>
      </c>
      <c r="C2778" s="1110">
        <v>13.821154278217543</v>
      </c>
    </row>
    <row r="2779" spans="2:3">
      <c r="B2779" s="412" t="s">
        <v>3018</v>
      </c>
      <c r="C2779" s="1110">
        <v>9.4919290855704439</v>
      </c>
    </row>
    <row r="2780" spans="2:3">
      <c r="B2780" s="412" t="s">
        <v>3019</v>
      </c>
      <c r="C2780" s="1110">
        <v>9.4919290855704439</v>
      </c>
    </row>
    <row r="2781" spans="2:3">
      <c r="B2781" s="412" t="s">
        <v>3020</v>
      </c>
      <c r="C2781" s="1110">
        <v>9.4919290855704439</v>
      </c>
    </row>
    <row r="2782" spans="2:3">
      <c r="B2782" s="412" t="s">
        <v>3021</v>
      </c>
      <c r="C2782" s="1110">
        <v>9.4995375656981178</v>
      </c>
    </row>
    <row r="2783" spans="2:3">
      <c r="B2783" s="412" t="s">
        <v>3022</v>
      </c>
      <c r="C2783" s="1110">
        <v>9.4919290855704439</v>
      </c>
    </row>
    <row r="2784" spans="2:3">
      <c r="B2784" s="412" t="s">
        <v>3023</v>
      </c>
      <c r="C2784" s="1110">
        <v>9.5200409374707515</v>
      </c>
    </row>
    <row r="2785" spans="2:3">
      <c r="B2785" s="412" t="s">
        <v>3024</v>
      </c>
      <c r="C2785" s="1110">
        <v>13.781737963868707</v>
      </c>
    </row>
    <row r="2786" spans="2:3">
      <c r="B2786" s="412" t="s">
        <v>3025</v>
      </c>
      <c r="C2786" s="1110">
        <v>13.821154278217543</v>
      </c>
    </row>
    <row r="2787" spans="2:3">
      <c r="B2787" s="412" t="s">
        <v>3026</v>
      </c>
      <c r="C2787" s="1110">
        <v>13.821154278217543</v>
      </c>
    </row>
    <row r="2788" spans="2:3">
      <c r="B2788" s="412" t="s">
        <v>3027</v>
      </c>
      <c r="C2788" s="1110">
        <v>13.821154278217543</v>
      </c>
    </row>
    <row r="2789" spans="2:3">
      <c r="B2789" s="412" t="s">
        <v>3028</v>
      </c>
      <c r="C2789" s="1110">
        <v>13.765365293776217</v>
      </c>
    </row>
    <row r="2790" spans="2:3">
      <c r="B2790" s="412" t="s">
        <v>3029</v>
      </c>
      <c r="C2790" s="1110">
        <v>9.4919290855704439</v>
      </c>
    </row>
    <row r="2791" spans="2:3">
      <c r="B2791" s="412" t="s">
        <v>3030</v>
      </c>
      <c r="C2791" s="1110">
        <v>13.821154278217543</v>
      </c>
    </row>
    <row r="2792" spans="2:3">
      <c r="B2792" s="412" t="s">
        <v>3031</v>
      </c>
      <c r="C2792" s="1110">
        <v>9.4919290855704439</v>
      </c>
    </row>
    <row r="2793" spans="2:3">
      <c r="B2793" s="412" t="s">
        <v>3032</v>
      </c>
      <c r="C2793" s="1110">
        <v>9.4919290855704439</v>
      </c>
    </row>
    <row r="2794" spans="2:3">
      <c r="B2794" s="412" t="s">
        <v>3033</v>
      </c>
      <c r="C2794" s="1110">
        <v>9.4919290855704439</v>
      </c>
    </row>
    <row r="2795" spans="2:3">
      <c r="B2795" s="412" t="s">
        <v>3034</v>
      </c>
      <c r="C2795" s="1110">
        <v>9.5260174729141234</v>
      </c>
    </row>
    <row r="2796" spans="2:3">
      <c r="B2796" s="412" t="s">
        <v>3035</v>
      </c>
      <c r="C2796" s="1110">
        <v>9.4919290855704439</v>
      </c>
    </row>
    <row r="2797" spans="2:3">
      <c r="B2797" s="412" t="s">
        <v>3036</v>
      </c>
      <c r="C2797" s="1110">
        <v>9.4919290855704439</v>
      </c>
    </row>
    <row r="2798" spans="2:3" ht="17" thickBot="1">
      <c r="B2798" s="413" t="s">
        <v>3037</v>
      </c>
      <c r="C2798" s="1110">
        <v>9.4919290855704439</v>
      </c>
    </row>
    <row r="2799" spans="2:3">
      <c r="B2799" s="415" t="s">
        <v>3038</v>
      </c>
      <c r="C2799" s="1109">
        <v>9.4919290855704439</v>
      </c>
    </row>
    <row r="2800" spans="2:3">
      <c r="B2800" s="412" t="s">
        <v>3039</v>
      </c>
      <c r="C2800" s="1110">
        <v>9.4919290855704439</v>
      </c>
    </row>
    <row r="2801" spans="2:3">
      <c r="B2801" s="412" t="s">
        <v>3040</v>
      </c>
      <c r="C2801" s="1110">
        <v>9.4919290855704439</v>
      </c>
    </row>
    <row r="2802" spans="2:3">
      <c r="B2802" s="412" t="s">
        <v>3041</v>
      </c>
      <c r="C2802" s="1110">
        <v>9.4919290855704439</v>
      </c>
    </row>
    <row r="2803" spans="2:3">
      <c r="B2803" s="412" t="s">
        <v>3042</v>
      </c>
      <c r="C2803" s="1110">
        <v>9.4919290855704439</v>
      </c>
    </row>
    <row r="2804" spans="2:3">
      <c r="B2804" s="412" t="s">
        <v>3043</v>
      </c>
      <c r="C2804" s="1110">
        <v>9.4919290855704439</v>
      </c>
    </row>
    <row r="2805" spans="2:3">
      <c r="B2805" s="412" t="s">
        <v>3044</v>
      </c>
      <c r="C2805" s="1110">
        <v>9.4919290855704439</v>
      </c>
    </row>
    <row r="2806" spans="2:3">
      <c r="B2806" s="412" t="s">
        <v>3045</v>
      </c>
      <c r="C2806" s="1110">
        <v>9.4919290855704439</v>
      </c>
    </row>
    <row r="2807" spans="2:3">
      <c r="B2807" s="412" t="s">
        <v>3046</v>
      </c>
      <c r="C2807" s="1110">
        <v>9.4919290855704439</v>
      </c>
    </row>
    <row r="2808" spans="2:3">
      <c r="B2808" s="412" t="s">
        <v>3047</v>
      </c>
      <c r="C2808" s="1110">
        <v>9.4919290855704439</v>
      </c>
    </row>
    <row r="2809" spans="2:3">
      <c r="B2809" s="412" t="s">
        <v>3048</v>
      </c>
      <c r="C2809" s="1110">
        <v>9.5021515771705545</v>
      </c>
    </row>
    <row r="2810" spans="2:3" ht="17" thickBot="1">
      <c r="B2810" s="413" t="s">
        <v>3049</v>
      </c>
      <c r="C2810" s="655">
        <v>11.776797937245302</v>
      </c>
    </row>
    <row r="2811" spans="2:3">
      <c r="B2811" s="415" t="s">
        <v>3050</v>
      </c>
      <c r="C2811" s="1110">
        <v>9.4919290855704439</v>
      </c>
    </row>
    <row r="2812" spans="2:3">
      <c r="B2812" s="412" t="s">
        <v>3051</v>
      </c>
      <c r="C2812" s="1110">
        <v>9.4919290855704439</v>
      </c>
    </row>
    <row r="2813" spans="2:3">
      <c r="B2813" s="412" t="s">
        <v>3052</v>
      </c>
      <c r="C2813" s="1110">
        <v>9.4919290855704439</v>
      </c>
    </row>
    <row r="2814" spans="2:3">
      <c r="B2814" s="412" t="s">
        <v>3053</v>
      </c>
      <c r="C2814" s="1110">
        <v>9.4919290855704439</v>
      </c>
    </row>
    <row r="2815" spans="2:3">
      <c r="B2815" s="412" t="s">
        <v>3054</v>
      </c>
      <c r="C2815" s="1110">
        <v>9.4919290855704439</v>
      </c>
    </row>
    <row r="2816" spans="2:3">
      <c r="B2816" s="412" t="s">
        <v>3055</v>
      </c>
      <c r="C2816" s="1110">
        <v>9.4919290855704439</v>
      </c>
    </row>
    <row r="2817" spans="2:3">
      <c r="B2817" s="412" t="s">
        <v>3056</v>
      </c>
      <c r="C2817" s="1110">
        <v>9.4919290855704439</v>
      </c>
    </row>
    <row r="2818" spans="2:3">
      <c r="B2818" s="412" t="s">
        <v>3057</v>
      </c>
      <c r="C2818" s="1110">
        <v>9.4919290855704439</v>
      </c>
    </row>
    <row r="2819" spans="2:3">
      <c r="B2819" s="412" t="s">
        <v>3058</v>
      </c>
      <c r="C2819" s="1110">
        <v>9.4919290855704439</v>
      </c>
    </row>
    <row r="2820" spans="2:3">
      <c r="B2820" s="412" t="s">
        <v>3059</v>
      </c>
      <c r="C2820" s="1110">
        <v>9.4919290855704439</v>
      </c>
    </row>
    <row r="2821" spans="2:3">
      <c r="B2821" s="412" t="s">
        <v>3060</v>
      </c>
      <c r="C2821" s="1110">
        <v>9.4919290855704439</v>
      </c>
    </row>
    <row r="2822" spans="2:3">
      <c r="B2822" s="412" t="s">
        <v>3061</v>
      </c>
      <c r="C2822" s="1110">
        <v>9.4919290855704439</v>
      </c>
    </row>
    <row r="2823" spans="2:3">
      <c r="B2823" s="412" t="s">
        <v>3062</v>
      </c>
      <c r="C2823" s="1110">
        <v>9.4919290855704439</v>
      </c>
    </row>
    <row r="2824" spans="2:3">
      <c r="B2824" s="412" t="s">
        <v>3063</v>
      </c>
      <c r="C2824" s="1110">
        <v>9.4919290855704439</v>
      </c>
    </row>
    <row r="2825" spans="2:3">
      <c r="B2825" s="412" t="s">
        <v>3064</v>
      </c>
      <c r="C2825" s="1110">
        <v>9.4919290855704439</v>
      </c>
    </row>
    <row r="2826" spans="2:3">
      <c r="B2826" s="412" t="s">
        <v>3065</v>
      </c>
      <c r="C2826" s="1110">
        <v>9.4919290855704439</v>
      </c>
    </row>
    <row r="2827" spans="2:3">
      <c r="B2827" s="412" t="s">
        <v>3066</v>
      </c>
      <c r="C2827" s="1110">
        <v>9.4919290855704439</v>
      </c>
    </row>
    <row r="2828" spans="2:3">
      <c r="B2828" s="412" t="s">
        <v>3067</v>
      </c>
      <c r="C2828" s="1110">
        <v>9.4919290855704439</v>
      </c>
    </row>
    <row r="2829" spans="2:3">
      <c r="B2829" s="412" t="s">
        <v>3068</v>
      </c>
      <c r="C2829" s="1110">
        <v>9.4919290855704439</v>
      </c>
    </row>
    <row r="2830" spans="2:3">
      <c r="B2830" s="412" t="s">
        <v>3069</v>
      </c>
      <c r="C2830" s="1110">
        <v>9.4919290855704439</v>
      </c>
    </row>
    <row r="2831" spans="2:3">
      <c r="B2831" s="412" t="s">
        <v>3070</v>
      </c>
      <c r="C2831" s="1110">
        <v>9.4919290855704439</v>
      </c>
    </row>
    <row r="2832" spans="2:3">
      <c r="B2832" s="412" t="s">
        <v>3071</v>
      </c>
      <c r="C2832" s="1110">
        <v>9.4919290855704439</v>
      </c>
    </row>
    <row r="2833" spans="2:3">
      <c r="B2833" s="412" t="s">
        <v>3072</v>
      </c>
      <c r="C2833" s="1110">
        <v>9.4919290855704439</v>
      </c>
    </row>
    <row r="2834" spans="2:3">
      <c r="B2834" s="412" t="s">
        <v>3073</v>
      </c>
      <c r="C2834" s="1110">
        <v>9.4919290855704439</v>
      </c>
    </row>
    <row r="2835" spans="2:3">
      <c r="B2835" s="412" t="s">
        <v>3074</v>
      </c>
      <c r="C2835" s="1110">
        <v>9.4919290855704439</v>
      </c>
    </row>
    <row r="2836" spans="2:3">
      <c r="B2836" s="412" t="s">
        <v>3075</v>
      </c>
      <c r="C2836" s="1110">
        <v>9.4919290855704439</v>
      </c>
    </row>
    <row r="2837" spans="2:3">
      <c r="B2837" s="412" t="s">
        <v>3076</v>
      </c>
      <c r="C2837" s="1110">
        <v>13.821154278217543</v>
      </c>
    </row>
    <row r="2838" spans="2:3">
      <c r="B2838" s="412" t="s">
        <v>3077</v>
      </c>
      <c r="C2838" s="1110">
        <v>11.714334012402938</v>
      </c>
    </row>
    <row r="2839" spans="2:3">
      <c r="B2839" s="412" t="s">
        <v>3078</v>
      </c>
      <c r="C2839" s="1110">
        <v>11.718452918103456</v>
      </c>
    </row>
    <row r="2840" spans="2:3">
      <c r="B2840" s="412" t="s">
        <v>3079</v>
      </c>
      <c r="C2840" s="1110">
        <v>11.717585278245245</v>
      </c>
    </row>
    <row r="2841" spans="2:3">
      <c r="B2841" s="412" t="s">
        <v>3080</v>
      </c>
      <c r="C2841" s="1110">
        <v>13.638707987157309</v>
      </c>
    </row>
    <row r="2842" spans="2:3">
      <c r="B2842" s="412" t="s">
        <v>3081</v>
      </c>
      <c r="C2842" s="1110">
        <v>11.817060177846026</v>
      </c>
    </row>
    <row r="2843" spans="2:3">
      <c r="B2843" s="412" t="s">
        <v>3082</v>
      </c>
      <c r="C2843" s="1110">
        <v>11.747280172938309</v>
      </c>
    </row>
    <row r="2844" spans="2:3">
      <c r="B2844" s="412" t="s">
        <v>3083</v>
      </c>
      <c r="C2844" s="1110">
        <v>13.821154278217543</v>
      </c>
    </row>
    <row r="2845" spans="2:3">
      <c r="B2845" s="412" t="s">
        <v>3084</v>
      </c>
      <c r="C2845" s="1110">
        <v>13.818849223222122</v>
      </c>
    </row>
    <row r="2846" spans="2:3">
      <c r="B2846" s="412" t="s">
        <v>3085</v>
      </c>
      <c r="C2846" s="1110">
        <v>12.785289284099502</v>
      </c>
    </row>
    <row r="2847" spans="2:3">
      <c r="B2847" s="412" t="s">
        <v>3086</v>
      </c>
      <c r="C2847" s="1110">
        <v>13.821154278217543</v>
      </c>
    </row>
    <row r="2848" spans="2:3">
      <c r="B2848" s="412" t="s">
        <v>3087</v>
      </c>
      <c r="C2848" s="1110">
        <v>13.819499274081004</v>
      </c>
    </row>
    <row r="2849" spans="2:3">
      <c r="B2849" s="412" t="s">
        <v>3088</v>
      </c>
      <c r="C2849" s="1110">
        <v>13.821154278217543</v>
      </c>
    </row>
    <row r="2850" spans="2:3">
      <c r="B2850" s="412" t="s">
        <v>3089</v>
      </c>
      <c r="C2850" s="1110">
        <v>13.821154278217543</v>
      </c>
    </row>
    <row r="2851" spans="2:3">
      <c r="B2851" s="412" t="s">
        <v>3090</v>
      </c>
      <c r="C2851" s="1110">
        <v>13.821154278217543</v>
      </c>
    </row>
    <row r="2852" spans="2:3">
      <c r="B2852" s="412" t="s">
        <v>3091</v>
      </c>
      <c r="C2852" s="1110">
        <v>13.70298972538664</v>
      </c>
    </row>
    <row r="2853" spans="2:3">
      <c r="B2853" s="412" t="s">
        <v>3092</v>
      </c>
      <c r="C2853" s="1110">
        <v>13.821154278217543</v>
      </c>
    </row>
    <row r="2854" spans="2:3">
      <c r="B2854" s="412" t="s">
        <v>3093</v>
      </c>
      <c r="C2854" s="1110">
        <v>11.717654454114228</v>
      </c>
    </row>
    <row r="2855" spans="2:3">
      <c r="B2855" s="412" t="s">
        <v>3094</v>
      </c>
      <c r="C2855" s="1110">
        <v>9.4919290855704439</v>
      </c>
    </row>
    <row r="2856" spans="2:3">
      <c r="B2856" s="412" t="s">
        <v>3095</v>
      </c>
      <c r="C2856" s="1110">
        <v>9.4919290855704439</v>
      </c>
    </row>
    <row r="2857" spans="2:3">
      <c r="B2857" s="412" t="s">
        <v>3096</v>
      </c>
      <c r="C2857" s="1110">
        <v>9.4919290855704439</v>
      </c>
    </row>
    <row r="2858" spans="2:3">
      <c r="B2858" s="412" t="s">
        <v>3097</v>
      </c>
      <c r="C2858" s="1110">
        <v>9.4919290855704439</v>
      </c>
    </row>
    <row r="2859" spans="2:3">
      <c r="B2859" s="412" t="s">
        <v>3098</v>
      </c>
      <c r="C2859" s="1110">
        <v>9.4919290855704439</v>
      </c>
    </row>
    <row r="2860" spans="2:3">
      <c r="B2860" s="412" t="s">
        <v>3099</v>
      </c>
      <c r="C2860" s="1110">
        <v>9.4919290855704439</v>
      </c>
    </row>
    <row r="2861" spans="2:3">
      <c r="B2861" s="412" t="s">
        <v>3100</v>
      </c>
      <c r="C2861" s="1110">
        <v>9.4919290855704439</v>
      </c>
    </row>
    <row r="2862" spans="2:3">
      <c r="B2862" s="412" t="s">
        <v>3101</v>
      </c>
      <c r="C2862" s="1110">
        <v>9.4919290855704439</v>
      </c>
    </row>
    <row r="2863" spans="2:3">
      <c r="B2863" s="412" t="s">
        <v>3102</v>
      </c>
      <c r="C2863" s="1110">
        <v>9.4919290855704439</v>
      </c>
    </row>
    <row r="2864" spans="2:3">
      <c r="B2864" s="412" t="s">
        <v>3103</v>
      </c>
      <c r="C2864" s="1110">
        <v>9.4919290855704439</v>
      </c>
    </row>
    <row r="2865" spans="2:3">
      <c r="B2865" s="412" t="s">
        <v>3104</v>
      </c>
      <c r="C2865" s="1110">
        <v>9.4919290855704439</v>
      </c>
    </row>
    <row r="2866" spans="2:3">
      <c r="B2866" s="412" t="s">
        <v>3105</v>
      </c>
      <c r="C2866" s="1110">
        <v>9.4919290855704439</v>
      </c>
    </row>
    <row r="2867" spans="2:3">
      <c r="B2867" s="412" t="s">
        <v>3106</v>
      </c>
      <c r="C2867" s="1110">
        <v>9.4919290855704439</v>
      </c>
    </row>
    <row r="2868" spans="2:3">
      <c r="B2868" s="412" t="s">
        <v>3107</v>
      </c>
      <c r="C2868" s="1110">
        <v>9.4919290855704439</v>
      </c>
    </row>
    <row r="2869" spans="2:3">
      <c r="B2869" s="412" t="s">
        <v>3108</v>
      </c>
      <c r="C2869" s="1110">
        <v>13.821154278217543</v>
      </c>
    </row>
    <row r="2870" spans="2:3">
      <c r="B2870" s="412" t="s">
        <v>3109</v>
      </c>
      <c r="C2870" s="1110">
        <v>13.821154278217543</v>
      </c>
    </row>
    <row r="2871" spans="2:3">
      <c r="B2871" s="412" t="s">
        <v>3110</v>
      </c>
      <c r="C2871" s="1110">
        <v>13.821154278217543</v>
      </c>
    </row>
    <row r="2872" spans="2:3">
      <c r="B2872" s="412" t="s">
        <v>3111</v>
      </c>
      <c r="C2872" s="1110">
        <v>13.809850818184522</v>
      </c>
    </row>
    <row r="2873" spans="2:3">
      <c r="B2873" s="412" t="s">
        <v>3112</v>
      </c>
      <c r="C2873" s="1110">
        <v>13.821154278217543</v>
      </c>
    </row>
    <row r="2874" spans="2:3">
      <c r="B2874" s="412" t="s">
        <v>3113</v>
      </c>
      <c r="C2874" s="1110">
        <v>13.821154278217543</v>
      </c>
    </row>
    <row r="2875" spans="2:3">
      <c r="B2875" s="412" t="s">
        <v>3114</v>
      </c>
      <c r="C2875" s="1110">
        <v>13.790595041563561</v>
      </c>
    </row>
    <row r="2876" spans="2:3">
      <c r="B2876" s="412" t="s">
        <v>3115</v>
      </c>
      <c r="C2876" s="1110">
        <v>13.821154278217543</v>
      </c>
    </row>
    <row r="2877" spans="2:3">
      <c r="B2877" s="412" t="s">
        <v>3116</v>
      </c>
      <c r="C2877" s="1110">
        <v>13.821154278217543</v>
      </c>
    </row>
    <row r="2878" spans="2:3">
      <c r="B2878" s="412" t="s">
        <v>3117</v>
      </c>
      <c r="C2878" s="1110">
        <v>13.813196143672236</v>
      </c>
    </row>
    <row r="2879" spans="2:3">
      <c r="B2879" s="412" t="s">
        <v>3118</v>
      </c>
      <c r="C2879" s="1110">
        <v>13.821154278217543</v>
      </c>
    </row>
    <row r="2880" spans="2:3">
      <c r="B2880" s="412" t="s">
        <v>3119</v>
      </c>
      <c r="C2880" s="1110">
        <v>13.821154278217543</v>
      </c>
    </row>
    <row r="2881" spans="2:3">
      <c r="B2881" s="412" t="s">
        <v>3120</v>
      </c>
      <c r="C2881" s="1110">
        <v>11.714334012402938</v>
      </c>
    </row>
    <row r="2882" spans="2:3">
      <c r="B2882" s="412" t="s">
        <v>3121</v>
      </c>
      <c r="C2882" s="1110">
        <v>11.714334012402938</v>
      </c>
    </row>
    <row r="2883" spans="2:3">
      <c r="B2883" s="412" t="s">
        <v>3122</v>
      </c>
      <c r="C2883" s="1110">
        <v>12.217697621191013</v>
      </c>
    </row>
    <row r="2884" spans="2:3">
      <c r="B2884" s="412" t="s">
        <v>3123</v>
      </c>
      <c r="C2884" s="1110">
        <v>11.714334012402938</v>
      </c>
    </row>
    <row r="2885" spans="2:3">
      <c r="B2885" s="412" t="s">
        <v>3124</v>
      </c>
      <c r="C2885" s="1110">
        <v>11.714334012402938</v>
      </c>
    </row>
    <row r="2886" spans="2:3">
      <c r="B2886" s="412" t="s">
        <v>3125</v>
      </c>
      <c r="C2886" s="1110">
        <v>11.714334012402938</v>
      </c>
    </row>
    <row r="2887" spans="2:3">
      <c r="B2887" s="412" t="s">
        <v>3126</v>
      </c>
      <c r="C2887" s="1110">
        <v>11.714334012402938</v>
      </c>
    </row>
    <row r="2888" spans="2:3">
      <c r="B2888" s="412" t="s">
        <v>3127</v>
      </c>
      <c r="C2888" s="1110">
        <v>11.714334012402938</v>
      </c>
    </row>
    <row r="2889" spans="2:3">
      <c r="B2889" s="412" t="s">
        <v>3128</v>
      </c>
      <c r="C2889" s="1110">
        <v>11.714334012402938</v>
      </c>
    </row>
    <row r="2890" spans="2:3">
      <c r="B2890" s="412" t="s">
        <v>3129</v>
      </c>
      <c r="C2890" s="1110">
        <v>11.714334012402938</v>
      </c>
    </row>
    <row r="2891" spans="2:3">
      <c r="B2891" s="412" t="s">
        <v>3130</v>
      </c>
      <c r="C2891" s="1110">
        <v>11.714334012402938</v>
      </c>
    </row>
    <row r="2892" spans="2:3">
      <c r="B2892" s="412" t="s">
        <v>3131</v>
      </c>
      <c r="C2892" s="1110">
        <v>11.714334012402938</v>
      </c>
    </row>
    <row r="2893" spans="2:3">
      <c r="B2893" s="412" t="s">
        <v>3132</v>
      </c>
      <c r="C2893" s="1110">
        <v>11.714334012402938</v>
      </c>
    </row>
    <row r="2894" spans="2:3">
      <c r="B2894" s="412" t="s">
        <v>3133</v>
      </c>
      <c r="C2894" s="1110">
        <v>11.714334012402938</v>
      </c>
    </row>
    <row r="2895" spans="2:3">
      <c r="B2895" s="412" t="s">
        <v>3134</v>
      </c>
      <c r="C2895" s="1110">
        <v>11.714334012402938</v>
      </c>
    </row>
    <row r="2896" spans="2:3">
      <c r="B2896" s="412" t="s">
        <v>3135</v>
      </c>
      <c r="C2896" s="1110">
        <v>11.779320508164384</v>
      </c>
    </row>
    <row r="2897" spans="2:3">
      <c r="B2897" s="412" t="s">
        <v>3136</v>
      </c>
      <c r="C2897" s="1110">
        <v>11.714334012402938</v>
      </c>
    </row>
    <row r="2898" spans="2:3">
      <c r="B2898" s="412" t="s">
        <v>3137</v>
      </c>
      <c r="C2898" s="1110">
        <v>11.714334012402938</v>
      </c>
    </row>
    <row r="2899" spans="2:3">
      <c r="B2899" s="412" t="s">
        <v>3138</v>
      </c>
      <c r="C2899" s="1110">
        <v>11.714334012402938</v>
      </c>
    </row>
    <row r="2900" spans="2:3">
      <c r="B2900" s="412" t="s">
        <v>3139</v>
      </c>
      <c r="C2900" s="1110">
        <v>11.714334012402938</v>
      </c>
    </row>
    <row r="2901" spans="2:3">
      <c r="B2901" s="412" t="s">
        <v>3140</v>
      </c>
      <c r="C2901" s="1110">
        <v>11.714334012402938</v>
      </c>
    </row>
    <row r="2902" spans="2:3">
      <c r="B2902" s="412" t="s">
        <v>3141</v>
      </c>
      <c r="C2902" s="1110">
        <v>11.714334012402938</v>
      </c>
    </row>
    <row r="2903" spans="2:3">
      <c r="B2903" s="412" t="s">
        <v>3142</v>
      </c>
      <c r="C2903" s="1110">
        <v>11.745947606959639</v>
      </c>
    </row>
    <row r="2904" spans="2:3">
      <c r="B2904" s="412" t="s">
        <v>3143</v>
      </c>
      <c r="C2904" s="1110">
        <v>11.970694885455602</v>
      </c>
    </row>
    <row r="2905" spans="2:3">
      <c r="B2905" s="412" t="s">
        <v>3144</v>
      </c>
      <c r="C2905" s="1110">
        <v>11.714334012402938</v>
      </c>
    </row>
    <row r="2906" spans="2:3">
      <c r="B2906" s="412" t="s">
        <v>3145</v>
      </c>
      <c r="C2906" s="1110">
        <v>13.821154278217543</v>
      </c>
    </row>
    <row r="2907" spans="2:3">
      <c r="B2907" s="412" t="s">
        <v>3146</v>
      </c>
      <c r="C2907" s="1110">
        <v>13.821154278217543</v>
      </c>
    </row>
    <row r="2908" spans="2:3">
      <c r="B2908" s="412" t="s">
        <v>3147</v>
      </c>
      <c r="C2908" s="1110">
        <v>13.821154278217543</v>
      </c>
    </row>
    <row r="2909" spans="2:3">
      <c r="B2909" s="412" t="s">
        <v>3148</v>
      </c>
      <c r="C2909" s="1110">
        <v>13.821154278217543</v>
      </c>
    </row>
    <row r="2910" spans="2:3">
      <c r="B2910" s="412" t="s">
        <v>3149</v>
      </c>
      <c r="C2910" s="1110">
        <v>13.821154278217543</v>
      </c>
    </row>
    <row r="2911" spans="2:3">
      <c r="B2911" s="412" t="s">
        <v>3150</v>
      </c>
      <c r="C2911" s="1110">
        <v>13.821154278217543</v>
      </c>
    </row>
    <row r="2912" spans="2:3">
      <c r="B2912" s="412" t="s">
        <v>3151</v>
      </c>
      <c r="C2912" s="1110">
        <v>13.821154278217543</v>
      </c>
    </row>
    <row r="2913" spans="2:3">
      <c r="B2913" s="412" t="s">
        <v>3152</v>
      </c>
      <c r="C2913" s="1110">
        <v>13.821154278217543</v>
      </c>
    </row>
    <row r="2914" spans="2:3">
      <c r="B2914" s="412" t="s">
        <v>3153</v>
      </c>
      <c r="C2914" s="1110">
        <v>13.821154278217543</v>
      </c>
    </row>
    <row r="2915" spans="2:3">
      <c r="B2915" s="412" t="s">
        <v>3154</v>
      </c>
      <c r="C2915" s="1110">
        <v>13.821154278217543</v>
      </c>
    </row>
    <row r="2916" spans="2:3">
      <c r="B2916" s="412" t="s">
        <v>3155</v>
      </c>
      <c r="C2916" s="1110">
        <v>13.821154278217543</v>
      </c>
    </row>
    <row r="2917" spans="2:3">
      <c r="B2917" s="412" t="s">
        <v>3156</v>
      </c>
      <c r="C2917" s="1110">
        <v>13.821154278217543</v>
      </c>
    </row>
    <row r="2918" spans="2:3">
      <c r="B2918" s="412" t="s">
        <v>3157</v>
      </c>
      <c r="C2918" s="1110">
        <v>13.821154278217543</v>
      </c>
    </row>
    <row r="2919" spans="2:3">
      <c r="B2919" s="412" t="s">
        <v>3158</v>
      </c>
      <c r="C2919" s="1110">
        <v>13.821154278217543</v>
      </c>
    </row>
    <row r="2920" spans="2:3">
      <c r="B2920" s="412" t="s">
        <v>3159</v>
      </c>
      <c r="C2920" s="1110">
        <v>13.821154278217543</v>
      </c>
    </row>
    <row r="2921" spans="2:3">
      <c r="B2921" s="412" t="s">
        <v>3160</v>
      </c>
      <c r="C2921" s="1110">
        <v>13.821154278217543</v>
      </c>
    </row>
    <row r="2922" spans="2:3">
      <c r="B2922" s="412" t="s">
        <v>3161</v>
      </c>
      <c r="C2922" s="1110">
        <v>13.821154278217543</v>
      </c>
    </row>
    <row r="2923" spans="2:3">
      <c r="B2923" s="412" t="s">
        <v>3162</v>
      </c>
      <c r="C2923" s="1110">
        <v>11.714334012402938</v>
      </c>
    </row>
    <row r="2924" spans="2:3">
      <c r="B2924" s="412" t="s">
        <v>3163</v>
      </c>
      <c r="C2924" s="1110">
        <v>11.714334012402938</v>
      </c>
    </row>
    <row r="2925" spans="2:3">
      <c r="B2925" s="412" t="s">
        <v>3164</v>
      </c>
      <c r="C2925" s="1110">
        <v>13.821154278217543</v>
      </c>
    </row>
    <row r="2926" spans="2:3">
      <c r="B2926" s="412" t="s">
        <v>3165</v>
      </c>
      <c r="C2926" s="1110">
        <v>13.821154278217543</v>
      </c>
    </row>
    <row r="2927" spans="2:3">
      <c r="B2927" s="412" t="s">
        <v>3166</v>
      </c>
      <c r="C2927" s="1110">
        <v>13.821154278217543</v>
      </c>
    </row>
    <row r="2928" spans="2:3">
      <c r="B2928" s="412" t="s">
        <v>3167</v>
      </c>
      <c r="C2928" s="1110">
        <v>13.821154278217543</v>
      </c>
    </row>
    <row r="2929" spans="2:3">
      <c r="B2929" s="412" t="s">
        <v>3168</v>
      </c>
      <c r="C2929" s="1110">
        <v>13.821154278217543</v>
      </c>
    </row>
    <row r="2930" spans="2:3">
      <c r="B2930" s="412" t="s">
        <v>3169</v>
      </c>
      <c r="C2930" s="1110">
        <v>11.714334012402938</v>
      </c>
    </row>
    <row r="2931" spans="2:3">
      <c r="B2931" s="412" t="s">
        <v>3170</v>
      </c>
      <c r="C2931" s="1110">
        <v>11.740131811576177</v>
      </c>
    </row>
    <row r="2932" spans="2:3">
      <c r="B2932" s="412" t="s">
        <v>3171</v>
      </c>
      <c r="C2932" s="1110">
        <v>11.714334012402938</v>
      </c>
    </row>
    <row r="2933" spans="2:3">
      <c r="B2933" s="412" t="s">
        <v>3172</v>
      </c>
      <c r="C2933" s="1110">
        <v>11.714334012402938</v>
      </c>
    </row>
    <row r="2934" spans="2:3">
      <c r="B2934" s="412" t="s">
        <v>3173</v>
      </c>
      <c r="C2934" s="1110">
        <v>13.821154278217543</v>
      </c>
    </row>
    <row r="2935" spans="2:3">
      <c r="B2935" s="412" t="s">
        <v>3174</v>
      </c>
      <c r="C2935" s="1110">
        <v>13.821154278217543</v>
      </c>
    </row>
    <row r="2936" spans="2:3">
      <c r="B2936" s="412" t="s">
        <v>3175</v>
      </c>
      <c r="C2936" s="1110">
        <v>11.767169630354402</v>
      </c>
    </row>
    <row r="2937" spans="2:3">
      <c r="B2937" s="412" t="s">
        <v>3176</v>
      </c>
      <c r="C2937" s="1110">
        <v>11.851444537638493</v>
      </c>
    </row>
    <row r="2938" spans="2:3">
      <c r="B2938" s="412" t="s">
        <v>3177</v>
      </c>
      <c r="C2938" s="1110">
        <v>11.714334012402938</v>
      </c>
    </row>
    <row r="2939" spans="2:3">
      <c r="B2939" s="412" t="s">
        <v>3178</v>
      </c>
      <c r="C2939" s="1110">
        <v>12.086993989368395</v>
      </c>
    </row>
    <row r="2940" spans="2:3">
      <c r="B2940" s="412" t="s">
        <v>3179</v>
      </c>
      <c r="C2940" s="1110">
        <v>11.992295306843245</v>
      </c>
    </row>
    <row r="2941" spans="2:3">
      <c r="B2941" s="412" t="s">
        <v>3180</v>
      </c>
      <c r="C2941" s="1110">
        <v>11.714334012402938</v>
      </c>
    </row>
    <row r="2942" spans="2:3">
      <c r="B2942" s="412" t="s">
        <v>3181</v>
      </c>
      <c r="C2942" s="1110">
        <v>11.714334012402938</v>
      </c>
    </row>
    <row r="2943" spans="2:3">
      <c r="B2943" s="412" t="s">
        <v>3182</v>
      </c>
      <c r="C2943" s="1110">
        <v>11.714334012402938</v>
      </c>
    </row>
    <row r="2944" spans="2:3">
      <c r="B2944" s="412" t="s">
        <v>3183</v>
      </c>
      <c r="C2944" s="1110">
        <v>13.821154278217543</v>
      </c>
    </row>
    <row r="2945" spans="2:3">
      <c r="B2945" s="412" t="s">
        <v>3184</v>
      </c>
      <c r="C2945" s="1110">
        <v>13.821154278217543</v>
      </c>
    </row>
    <row r="2946" spans="2:3">
      <c r="B2946" s="412" t="s">
        <v>3185</v>
      </c>
      <c r="C2946" s="1110">
        <v>11.714334012402938</v>
      </c>
    </row>
    <row r="2947" spans="2:3">
      <c r="B2947" s="412" t="s">
        <v>3186</v>
      </c>
      <c r="C2947" s="1110">
        <v>11.721174337941296</v>
      </c>
    </row>
    <row r="2948" spans="2:3">
      <c r="B2948" s="412" t="s">
        <v>3187</v>
      </c>
      <c r="C2948" s="1110">
        <v>11.928732275545538</v>
      </c>
    </row>
    <row r="2949" spans="2:3">
      <c r="B2949" s="412" t="s">
        <v>3188</v>
      </c>
      <c r="C2949" s="1110">
        <v>13.821154278217543</v>
      </c>
    </row>
    <row r="2950" spans="2:3">
      <c r="B2950" s="412" t="s">
        <v>3189</v>
      </c>
      <c r="C2950" s="1110">
        <v>12.376246892850439</v>
      </c>
    </row>
    <row r="2951" spans="2:3">
      <c r="B2951" s="412" t="s">
        <v>3190</v>
      </c>
      <c r="C2951" s="1110">
        <v>13.821154278217543</v>
      </c>
    </row>
    <row r="2952" spans="2:3">
      <c r="B2952" s="412" t="s">
        <v>3191</v>
      </c>
      <c r="C2952" s="1110">
        <v>13.445289629856253</v>
      </c>
    </row>
    <row r="2953" spans="2:3">
      <c r="B2953" s="412" t="s">
        <v>3192</v>
      </c>
      <c r="C2953" s="1110">
        <v>12.676143264187866</v>
      </c>
    </row>
    <row r="2954" spans="2:3">
      <c r="B2954" s="412" t="s">
        <v>3193</v>
      </c>
      <c r="C2954" s="1110">
        <v>13.169148848586499</v>
      </c>
    </row>
    <row r="2955" spans="2:3" ht="17" thickBot="1">
      <c r="B2955" s="413" t="s">
        <v>3194</v>
      </c>
      <c r="C2955" s="1110">
        <v>13.821154278217543</v>
      </c>
    </row>
    <row r="2956" spans="2:3">
      <c r="B2956" s="415" t="s">
        <v>3195</v>
      </c>
      <c r="C2956" s="1109">
        <v>13.821154278217543</v>
      </c>
    </row>
    <row r="2957" spans="2:3">
      <c r="B2957" s="412" t="s">
        <v>3196</v>
      </c>
      <c r="C2957" s="1110">
        <v>13.821154278217543</v>
      </c>
    </row>
    <row r="2958" spans="2:3">
      <c r="B2958" s="412" t="s">
        <v>3197</v>
      </c>
      <c r="C2958" s="1110">
        <v>13.821154278217543</v>
      </c>
    </row>
    <row r="2959" spans="2:3">
      <c r="B2959" s="412" t="s">
        <v>3198</v>
      </c>
      <c r="C2959" s="1110">
        <v>13.821154278217543</v>
      </c>
    </row>
    <row r="2960" spans="2:3">
      <c r="B2960" s="412" t="s">
        <v>3199</v>
      </c>
      <c r="C2960" s="1110">
        <v>13.821154278217543</v>
      </c>
    </row>
    <row r="2961" spans="2:3">
      <c r="B2961" s="412" t="s">
        <v>3200</v>
      </c>
      <c r="C2961" s="1110">
        <v>13.821154278217543</v>
      </c>
    </row>
    <row r="2962" spans="2:3">
      <c r="B2962" s="412" t="s">
        <v>3201</v>
      </c>
      <c r="C2962" s="1110">
        <v>13.821154278217543</v>
      </c>
    </row>
    <row r="2963" spans="2:3">
      <c r="B2963" s="412" t="s">
        <v>3202</v>
      </c>
      <c r="C2963" s="1110">
        <v>13.821154278217543</v>
      </c>
    </row>
    <row r="2964" spans="2:3">
      <c r="B2964" s="412" t="s">
        <v>3203</v>
      </c>
      <c r="C2964" s="1110">
        <v>13.821154278217543</v>
      </c>
    </row>
    <row r="2965" spans="2:3">
      <c r="B2965" s="412" t="s">
        <v>3204</v>
      </c>
      <c r="C2965" s="1110">
        <v>13.821154278217543</v>
      </c>
    </row>
    <row r="2966" spans="2:3">
      <c r="B2966" s="412" t="s">
        <v>3205</v>
      </c>
      <c r="C2966" s="1110">
        <v>13.821154278217543</v>
      </c>
    </row>
    <row r="2967" spans="2:3">
      <c r="B2967" s="412" t="s">
        <v>3206</v>
      </c>
      <c r="C2967" s="1110">
        <v>13.821154278217543</v>
      </c>
    </row>
    <row r="2968" spans="2:3">
      <c r="B2968" s="412" t="s">
        <v>3207</v>
      </c>
      <c r="C2968" s="1110">
        <v>13.821154278217543</v>
      </c>
    </row>
    <row r="2969" spans="2:3">
      <c r="B2969" s="412" t="s">
        <v>3208</v>
      </c>
      <c r="C2969" s="1110">
        <v>13.821154278217543</v>
      </c>
    </row>
    <row r="2970" spans="2:3">
      <c r="B2970" s="412" t="s">
        <v>3209</v>
      </c>
      <c r="C2970" s="1110">
        <v>13.821154278217543</v>
      </c>
    </row>
    <row r="2971" spans="2:3">
      <c r="B2971" s="412" t="s">
        <v>3210</v>
      </c>
      <c r="C2971" s="1110">
        <v>13.821154278217543</v>
      </c>
    </row>
    <row r="2972" spans="2:3">
      <c r="B2972" s="412" t="s">
        <v>3211</v>
      </c>
      <c r="C2972" s="1110">
        <v>13.821154278217543</v>
      </c>
    </row>
    <row r="2973" spans="2:3">
      <c r="B2973" s="412" t="s">
        <v>3212</v>
      </c>
      <c r="C2973" s="1110">
        <v>13.821154278217543</v>
      </c>
    </row>
    <row r="2974" spans="2:3">
      <c r="B2974" s="412" t="s">
        <v>3213</v>
      </c>
      <c r="C2974" s="1110">
        <v>13.821154278217543</v>
      </c>
    </row>
    <row r="2975" spans="2:3">
      <c r="B2975" s="412" t="s">
        <v>3214</v>
      </c>
      <c r="C2975" s="1110">
        <v>13.821154278217543</v>
      </c>
    </row>
    <row r="2976" spans="2:3">
      <c r="B2976" s="412" t="s">
        <v>3215</v>
      </c>
      <c r="C2976" s="1110">
        <v>13.821154278217543</v>
      </c>
    </row>
    <row r="2977" spans="2:3">
      <c r="B2977" s="412" t="s">
        <v>3216</v>
      </c>
      <c r="C2977" s="1110">
        <v>13.821154278217543</v>
      </c>
    </row>
    <row r="2978" spans="2:3">
      <c r="B2978" s="412" t="s">
        <v>3217</v>
      </c>
      <c r="C2978" s="1110">
        <v>13.821154278217543</v>
      </c>
    </row>
    <row r="2979" spans="2:3">
      <c r="B2979" s="412" t="s">
        <v>3218</v>
      </c>
      <c r="C2979" s="1110">
        <v>13.821154278217543</v>
      </c>
    </row>
    <row r="2980" spans="2:3">
      <c r="B2980" s="412" t="s">
        <v>3219</v>
      </c>
      <c r="C2980" s="1110">
        <v>13.821154278217543</v>
      </c>
    </row>
    <row r="2981" spans="2:3">
      <c r="B2981" s="412" t="s">
        <v>3220</v>
      </c>
      <c r="C2981" s="1110">
        <v>13.821154278217543</v>
      </c>
    </row>
    <row r="2982" spans="2:3">
      <c r="B2982" s="412" t="s">
        <v>3221</v>
      </c>
      <c r="C2982" s="1110">
        <v>13.821154278217543</v>
      </c>
    </row>
    <row r="2983" spans="2:3">
      <c r="B2983" s="412" t="s">
        <v>3222</v>
      </c>
      <c r="C2983" s="1110">
        <v>13.821154278217543</v>
      </c>
    </row>
    <row r="2984" spans="2:3">
      <c r="B2984" s="412" t="s">
        <v>3223</v>
      </c>
      <c r="C2984" s="1110">
        <v>13.821154278217543</v>
      </c>
    </row>
    <row r="2985" spans="2:3" ht="17" thickBot="1">
      <c r="B2985" s="413" t="s">
        <v>3224</v>
      </c>
      <c r="C2985" s="655">
        <v>13.821154278217543</v>
      </c>
    </row>
    <row r="2986" spans="2:3">
      <c r="B2986" s="412" t="s">
        <v>3225</v>
      </c>
      <c r="C2986" s="1109">
        <v>23.079487816375195</v>
      </c>
    </row>
    <row r="2987" spans="2:3">
      <c r="B2987" s="412" t="s">
        <v>3226</v>
      </c>
      <c r="C2987" s="1110">
        <v>23.079487816375195</v>
      </c>
    </row>
    <row r="2988" spans="2:3" ht="17" thickBot="1">
      <c r="B2988" s="413" t="s">
        <v>3227</v>
      </c>
      <c r="C2988" s="655">
        <v>23.079487816375195</v>
      </c>
    </row>
    <row r="2994" spans="1:88" s="187" customFormat="1">
      <c r="A2994"/>
      <c r="B2994" s="173"/>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row>
  </sheetData>
  <sheetProtection algorithmName="SHA-512" hashValue="Gb73uinYgUOJRjN4eMbL+6vCsXto4NaVX5zo5dp5wgh6IKeGF8rmr7ZWHpIUuBF8BYLf9uCCyQR2asmSmIqx4A==" saltValue="UR8SaM9cUwvgqCjNIIyI2g==" spinCount="100000" sheet="1" objects="1" scenarios="1"/>
  <hyperlinks>
    <hyperlink ref="O2" r:id="rId1" xr:uid="{F768B5AA-9645-2E4A-AB39-225ED93519DB}"/>
    <hyperlink ref="O3" r:id="rId2" xr:uid="{1C5CBA8A-A2C3-3C42-9539-7F29039DDB82}"/>
    <hyperlink ref="O4" r:id="rId3" xr:uid="{2EB5673D-32EB-964A-A48C-D0E5144AC7A3}"/>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0D6E3-4F15-AF46-907A-7CF16223CE7C}">
  <sheetPr codeName="Sheet16">
    <tabColor theme="6"/>
  </sheetPr>
  <dimension ref="A1:K55"/>
  <sheetViews>
    <sheetView zoomScale="56" zoomScaleNormal="100" workbookViewId="0">
      <selection activeCell="F9" sqref="F9"/>
    </sheetView>
  </sheetViews>
  <sheetFormatPr baseColWidth="10" defaultRowHeight="16"/>
  <cols>
    <col min="1" max="1" width="10.83203125" style="588"/>
    <col min="2" max="2" width="38.33203125" customWidth="1"/>
    <col min="3" max="3" width="26" customWidth="1"/>
    <col min="4" max="4" width="26.83203125" bestFit="1" customWidth="1"/>
    <col min="5" max="5" width="25.83203125" customWidth="1"/>
    <col min="6" max="6" width="61.6640625" style="592" customWidth="1"/>
    <col min="7" max="7" width="10.83203125" style="592"/>
    <col min="8" max="8" width="29.1640625" style="592" bestFit="1" customWidth="1"/>
    <col min="9" max="9" width="28" customWidth="1"/>
    <col min="10" max="10" width="25" bestFit="1" customWidth="1"/>
  </cols>
  <sheetData>
    <row r="1" spans="2:11" s="588" customFormat="1">
      <c r="F1" s="592"/>
      <c r="G1" s="592"/>
      <c r="H1" s="592"/>
    </row>
    <row r="2" spans="2:11" s="588" customFormat="1">
      <c r="F2" s="592"/>
      <c r="G2" s="592"/>
      <c r="H2" s="592"/>
    </row>
    <row r="3" spans="2:11">
      <c r="B3" t="s">
        <v>3391</v>
      </c>
      <c r="C3" t="str">
        <f>'Data Tables'!C16</f>
        <v>Technology specific emission factors for wood burning stove</v>
      </c>
      <c r="H3" t="s">
        <v>3397</v>
      </c>
      <c r="I3" t="str">
        <f>'Data Tables'!C20</f>
        <v>Technology specific annual usage for boilers</v>
      </c>
    </row>
    <row r="4" spans="2:11">
      <c r="B4" t="s">
        <v>3392</v>
      </c>
      <c r="C4" t="s">
        <v>3424</v>
      </c>
      <c r="D4" s="756"/>
      <c r="E4" s="756"/>
      <c r="H4" t="s">
        <v>3392</v>
      </c>
      <c r="I4" t="s">
        <v>3423</v>
      </c>
      <c r="J4" s="756"/>
      <c r="K4" s="756"/>
    </row>
    <row r="5" spans="2:11" ht="17" thickBot="1">
      <c r="C5" s="756" t="s">
        <v>3425</v>
      </c>
      <c r="I5" s="756" t="s">
        <v>3422</v>
      </c>
    </row>
    <row r="6" spans="2:11">
      <c r="B6" s="1047" t="s">
        <v>249</v>
      </c>
      <c r="C6" s="1048"/>
      <c r="D6" s="1049"/>
      <c r="E6" s="588"/>
      <c r="H6" s="1047" t="s">
        <v>3251</v>
      </c>
      <c r="I6" s="1049"/>
      <c r="J6" s="776"/>
    </row>
    <row r="7" spans="2:11" ht="17" thickBot="1">
      <c r="B7" s="1050" t="str">
        <f>'Data Tables'!C16</f>
        <v>Technology specific emission factors for wood burning stove</v>
      </c>
      <c r="C7" s="1051"/>
      <c r="D7" s="1052"/>
      <c r="E7" s="588"/>
      <c r="H7" s="1084" t="str">
        <f>'Data Tables'!C20</f>
        <v>Technology specific annual usage for boilers</v>
      </c>
      <c r="I7" s="1085"/>
      <c r="J7" s="588"/>
    </row>
    <row r="8" spans="2:11" ht="17" thickBot="1">
      <c r="B8" s="1053"/>
      <c r="C8" s="1054" t="s">
        <v>3405</v>
      </c>
      <c r="D8" s="1055" t="s">
        <v>3404</v>
      </c>
      <c r="E8" s="588"/>
      <c r="H8" s="1086"/>
      <c r="I8" s="1069" t="s">
        <v>3763</v>
      </c>
      <c r="J8" s="588"/>
    </row>
    <row r="9" spans="2:11">
      <c r="B9" s="1056" t="s">
        <v>143</v>
      </c>
      <c r="C9" s="1057">
        <v>370</v>
      </c>
      <c r="D9" s="1057">
        <v>80</v>
      </c>
      <c r="E9" s="588"/>
      <c r="H9" s="1087" t="s">
        <v>3230</v>
      </c>
      <c r="I9" s="1088">
        <v>28.8</v>
      </c>
      <c r="J9" s="712"/>
    </row>
    <row r="10" spans="2:11">
      <c r="B10" s="1058" t="s">
        <v>3237</v>
      </c>
      <c r="C10" s="1059">
        <v>740</v>
      </c>
      <c r="D10" s="1059">
        <v>50</v>
      </c>
      <c r="E10" s="588"/>
      <c r="H10" s="1089" t="s">
        <v>3232</v>
      </c>
      <c r="I10" s="1090">
        <v>43.199999999999996</v>
      </c>
      <c r="J10" s="712"/>
    </row>
    <row r="11" spans="2:11" ht="17" thickBot="1">
      <c r="B11" s="541" t="s">
        <v>107</v>
      </c>
      <c r="C11" s="1059">
        <v>60</v>
      </c>
      <c r="D11" s="1059">
        <v>80</v>
      </c>
      <c r="E11" s="588"/>
      <c r="H11" s="1091" t="s">
        <v>3234</v>
      </c>
      <c r="I11" s="1092">
        <v>61.199999999999996</v>
      </c>
      <c r="J11" s="712"/>
    </row>
    <row r="12" spans="2:11" ht="17" thickBot="1">
      <c r="B12" s="540" t="s">
        <v>108</v>
      </c>
      <c r="C12" s="1060">
        <v>820</v>
      </c>
      <c r="D12" s="1060">
        <v>50</v>
      </c>
      <c r="E12" s="588"/>
      <c r="H12"/>
    </row>
    <row r="13" spans="2:11">
      <c r="B13" s="782"/>
      <c r="C13" s="596"/>
      <c r="D13" s="596"/>
      <c r="E13" s="592"/>
      <c r="H13" t="s">
        <v>3398</v>
      </c>
      <c r="I13" t="str">
        <f>'Data Tables'!C21</f>
        <v>Emission factors for electricity consumption</v>
      </c>
    </row>
    <row r="14" spans="2:11">
      <c r="E14" s="588"/>
      <c r="H14" t="s">
        <v>3392</v>
      </c>
      <c r="I14" t="s">
        <v>3431</v>
      </c>
    </row>
    <row r="15" spans="2:11">
      <c r="B15" t="s">
        <v>3393</v>
      </c>
      <c r="C15" t="str">
        <f>'Data Tables'!C17</f>
        <v>Damage costs for domestic combustion</v>
      </c>
      <c r="I15" s="756" t="s">
        <v>3429</v>
      </c>
    </row>
    <row r="16" spans="2:11" ht="17" thickBot="1">
      <c r="B16" t="s">
        <v>3392</v>
      </c>
      <c r="C16" t="s">
        <v>3426</v>
      </c>
      <c r="I16" s="756" t="s">
        <v>3430</v>
      </c>
    </row>
    <row r="17" spans="2:11" ht="17" thickBot="1">
      <c r="C17" s="756" t="s">
        <v>3376</v>
      </c>
      <c r="H17" s="1047" t="s">
        <v>3261</v>
      </c>
      <c r="I17" s="1048"/>
      <c r="J17" s="1049"/>
    </row>
    <row r="18" spans="2:11" ht="17" thickBot="1">
      <c r="B18" s="1047" t="s">
        <v>141</v>
      </c>
      <c r="C18" s="1067"/>
      <c r="D18" s="588"/>
      <c r="E18" s="588"/>
      <c r="H18" s="1050" t="str">
        <f>'Data Tables'!C21</f>
        <v>Emission factors for electricity consumption</v>
      </c>
      <c r="I18" s="1051"/>
      <c r="J18" s="1052"/>
    </row>
    <row r="19" spans="2:11" ht="17" thickBot="1">
      <c r="B19" s="1050" t="str">
        <f>'Data Tables'!C17</f>
        <v>Damage costs for domestic combustion</v>
      </c>
      <c r="C19" s="1068"/>
      <c r="D19" s="588"/>
      <c r="E19" s="588"/>
      <c r="H19" s="1053"/>
      <c r="I19" s="1054" t="s">
        <v>3405</v>
      </c>
      <c r="J19" s="1055" t="s">
        <v>3404</v>
      </c>
    </row>
    <row r="20" spans="2:11" ht="17" thickBot="1">
      <c r="B20" s="1069" t="s">
        <v>116</v>
      </c>
      <c r="C20" s="1070" t="s">
        <v>247</v>
      </c>
      <c r="D20" s="588"/>
      <c r="E20" s="588"/>
      <c r="H20" s="1093" t="s">
        <v>3252</v>
      </c>
      <c r="I20" s="1094">
        <v>1.5408826449999999</v>
      </c>
      <c r="J20" s="1094">
        <v>75.875873960000007</v>
      </c>
    </row>
    <row r="21" spans="2:11">
      <c r="B21" s="1071" t="s">
        <v>118</v>
      </c>
      <c r="C21" s="1072">
        <v>85753</v>
      </c>
      <c r="D21" s="588"/>
      <c r="E21" s="588"/>
      <c r="H21"/>
    </row>
    <row r="22" spans="2:11" ht="17" thickBot="1">
      <c r="B22" s="1073" t="s">
        <v>142</v>
      </c>
      <c r="C22" s="1074">
        <v>13950</v>
      </c>
      <c r="D22" s="588"/>
      <c r="E22" s="588"/>
      <c r="H22" t="s">
        <v>3399</v>
      </c>
      <c r="I22" t="str">
        <f>'Data Tables'!C22</f>
        <v>Annual usage for electricity consumption</v>
      </c>
      <c r="K22" s="756"/>
    </row>
    <row r="23" spans="2:11">
      <c r="H23" t="s">
        <v>3392</v>
      </c>
      <c r="I23" t="s">
        <v>3423</v>
      </c>
      <c r="J23" s="756"/>
    </row>
    <row r="24" spans="2:11" ht="17" thickBot="1">
      <c r="B24" t="s">
        <v>3394</v>
      </c>
      <c r="C24" t="str">
        <f>'Data Tables'!C14</f>
        <v>Technology specific emission factors for buses</v>
      </c>
      <c r="I24" s="756" t="s">
        <v>3422</v>
      </c>
    </row>
    <row r="25" spans="2:11">
      <c r="B25" t="s">
        <v>3392</v>
      </c>
      <c r="C25" t="s">
        <v>3443</v>
      </c>
      <c r="H25" s="1047" t="s">
        <v>3277</v>
      </c>
      <c r="I25" s="1049"/>
    </row>
    <row r="26" spans="2:11" ht="17" thickBot="1">
      <c r="C26" s="756" t="s">
        <v>3444</v>
      </c>
      <c r="H26" s="1084" t="str">
        <f>'Data Tables'!C22</f>
        <v>Annual usage for electricity consumption</v>
      </c>
      <c r="I26" s="1085"/>
    </row>
    <row r="27" spans="2:11" ht="13" customHeight="1" thickBot="1">
      <c r="B27" s="202" t="s">
        <v>130</v>
      </c>
      <c r="C27" s="1075"/>
      <c r="D27" s="1076"/>
      <c r="H27" s="1086"/>
      <c r="I27" s="1069" t="s">
        <v>3763</v>
      </c>
    </row>
    <row r="28" spans="2:11" ht="17" thickBot="1">
      <c r="B28" s="203" t="str">
        <f>'Data Tables'!C14</f>
        <v>Technology specific emission factors for buses</v>
      </c>
      <c r="C28" s="1077"/>
      <c r="D28" s="1078"/>
      <c r="H28" s="1087" t="s">
        <v>3230</v>
      </c>
      <c r="I28" s="1088">
        <v>6.4799999999999995</v>
      </c>
    </row>
    <row r="29" spans="2:11" ht="17" thickBot="1">
      <c r="B29" s="1079"/>
      <c r="C29" s="1080" t="s">
        <v>3236</v>
      </c>
      <c r="D29" s="1081" t="s">
        <v>3268</v>
      </c>
      <c r="H29" s="1089" t="s">
        <v>3232</v>
      </c>
      <c r="I29" s="1090">
        <v>10.44</v>
      </c>
    </row>
    <row r="30" spans="2:11" ht="17" thickBot="1">
      <c r="B30" s="1082" t="s">
        <v>3608</v>
      </c>
      <c r="C30" s="1083">
        <f>0.11*10^9/27358848000</f>
        <v>4.0206371262415724E-3</v>
      </c>
      <c r="D30" s="1083">
        <f>10*10^9/27358848000</f>
        <v>0.36551246602196114</v>
      </c>
      <c r="H30" s="1091" t="s">
        <v>3234</v>
      </c>
      <c r="I30" s="1092">
        <v>15.48</v>
      </c>
    </row>
    <row r="31" spans="2:11">
      <c r="H31"/>
    </row>
    <row r="32" spans="2:11">
      <c r="H32" t="s">
        <v>3400</v>
      </c>
      <c r="I32" t="str">
        <f>'Data Tables'!C23</f>
        <v>Emission per online parcel</v>
      </c>
    </row>
    <row r="33" spans="2:10">
      <c r="B33" t="s">
        <v>3395</v>
      </c>
      <c r="C33" t="str">
        <f>'Data Tables'!C18</f>
        <v>Technology specific output rating for wood burning stoves</v>
      </c>
      <c r="H33" t="s">
        <v>3392</v>
      </c>
      <c r="I33" t="s">
        <v>3432</v>
      </c>
    </row>
    <row r="34" spans="2:10" ht="17" thickBot="1">
      <c r="B34" t="s">
        <v>3392</v>
      </c>
      <c r="C34" t="s">
        <v>3428</v>
      </c>
      <c r="D34" s="588"/>
      <c r="E34" s="588"/>
      <c r="I34" s="756" t="s">
        <v>3433</v>
      </c>
    </row>
    <row r="35" spans="2:10" ht="17" thickBot="1">
      <c r="C35" s="756" t="s">
        <v>3427</v>
      </c>
      <c r="H35" s="208" t="s">
        <v>3278</v>
      </c>
      <c r="I35" s="209"/>
      <c r="J35" s="210"/>
    </row>
    <row r="36" spans="2:10" ht="17" thickBot="1">
      <c r="B36" s="1047" t="s">
        <v>3239</v>
      </c>
      <c r="C36" s="1061"/>
      <c r="D36" s="592"/>
      <c r="E36" s="777"/>
      <c r="H36" s="425" t="str">
        <f>'Data Tables'!C23</f>
        <v>Emission per online parcel</v>
      </c>
      <c r="I36" s="426"/>
      <c r="J36" s="427"/>
    </row>
    <row r="37" spans="2:10" ht="17" thickBot="1">
      <c r="B37" s="1050" t="str">
        <f>'Data Tables'!C18</f>
        <v>Technology specific output rating for wood burning stoves</v>
      </c>
      <c r="C37" s="1052"/>
      <c r="D37" s="592"/>
      <c r="E37" s="778"/>
      <c r="H37" s="428"/>
      <c r="I37" s="533" t="s">
        <v>3295</v>
      </c>
      <c r="J37" s="429" t="s">
        <v>3296</v>
      </c>
    </row>
    <row r="38" spans="2:10" ht="17" thickBot="1">
      <c r="B38" s="1062"/>
      <c r="C38" s="1063" t="s">
        <v>3764</v>
      </c>
      <c r="D38" s="779"/>
      <c r="E38" s="608"/>
      <c r="F38" s="774"/>
      <c r="H38" s="430" t="s">
        <v>3294</v>
      </c>
      <c r="I38" s="431">
        <v>0.74076923076923074</v>
      </c>
      <c r="J38" s="432">
        <v>12.653846153846153</v>
      </c>
    </row>
    <row r="39" spans="2:10">
      <c r="B39" s="321" t="s">
        <v>143</v>
      </c>
      <c r="C39" s="1064">
        <f>8.57142857142857*0.0036</f>
        <v>3.085714285714285E-2</v>
      </c>
      <c r="D39" s="780"/>
      <c r="E39" s="608"/>
      <c r="F39" s="774"/>
      <c r="H39"/>
    </row>
    <row r="40" spans="2:10">
      <c r="B40" s="319" t="s">
        <v>3237</v>
      </c>
      <c r="C40" s="1059">
        <f>9.23076923076923*0.0036</f>
        <v>3.3230769230769223E-2</v>
      </c>
      <c r="D40" s="781"/>
      <c r="E40" s="608"/>
      <c r="F40" s="774"/>
      <c r="H40" t="s">
        <v>3401</v>
      </c>
      <c r="I40" t="str">
        <f>'Data Tables'!C24</f>
        <v>Emission per food shop delivery</v>
      </c>
    </row>
    <row r="41" spans="2:10">
      <c r="B41" s="1065" t="s">
        <v>107</v>
      </c>
      <c r="C41" s="1059">
        <f>7.5*0.0036</f>
        <v>2.7E-2</v>
      </c>
      <c r="D41" s="781"/>
      <c r="E41" s="608"/>
      <c r="F41" s="774"/>
      <c r="H41" t="s">
        <v>3392</v>
      </c>
      <c r="I41" t="s">
        <v>3434</v>
      </c>
    </row>
    <row r="42" spans="2:10" ht="17" thickBot="1">
      <c r="B42" s="1065" t="s">
        <v>108</v>
      </c>
      <c r="C42" s="1059">
        <f>17.6470588235294*0.0036</f>
        <v>6.3529411764705834E-2</v>
      </c>
      <c r="D42" s="781"/>
      <c r="E42" s="608"/>
      <c r="F42" s="774"/>
      <c r="I42" s="756" t="s">
        <v>3435</v>
      </c>
    </row>
    <row r="43" spans="2:10" ht="17" thickBot="1">
      <c r="B43" s="1066" t="s">
        <v>3238</v>
      </c>
      <c r="C43" s="1060">
        <v>1</v>
      </c>
      <c r="D43" s="781"/>
      <c r="E43" s="608"/>
      <c r="F43" s="774"/>
      <c r="H43" s="208" t="s">
        <v>3298</v>
      </c>
      <c r="I43" s="209"/>
      <c r="J43" s="210"/>
    </row>
    <row r="44" spans="2:10" ht="17" thickBot="1">
      <c r="H44" s="425" t="str">
        <f>'Data Tables'!C24</f>
        <v>Emission per food shop delivery</v>
      </c>
      <c r="I44" s="426"/>
      <c r="J44" s="427"/>
    </row>
    <row r="45" spans="2:10" ht="17" thickBot="1">
      <c r="B45" t="s">
        <v>3396</v>
      </c>
      <c r="C45" t="str">
        <f>'Data Tables'!C19</f>
        <v>Technology specific emission factors for boilers</v>
      </c>
      <c r="H45" s="428"/>
      <c r="I45" s="533" t="s">
        <v>3295</v>
      </c>
      <c r="J45" s="429" t="s">
        <v>3296</v>
      </c>
    </row>
    <row r="46" spans="2:10" ht="17" thickBot="1">
      <c r="B46" t="s">
        <v>3392</v>
      </c>
      <c r="C46" t="s">
        <v>3424</v>
      </c>
      <c r="D46" s="588"/>
      <c r="E46" s="588"/>
      <c r="H46" s="430" t="s">
        <v>3297</v>
      </c>
      <c r="I46" s="431">
        <v>0</v>
      </c>
      <c r="J46" s="432">
        <v>0.49709631578947361</v>
      </c>
    </row>
    <row r="47" spans="2:10">
      <c r="C47" s="756" t="s">
        <v>3425</v>
      </c>
      <c r="H47"/>
    </row>
    <row r="48" spans="2:10">
      <c r="C48" t="s">
        <v>3436</v>
      </c>
      <c r="H48" t="s">
        <v>3402</v>
      </c>
      <c r="I48" t="str">
        <f>'Data Tables'!C25</f>
        <v>Damage costs for general road transportation</v>
      </c>
    </row>
    <row r="49" spans="2:9" ht="17" thickBot="1">
      <c r="C49" s="756" t="s">
        <v>3437</v>
      </c>
      <c r="H49" t="s">
        <v>3392</v>
      </c>
      <c r="I49" t="s">
        <v>3426</v>
      </c>
    </row>
    <row r="50" spans="2:9" ht="17" thickBot="1">
      <c r="B50" s="1047" t="s">
        <v>3249</v>
      </c>
      <c r="C50" s="1048"/>
      <c r="D50" s="1095"/>
      <c r="E50" s="1096"/>
      <c r="F50" s="775"/>
      <c r="I50" s="756" t="s">
        <v>3376</v>
      </c>
    </row>
    <row r="51" spans="2:9" ht="17" thickBot="1">
      <c r="B51" s="1050" t="str">
        <f>'Data Tables'!C19</f>
        <v>Technology specific emission factors for boilers</v>
      </c>
      <c r="C51" s="1051"/>
      <c r="D51" s="1051"/>
      <c r="E51" s="1052"/>
      <c r="F51" s="775"/>
      <c r="H51" s="1100" t="s">
        <v>3299</v>
      </c>
      <c r="I51" s="1101"/>
    </row>
    <row r="52" spans="2:9" ht="17" thickBot="1">
      <c r="B52" s="1053"/>
      <c r="C52" s="1054" t="s">
        <v>3405</v>
      </c>
      <c r="D52" s="1055" t="s">
        <v>3404</v>
      </c>
      <c r="E52" s="1054" t="s">
        <v>3267</v>
      </c>
      <c r="F52" s="775"/>
      <c r="H52" s="1102" t="str">
        <f>'Data Tables'!C25</f>
        <v>Damage costs for general road transportation</v>
      </c>
      <c r="I52" s="1103"/>
    </row>
    <row r="53" spans="2:9" ht="17" thickBot="1">
      <c r="B53" s="1053" t="s">
        <v>147</v>
      </c>
      <c r="C53" s="1057">
        <v>0.2</v>
      </c>
      <c r="D53" s="1057">
        <v>42</v>
      </c>
      <c r="E53" s="1097">
        <v>1</v>
      </c>
      <c r="F53" s="1484" t="s">
        <v>3766</v>
      </c>
      <c r="H53" s="1104" t="s">
        <v>116</v>
      </c>
      <c r="I53" s="533" t="s">
        <v>247</v>
      </c>
    </row>
    <row r="54" spans="2:9" ht="17" thickBot="1">
      <c r="B54" s="1098" t="s">
        <v>146</v>
      </c>
      <c r="C54" s="1060">
        <v>1.5</v>
      </c>
      <c r="D54" s="1060">
        <v>69</v>
      </c>
      <c r="E54" s="1099">
        <f>92/89</f>
        <v>1.0337078651685394</v>
      </c>
      <c r="F54" s="1484" t="s">
        <v>3767</v>
      </c>
      <c r="H54" s="1105" t="s">
        <v>118</v>
      </c>
      <c r="I54" s="1106">
        <v>203331</v>
      </c>
    </row>
    <row r="55" spans="2:9" ht="17" thickBot="1">
      <c r="F55" s="1485"/>
      <c r="H55" s="1107" t="s">
        <v>142</v>
      </c>
      <c r="I55" s="1108">
        <v>10699</v>
      </c>
    </row>
  </sheetData>
  <sheetProtection algorithmName="SHA-512" hashValue="jL0SzAeExRsBcvl2sd7IYX9SbwX34Q5MY24QbuQF1ZOsjPBNHavU2uNVvdRQSuGqBCmphcc3nQBzH8seaMGrrQ==" saltValue="KpRxoVSA9Q6KViZ12nicoA==" spinCount="100000" sheet="1" objects="1" scenarios="1"/>
  <hyperlinks>
    <hyperlink ref="C5" r:id="rId1" xr:uid="{96455329-E53C-7C43-ABD9-4FBFF79BA651}"/>
    <hyperlink ref="C17" r:id="rId2" xr:uid="{DB1062CA-AD86-8142-9127-67B367789DF3}"/>
    <hyperlink ref="I50" r:id="rId3" xr:uid="{F46AF002-B61B-A842-B760-266186ECE85B}"/>
    <hyperlink ref="C47" r:id="rId4" xr:uid="{4ADE3A11-E6B7-7146-94A0-F0FB8F30BD4F}"/>
    <hyperlink ref="C35" r:id="rId5" xr:uid="{4B5F4CC5-3224-9A4E-98C2-2B00B6E40745}"/>
    <hyperlink ref="I5" r:id="rId6" xr:uid="{A3C0D116-778F-BB4C-A090-8B31D0DB1E5F}"/>
    <hyperlink ref="I24" r:id="rId7" xr:uid="{F5369FE3-A856-174C-A428-5A74411B51A9}"/>
    <hyperlink ref="I15" r:id="rId8" xr:uid="{38D74E83-7665-A447-9EF9-FA846E91CCDE}"/>
    <hyperlink ref="I16" r:id="rId9" xr:uid="{625328CF-A5A8-6241-BD0D-9B89664BA6F1}"/>
    <hyperlink ref="I34" r:id="rId10" xr:uid="{85789179-6FA9-8A48-94F6-F56325E3F2D7}"/>
    <hyperlink ref="I42" r:id="rId11" xr:uid="{483A95DF-A9F3-B140-B1A8-4BFAFECA4919}"/>
    <hyperlink ref="C49" r:id="rId12" xr:uid="{56C02AA0-3E77-2B42-8196-7635EBB98602}"/>
    <hyperlink ref="C26" r:id="rId13" xr:uid="{AF77BCCD-9386-DC41-8AF3-ED885D215A3B}"/>
  </hyperlinks>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E1E9D-0452-3E4F-96BD-4E56CA8DD884}">
  <sheetPr codeName="Sheet17">
    <tabColor theme="6"/>
  </sheetPr>
  <dimension ref="C1:AI194"/>
  <sheetViews>
    <sheetView zoomScale="50" zoomScaleNormal="100" workbookViewId="0">
      <selection activeCell="T20" sqref="T20"/>
    </sheetView>
  </sheetViews>
  <sheetFormatPr baseColWidth="10" defaultRowHeight="16"/>
  <cols>
    <col min="3" max="3" width="25.6640625" bestFit="1" customWidth="1"/>
    <col min="4" max="4" width="25.6640625" customWidth="1"/>
    <col min="5" max="5" width="19.33203125" customWidth="1"/>
    <col min="18" max="18" width="14.33203125" customWidth="1"/>
    <col min="26" max="26" width="19.6640625" bestFit="1" customWidth="1"/>
  </cols>
  <sheetData>
    <row r="1" spans="3:29" ht="26">
      <c r="C1" s="178" t="s">
        <v>3370</v>
      </c>
      <c r="D1" s="178" t="str">
        <f>'Data Tables'!C17</f>
        <v>Damage costs for domestic combustion</v>
      </c>
    </row>
    <row r="2" spans="3:29" ht="24">
      <c r="C2" s="754" t="s">
        <v>3366</v>
      </c>
      <c r="D2" s="754" t="s">
        <v>3367</v>
      </c>
      <c r="E2" s="32"/>
      <c r="F2" s="32"/>
      <c r="G2" s="32"/>
      <c r="H2" s="32"/>
      <c r="I2" s="755" t="s">
        <v>3372</v>
      </c>
      <c r="J2" s="755"/>
    </row>
    <row r="3" spans="3:29" ht="24">
      <c r="C3" s="754"/>
      <c r="D3" s="754" t="s">
        <v>3369</v>
      </c>
      <c r="E3" s="32"/>
      <c r="F3" s="32"/>
      <c r="G3" s="32"/>
      <c r="H3" s="32"/>
      <c r="I3" s="755" t="s">
        <v>3373</v>
      </c>
      <c r="J3" s="755"/>
    </row>
    <row r="4" spans="3:29" ht="25" thickBot="1">
      <c r="C4" s="754"/>
      <c r="D4" s="754"/>
      <c r="E4" s="32"/>
      <c r="F4" s="32"/>
      <c r="G4" s="32"/>
      <c r="H4" s="32"/>
      <c r="I4" s="32"/>
      <c r="J4" s="755"/>
    </row>
    <row r="5" spans="3:29" ht="17" customHeight="1" thickBot="1">
      <c r="C5" s="2250" t="s">
        <v>22</v>
      </c>
      <c r="D5" s="2251"/>
      <c r="E5" s="2251"/>
      <c r="F5" s="2251"/>
      <c r="G5" s="2251"/>
      <c r="H5" s="2251"/>
      <c r="I5" s="2251"/>
      <c r="J5" s="2251"/>
      <c r="K5" s="2251"/>
      <c r="L5" s="2251"/>
      <c r="M5" s="2251"/>
      <c r="N5" s="2251"/>
      <c r="O5" s="2251"/>
      <c r="P5" s="2251"/>
      <c r="Q5" s="2251"/>
      <c r="R5" s="2252"/>
      <c r="S5" s="603"/>
    </row>
    <row r="6" spans="3:29" ht="52" thickBot="1">
      <c r="C6" s="421" t="s">
        <v>24</v>
      </c>
      <c r="D6" s="690" t="s">
        <v>229</v>
      </c>
      <c r="E6" s="672" t="s">
        <v>21</v>
      </c>
      <c r="F6" s="656" t="s">
        <v>20</v>
      </c>
      <c r="G6" s="656" t="s">
        <v>19</v>
      </c>
      <c r="H6" s="656" t="s">
        <v>18</v>
      </c>
      <c r="I6" s="656" t="s">
        <v>17</v>
      </c>
      <c r="J6" s="656" t="s">
        <v>16</v>
      </c>
      <c r="K6" s="656" t="s">
        <v>15</v>
      </c>
      <c r="L6" s="656" t="s">
        <v>14</v>
      </c>
      <c r="M6" s="656" t="s">
        <v>13</v>
      </c>
      <c r="N6" s="656" t="s">
        <v>12</v>
      </c>
      <c r="O6" s="656" t="s">
        <v>11</v>
      </c>
      <c r="P6" s="2229" t="s">
        <v>27</v>
      </c>
      <c r="Q6" s="2229"/>
      <c r="R6" s="657" t="s">
        <v>10</v>
      </c>
      <c r="S6" s="591"/>
    </row>
    <row r="7" spans="3:29" ht="17" thickBot="1">
      <c r="C7" s="2247" t="s">
        <v>77</v>
      </c>
      <c r="D7" s="423" t="s">
        <v>5</v>
      </c>
      <c r="E7" s="673">
        <v>10</v>
      </c>
      <c r="F7" s="647">
        <v>60</v>
      </c>
      <c r="G7" s="647">
        <v>0</v>
      </c>
      <c r="H7" s="647">
        <v>0</v>
      </c>
      <c r="I7" s="647">
        <v>0.39376517417743601</v>
      </c>
      <c r="J7" s="647">
        <v>0</v>
      </c>
      <c r="K7" s="647">
        <v>0</v>
      </c>
      <c r="L7" s="647">
        <v>0</v>
      </c>
      <c r="M7" s="647">
        <v>1</v>
      </c>
      <c r="N7" s="647">
        <v>0</v>
      </c>
      <c r="O7" s="647">
        <v>0</v>
      </c>
      <c r="P7" s="652" t="e">
        <f>$W$8</f>
        <v>#N/A</v>
      </c>
      <c r="Q7" s="669" t="e">
        <f>IF(P7&lt;E7,E7,IF(P7&gt;F7,F7,P7))</f>
        <v>#N/A</v>
      </c>
      <c r="R7" s="674" t="e">
        <f t="shared" ref="R7:R24" si="0">IF((K7*Q7^2+L7*Q7+M7)=0,0,(G7*Q7^2+H7*Q7+I7+(J7/Q7))/(K7*Q7^2+L7*Q7+M7)*(1-N7))</f>
        <v>#N/A</v>
      </c>
      <c r="S7" s="595"/>
      <c r="U7" s="2244" t="s">
        <v>68</v>
      </c>
      <c r="V7" s="2245"/>
      <c r="W7" s="2245"/>
      <c r="X7" s="2246"/>
      <c r="Z7" s="2237" t="s">
        <v>65</v>
      </c>
      <c r="AA7" s="2237"/>
      <c r="AB7" s="2237"/>
      <c r="AC7" s="2237"/>
    </row>
    <row r="8" spans="3:29">
      <c r="C8" s="2248"/>
      <c r="D8" s="423" t="s">
        <v>1</v>
      </c>
      <c r="E8" s="673">
        <v>10</v>
      </c>
      <c r="F8" s="647">
        <v>60</v>
      </c>
      <c r="G8" s="647">
        <v>0</v>
      </c>
      <c r="H8" s="647">
        <v>0</v>
      </c>
      <c r="I8" s="647">
        <v>4.4349715319999997E-2</v>
      </c>
      <c r="J8" s="647">
        <v>0</v>
      </c>
      <c r="K8" s="647">
        <v>0</v>
      </c>
      <c r="L8" s="647">
        <v>0</v>
      </c>
      <c r="M8" s="647">
        <v>1</v>
      </c>
      <c r="N8" s="647">
        <v>0</v>
      </c>
      <c r="O8" s="647">
        <v>0</v>
      </c>
      <c r="P8" s="652" t="e">
        <f t="shared" ref="P8:P24" si="1">$W$8</f>
        <v>#N/A</v>
      </c>
      <c r="Q8" s="669" t="e">
        <f t="shared" ref="Q8:Q24" si="2">IF(P8&lt;E8,E8,IF(P8&gt;F8,F8,P8))</f>
        <v>#N/A</v>
      </c>
      <c r="R8" s="674" t="e">
        <f>IF((K8*Q8^2+L8*Q8+M8)=0,0,((G8*Q8^2+H8*Q8+I8+(J8/Q8))/(K8*Q8^2+L8*Q8+M8))*(1-N8))</f>
        <v>#N/A</v>
      </c>
      <c r="S8" s="597"/>
      <c r="U8" s="35" t="s">
        <v>43</v>
      </c>
      <c r="V8" s="36"/>
      <c r="W8" s="37" t="e">
        <f>'Iteration II Simulation'!V62</f>
        <v>#N/A</v>
      </c>
      <c r="X8" s="30" t="s">
        <v>44</v>
      </c>
      <c r="Z8" s="42" t="s">
        <v>24</v>
      </c>
      <c r="AA8" s="44" t="s">
        <v>2</v>
      </c>
      <c r="AB8" s="44" t="s">
        <v>1</v>
      </c>
      <c r="AC8" s="45" t="s">
        <v>5</v>
      </c>
    </row>
    <row r="9" spans="3:29" ht="17" thickBot="1">
      <c r="C9" s="2249"/>
      <c r="D9" s="665" t="s">
        <v>2</v>
      </c>
      <c r="E9" s="675">
        <v>10</v>
      </c>
      <c r="F9" s="648">
        <v>60</v>
      </c>
      <c r="G9" s="648">
        <v>0</v>
      </c>
      <c r="H9" s="648">
        <v>0</v>
      </c>
      <c r="I9" s="648">
        <v>4.4349715319999997E-2</v>
      </c>
      <c r="J9" s="648">
        <v>0</v>
      </c>
      <c r="K9" s="648">
        <v>0</v>
      </c>
      <c r="L9" s="648">
        <v>0</v>
      </c>
      <c r="M9" s="648">
        <v>1</v>
      </c>
      <c r="N9" s="648">
        <v>0</v>
      </c>
      <c r="O9" s="648">
        <v>0</v>
      </c>
      <c r="P9" s="653" t="e">
        <f t="shared" si="1"/>
        <v>#N/A</v>
      </c>
      <c r="Q9" s="670" t="e">
        <f t="shared" si="2"/>
        <v>#N/A</v>
      </c>
      <c r="R9" s="676" t="e">
        <f t="shared" si="0"/>
        <v>#N/A</v>
      </c>
      <c r="S9" s="597"/>
      <c r="U9" s="2238" t="s">
        <v>61</v>
      </c>
      <c r="V9" s="2239"/>
      <c r="W9" s="2240" t="s">
        <v>50</v>
      </c>
      <c r="X9" s="2241"/>
      <c r="Z9" s="46" t="s">
        <v>77</v>
      </c>
      <c r="AA9" s="49" t="e">
        <f>R9</f>
        <v>#N/A</v>
      </c>
      <c r="AB9" s="49" t="e">
        <f>R8</f>
        <v>#N/A</v>
      </c>
      <c r="AC9" s="50" t="e">
        <f>R7</f>
        <v>#N/A</v>
      </c>
    </row>
    <row r="10" spans="3:29">
      <c r="C10" s="2247" t="s">
        <v>80</v>
      </c>
      <c r="D10" s="666" t="s">
        <v>5</v>
      </c>
      <c r="E10" s="677">
        <v>10</v>
      </c>
      <c r="F10" s="650">
        <v>130</v>
      </c>
      <c r="G10" s="650">
        <v>-7.5908193755455503E-4</v>
      </c>
      <c r="H10" s="650">
        <v>2.8047644631850201E-2</v>
      </c>
      <c r="I10" s="650">
        <v>-2.72469738262724</v>
      </c>
      <c r="J10" s="650">
        <v>17.781687246521201</v>
      </c>
      <c r="K10" s="650">
        <v>6.9589559370468899E-3</v>
      </c>
      <c r="L10" s="650">
        <v>-1.8617643897002301</v>
      </c>
      <c r="M10" s="650">
        <v>10.2627490247485</v>
      </c>
      <c r="N10" s="650">
        <v>0</v>
      </c>
      <c r="O10" s="650">
        <v>0</v>
      </c>
      <c r="P10" s="652" t="e">
        <f t="shared" si="1"/>
        <v>#N/A</v>
      </c>
      <c r="Q10" s="669" t="e">
        <f t="shared" si="2"/>
        <v>#N/A</v>
      </c>
      <c r="R10" s="678" t="e">
        <f t="shared" si="0"/>
        <v>#N/A</v>
      </c>
      <c r="S10" s="597"/>
      <c r="U10" s="2238" t="s">
        <v>24</v>
      </c>
      <c r="V10" s="2239"/>
      <c r="W10" s="2240">
        <f>'Iteration II Simulation'!V64</f>
        <v>0</v>
      </c>
      <c r="X10" s="2241"/>
      <c r="Z10" s="47" t="s">
        <v>80</v>
      </c>
      <c r="AA10" s="51" t="e">
        <f>R12</f>
        <v>#N/A</v>
      </c>
      <c r="AB10" s="51" t="e">
        <f>R11</f>
        <v>#N/A</v>
      </c>
      <c r="AC10" s="52" t="e">
        <f>R10</f>
        <v>#N/A</v>
      </c>
    </row>
    <row r="11" spans="3:29">
      <c r="C11" s="2248"/>
      <c r="D11" s="644" t="s">
        <v>1</v>
      </c>
      <c r="E11" s="677">
        <v>10</v>
      </c>
      <c r="F11" s="650">
        <v>130</v>
      </c>
      <c r="G11" s="650">
        <v>-452.26321301940197</v>
      </c>
      <c r="H11" s="650">
        <v>11622.7010791802</v>
      </c>
      <c r="I11" s="650">
        <v>-94174.257627601502</v>
      </c>
      <c r="J11" s="650">
        <v>230115.38720245301</v>
      </c>
      <c r="K11" s="650">
        <v>-7006.3919385661402</v>
      </c>
      <c r="L11" s="650">
        <v>147012.433863418</v>
      </c>
      <c r="M11" s="650">
        <v>-771378.65568846895</v>
      </c>
      <c r="N11" s="650">
        <v>0</v>
      </c>
      <c r="O11" s="650">
        <v>0</v>
      </c>
      <c r="P11" s="652" t="e">
        <f t="shared" si="1"/>
        <v>#N/A</v>
      </c>
      <c r="Q11" s="669" t="e">
        <f t="shared" si="2"/>
        <v>#N/A</v>
      </c>
      <c r="R11" s="678" t="e">
        <f t="shared" si="0"/>
        <v>#N/A</v>
      </c>
      <c r="S11" s="597"/>
      <c r="U11" s="2238" t="s">
        <v>23</v>
      </c>
      <c r="V11" s="2239"/>
      <c r="W11" s="2240">
        <f>'Iteration II Simulation'!V65</f>
        <v>0</v>
      </c>
      <c r="X11" s="2241"/>
      <c r="Z11" s="47" t="s">
        <v>81</v>
      </c>
      <c r="AA11" s="51" t="e">
        <f>R15</f>
        <v>#N/A</v>
      </c>
      <c r="AB11" s="51" t="e">
        <f>R14</f>
        <v>#N/A</v>
      </c>
      <c r="AC11" s="52" t="e">
        <f>R13</f>
        <v>#N/A</v>
      </c>
    </row>
    <row r="12" spans="3:29" ht="17" thickBot="1">
      <c r="C12" s="2249"/>
      <c r="D12" s="645" t="s">
        <v>2</v>
      </c>
      <c r="E12" s="679">
        <v>10</v>
      </c>
      <c r="F12" s="651">
        <v>130</v>
      </c>
      <c r="G12" s="651">
        <v>-5.8598768950747804</v>
      </c>
      <c r="H12" s="651">
        <v>151.92778085165301</v>
      </c>
      <c r="I12" s="651">
        <v>-1273.86088967712</v>
      </c>
      <c r="J12" s="651">
        <v>3276.9243754894301</v>
      </c>
      <c r="K12" s="651">
        <v>-136.28706210636699</v>
      </c>
      <c r="L12" s="651">
        <v>2837.83469225112</v>
      </c>
      <c r="M12" s="651">
        <v>-15122.9399384236</v>
      </c>
      <c r="N12" s="651">
        <v>0</v>
      </c>
      <c r="O12" s="651">
        <v>0</v>
      </c>
      <c r="P12" s="653" t="e">
        <f t="shared" si="1"/>
        <v>#N/A</v>
      </c>
      <c r="Q12" s="670" t="e">
        <f t="shared" si="2"/>
        <v>#N/A</v>
      </c>
      <c r="R12" s="680" t="e">
        <f t="shared" si="0"/>
        <v>#N/A</v>
      </c>
      <c r="S12" s="597"/>
      <c r="U12" s="2238" t="s">
        <v>63</v>
      </c>
      <c r="V12" s="2239"/>
      <c r="W12" s="2242" t="e">
        <f>INDEX(AA9:AC15,MATCH(W10,Z9:Z15,0),MATCH(W11,AA8:AC8,0))</f>
        <v>#N/A</v>
      </c>
      <c r="X12" s="2243"/>
      <c r="Z12" s="47" t="s">
        <v>78</v>
      </c>
      <c r="AA12" s="51" t="e">
        <f>R18</f>
        <v>#N/A</v>
      </c>
      <c r="AB12" s="51" t="e">
        <f>R17</f>
        <v>#N/A</v>
      </c>
      <c r="AC12" s="52" t="e">
        <f>R16</f>
        <v>#N/A</v>
      </c>
    </row>
    <row r="13" spans="3:29" ht="17" thickBot="1">
      <c r="C13" s="2247" t="s">
        <v>81</v>
      </c>
      <c r="D13" s="423" t="s">
        <v>5</v>
      </c>
      <c r="E13" s="681">
        <v>10</v>
      </c>
      <c r="F13" s="658">
        <v>60</v>
      </c>
      <c r="G13" s="658">
        <v>0</v>
      </c>
      <c r="H13" s="658">
        <v>0</v>
      </c>
      <c r="I13" s="658">
        <v>0.39376517417743601</v>
      </c>
      <c r="J13" s="658">
        <v>0</v>
      </c>
      <c r="K13" s="658">
        <v>0</v>
      </c>
      <c r="L13" s="658">
        <v>0</v>
      </c>
      <c r="M13" s="658">
        <v>1</v>
      </c>
      <c r="N13" s="658">
        <v>0</v>
      </c>
      <c r="O13" s="658">
        <v>0</v>
      </c>
      <c r="P13" s="654" t="e">
        <f t="shared" si="1"/>
        <v>#N/A</v>
      </c>
      <c r="Q13" s="671" t="e">
        <f t="shared" si="2"/>
        <v>#N/A</v>
      </c>
      <c r="R13" s="682" t="e">
        <f t="shared" si="0"/>
        <v>#N/A</v>
      </c>
      <c r="S13" s="597"/>
      <c r="U13" s="2253" t="s">
        <v>62</v>
      </c>
      <c r="V13" s="2125"/>
      <c r="W13" s="2254" t="e">
        <f>INDEX(AA19:AC25,MATCH(W10,Z19:Z25,0),MATCH(W11,AA18:AC18,0))</f>
        <v>#N/A</v>
      </c>
      <c r="X13" s="2255"/>
      <c r="Z13" s="47" t="s">
        <v>79</v>
      </c>
      <c r="AA13" s="58" t="e">
        <f>R21</f>
        <v>#N/A</v>
      </c>
      <c r="AB13" s="58" t="e">
        <f>R20</f>
        <v>#N/A</v>
      </c>
      <c r="AC13" s="59" t="e">
        <f>R19</f>
        <v>#N/A</v>
      </c>
    </row>
    <row r="14" spans="3:29">
      <c r="C14" s="2248"/>
      <c r="D14" s="423" t="s">
        <v>1</v>
      </c>
      <c r="E14" s="673">
        <v>10</v>
      </c>
      <c r="F14" s="647">
        <v>60</v>
      </c>
      <c r="G14" s="647">
        <v>0</v>
      </c>
      <c r="H14" s="647">
        <v>0</v>
      </c>
      <c r="I14" s="647">
        <v>4.4349715319999997E-2</v>
      </c>
      <c r="J14" s="647">
        <v>0</v>
      </c>
      <c r="K14" s="647">
        <v>0</v>
      </c>
      <c r="L14" s="647">
        <v>0</v>
      </c>
      <c r="M14" s="647">
        <v>1</v>
      </c>
      <c r="N14" s="647">
        <v>0</v>
      </c>
      <c r="O14" s="647">
        <v>0</v>
      </c>
      <c r="P14" s="652" t="e">
        <f t="shared" si="1"/>
        <v>#N/A</v>
      </c>
      <c r="Q14" s="669" t="e">
        <f t="shared" si="2"/>
        <v>#N/A</v>
      </c>
      <c r="R14" s="674" t="e">
        <f t="shared" si="0"/>
        <v>#N/A</v>
      </c>
      <c r="S14" s="597"/>
      <c r="Z14" s="47" t="s">
        <v>82</v>
      </c>
      <c r="AA14" s="58" t="e">
        <f>R24</f>
        <v>#N/A</v>
      </c>
      <c r="AB14" s="58" t="e">
        <f>R23</f>
        <v>#N/A</v>
      </c>
      <c r="AC14" s="59" t="e">
        <f>R22</f>
        <v>#N/A</v>
      </c>
    </row>
    <row r="15" spans="3:29" ht="17" thickBot="1">
      <c r="C15" s="2249"/>
      <c r="D15" s="665" t="s">
        <v>2</v>
      </c>
      <c r="E15" s="675">
        <v>10</v>
      </c>
      <c r="F15" s="648">
        <v>60</v>
      </c>
      <c r="G15" s="648">
        <v>0</v>
      </c>
      <c r="H15" s="648">
        <v>0</v>
      </c>
      <c r="I15" s="648">
        <v>4.4349715319999997E-2</v>
      </c>
      <c r="J15" s="648">
        <v>0</v>
      </c>
      <c r="K15" s="648">
        <v>0</v>
      </c>
      <c r="L15" s="648">
        <v>0</v>
      </c>
      <c r="M15" s="648">
        <v>1</v>
      </c>
      <c r="N15" s="648">
        <v>0</v>
      </c>
      <c r="O15" s="648">
        <v>0</v>
      </c>
      <c r="P15" s="653" t="e">
        <f t="shared" si="1"/>
        <v>#N/A</v>
      </c>
      <c r="Q15" s="670" t="e">
        <f t="shared" si="2"/>
        <v>#N/A</v>
      </c>
      <c r="R15" s="676" t="e">
        <f t="shared" si="0"/>
        <v>#N/A</v>
      </c>
      <c r="S15" s="597"/>
      <c r="Z15" s="48" t="s">
        <v>71</v>
      </c>
      <c r="AA15" s="60">
        <f>R25</f>
        <v>0.104</v>
      </c>
      <c r="AB15" s="60">
        <f>R25</f>
        <v>0.104</v>
      </c>
      <c r="AC15" s="61">
        <f>R25</f>
        <v>0.104</v>
      </c>
    </row>
    <row r="16" spans="3:29">
      <c r="C16" s="2247" t="s">
        <v>78</v>
      </c>
      <c r="D16" s="644" t="s">
        <v>5</v>
      </c>
      <c r="E16" s="673">
        <v>10</v>
      </c>
      <c r="F16" s="647">
        <v>130</v>
      </c>
      <c r="G16" s="647">
        <v>5.7896184599540998E-3</v>
      </c>
      <c r="H16" s="647">
        <v>-0.17096269329875899</v>
      </c>
      <c r="I16" s="647">
        <v>22.223010182602899</v>
      </c>
      <c r="J16" s="647">
        <v>-148.46699953509699</v>
      </c>
      <c r="K16" s="647">
        <v>-5.0419236610231101E-2</v>
      </c>
      <c r="L16" s="647">
        <v>12.3610482328315</v>
      </c>
      <c r="M16" s="647">
        <v>-70.377676657257993</v>
      </c>
      <c r="N16" s="647">
        <v>0</v>
      </c>
      <c r="O16" s="647">
        <v>0</v>
      </c>
      <c r="P16" s="652" t="e">
        <f t="shared" si="1"/>
        <v>#N/A</v>
      </c>
      <c r="Q16" s="669" t="e">
        <f t="shared" si="2"/>
        <v>#N/A</v>
      </c>
      <c r="R16" s="674" t="e">
        <f t="shared" si="0"/>
        <v>#N/A</v>
      </c>
      <c r="S16" s="597"/>
    </row>
    <row r="17" spans="3:35">
      <c r="C17" s="2248"/>
      <c r="D17" s="644" t="s">
        <v>1</v>
      </c>
      <c r="E17" s="673">
        <v>10</v>
      </c>
      <c r="F17" s="647">
        <v>130</v>
      </c>
      <c r="G17" s="647">
        <v>0.39433570921204902</v>
      </c>
      <c r="H17" s="647">
        <v>-10.472363824102599</v>
      </c>
      <c r="I17" s="647">
        <v>101.662231775029</v>
      </c>
      <c r="J17" s="647">
        <v>-320.41434931485497</v>
      </c>
      <c r="K17" s="647">
        <v>10.137638858992201</v>
      </c>
      <c r="L17" s="647">
        <v>-195.758135137186</v>
      </c>
      <c r="M17" s="647">
        <v>1095.2509701610099</v>
      </c>
      <c r="N17" s="647">
        <v>0</v>
      </c>
      <c r="O17" s="647">
        <v>0</v>
      </c>
      <c r="P17" s="652" t="e">
        <f t="shared" si="1"/>
        <v>#N/A</v>
      </c>
      <c r="Q17" s="669" t="e">
        <f t="shared" si="2"/>
        <v>#N/A</v>
      </c>
      <c r="R17" s="674" t="e">
        <f t="shared" si="0"/>
        <v>#N/A</v>
      </c>
      <c r="S17" s="597"/>
      <c r="Z17" s="2237" t="s">
        <v>66</v>
      </c>
      <c r="AA17" s="2237"/>
      <c r="AB17" s="2237"/>
      <c r="AC17" s="2237"/>
    </row>
    <row r="18" spans="3:35" ht="17" thickBot="1">
      <c r="C18" s="2249"/>
      <c r="D18" s="645" t="s">
        <v>2</v>
      </c>
      <c r="E18" s="675">
        <v>10</v>
      </c>
      <c r="F18" s="648">
        <v>130</v>
      </c>
      <c r="G18" s="648">
        <v>4.2256026766702703E-2</v>
      </c>
      <c r="H18" s="648">
        <v>-1.0721577611069499</v>
      </c>
      <c r="I18" s="648">
        <v>11.7277401484754</v>
      </c>
      <c r="J18" s="648">
        <v>-44.365064274155102</v>
      </c>
      <c r="K18" s="648">
        <v>1.5459403029097001</v>
      </c>
      <c r="L18" s="648">
        <v>-23.082423178298701</v>
      </c>
      <c r="M18" s="648">
        <v>117.71233852748</v>
      </c>
      <c r="N18" s="648">
        <v>0</v>
      </c>
      <c r="O18" s="648">
        <v>0</v>
      </c>
      <c r="P18" s="653" t="e">
        <f t="shared" si="1"/>
        <v>#N/A</v>
      </c>
      <c r="Q18" s="670" t="e">
        <f t="shared" si="2"/>
        <v>#N/A</v>
      </c>
      <c r="R18" s="676" t="e">
        <f t="shared" si="0"/>
        <v>#N/A</v>
      </c>
      <c r="S18" s="599"/>
      <c r="Z18" s="42" t="s">
        <v>24</v>
      </c>
      <c r="AA18" s="44" t="s">
        <v>2</v>
      </c>
      <c r="AB18" s="44" t="s">
        <v>1</v>
      </c>
      <c r="AC18" s="45" t="s">
        <v>5</v>
      </c>
    </row>
    <row r="19" spans="3:35">
      <c r="C19" s="2247" t="s">
        <v>79</v>
      </c>
      <c r="D19" s="644" t="s">
        <v>5</v>
      </c>
      <c r="E19" s="673">
        <v>10</v>
      </c>
      <c r="F19" s="647">
        <v>130</v>
      </c>
      <c r="G19" s="647">
        <v>8.6463239483152105E-4</v>
      </c>
      <c r="H19" s="647">
        <v>4.0876221806978002E-4</v>
      </c>
      <c r="I19" s="647">
        <v>1.8554666795324899</v>
      </c>
      <c r="J19" s="647">
        <v>-14.2664404444909</v>
      </c>
      <c r="K19" s="647">
        <v>-3.8994317144130301E-3</v>
      </c>
      <c r="L19" s="647">
        <v>1.700422671601</v>
      </c>
      <c r="M19" s="647">
        <v>-10.6627747783962</v>
      </c>
      <c r="N19" s="647">
        <v>0</v>
      </c>
      <c r="O19" s="647">
        <v>0</v>
      </c>
      <c r="P19" s="652" t="e">
        <f t="shared" si="1"/>
        <v>#N/A</v>
      </c>
      <c r="Q19" s="669" t="e">
        <f t="shared" si="2"/>
        <v>#N/A</v>
      </c>
      <c r="R19" s="674" t="e">
        <f t="shared" si="0"/>
        <v>#N/A</v>
      </c>
      <c r="S19" s="599"/>
      <c r="Z19" s="46" t="s">
        <v>77</v>
      </c>
      <c r="AA19" s="56" t="e">
        <f>R32</f>
        <v>#N/A</v>
      </c>
      <c r="AB19" s="56" t="e">
        <f>R31</f>
        <v>#N/A</v>
      </c>
      <c r="AC19" s="57" t="e">
        <f>R30</f>
        <v>#N/A</v>
      </c>
    </row>
    <row r="20" spans="3:35">
      <c r="C20" s="2248"/>
      <c r="D20" s="644" t="s">
        <v>1</v>
      </c>
      <c r="E20" s="673">
        <v>10</v>
      </c>
      <c r="F20" s="647">
        <v>130</v>
      </c>
      <c r="G20" s="647">
        <v>4.9108934960113602E-4</v>
      </c>
      <c r="H20" s="647">
        <v>-2.7615515134596699E-2</v>
      </c>
      <c r="I20" s="647">
        <v>1.46316229474316</v>
      </c>
      <c r="J20" s="647">
        <v>-9.6742077005941791</v>
      </c>
      <c r="K20" s="647">
        <v>-9.3531447577602806E-3</v>
      </c>
      <c r="L20" s="647">
        <v>1.98967357914659</v>
      </c>
      <c r="M20" s="647">
        <v>-11.9883182166674</v>
      </c>
      <c r="N20" s="647">
        <v>0</v>
      </c>
      <c r="O20" s="647">
        <v>0</v>
      </c>
      <c r="P20" s="652" t="e">
        <f t="shared" si="1"/>
        <v>#N/A</v>
      </c>
      <c r="Q20" s="669" t="e">
        <f t="shared" si="2"/>
        <v>#N/A</v>
      </c>
      <c r="R20" s="674" t="e">
        <f t="shared" si="0"/>
        <v>#N/A</v>
      </c>
      <c r="S20" s="599"/>
      <c r="Z20" s="47" t="s">
        <v>80</v>
      </c>
      <c r="AA20" s="39" t="e">
        <f>R35</f>
        <v>#N/A</v>
      </c>
      <c r="AB20" s="39" t="e">
        <f>R34</f>
        <v>#N/A</v>
      </c>
      <c r="AC20" s="53" t="e">
        <f>R33</f>
        <v>#N/A</v>
      </c>
    </row>
    <row r="21" spans="3:35" ht="17" thickBot="1">
      <c r="C21" s="2249"/>
      <c r="D21" s="645" t="s">
        <v>2</v>
      </c>
      <c r="E21" s="673">
        <v>10</v>
      </c>
      <c r="F21" s="647">
        <v>130</v>
      </c>
      <c r="G21" s="647">
        <v>4.0534948958866599E-4</v>
      </c>
      <c r="H21" s="647">
        <v>-2.2232269376226198E-2</v>
      </c>
      <c r="I21" s="647">
        <v>1.19554442245394</v>
      </c>
      <c r="J21" s="647">
        <v>-7.9844121117660301</v>
      </c>
      <c r="K21" s="647">
        <v>-1.1618199117552099E-2</v>
      </c>
      <c r="L21" s="647">
        <v>2.4855734160848502</v>
      </c>
      <c r="M21" s="647">
        <v>-15.358852667087501</v>
      </c>
      <c r="N21" s="647">
        <v>0</v>
      </c>
      <c r="O21" s="647">
        <v>0</v>
      </c>
      <c r="P21" s="652" t="e">
        <f t="shared" si="1"/>
        <v>#N/A</v>
      </c>
      <c r="Q21" s="669" t="e">
        <f t="shared" si="2"/>
        <v>#N/A</v>
      </c>
      <c r="R21" s="674" t="e">
        <f t="shared" si="0"/>
        <v>#N/A</v>
      </c>
      <c r="S21" s="599"/>
      <c r="Z21" s="47" t="s">
        <v>81</v>
      </c>
      <c r="AA21" s="39" t="e">
        <f>R38</f>
        <v>#N/A</v>
      </c>
      <c r="AB21" s="39" t="e">
        <f>R37</f>
        <v>#N/A</v>
      </c>
      <c r="AC21" s="53" t="e">
        <f>R36</f>
        <v>#N/A</v>
      </c>
    </row>
    <row r="22" spans="3:35">
      <c r="C22" s="2247" t="s">
        <v>82</v>
      </c>
      <c r="D22" s="644" t="s">
        <v>5</v>
      </c>
      <c r="E22" s="683">
        <v>10</v>
      </c>
      <c r="F22" s="667">
        <v>130</v>
      </c>
      <c r="G22" s="667">
        <v>2.7773187856974498E-4</v>
      </c>
      <c r="H22" s="667">
        <v>-0.31658722504144099</v>
      </c>
      <c r="I22" s="667">
        <v>2.6409420996535302</v>
      </c>
      <c r="J22" s="667">
        <v>39.968826188995202</v>
      </c>
      <c r="K22" s="667">
        <v>3.4594568231489202E-2</v>
      </c>
      <c r="L22" s="667">
        <v>-7.8238451850384099</v>
      </c>
      <c r="M22" s="667">
        <v>118.32662249859099</v>
      </c>
      <c r="N22" s="667">
        <v>0</v>
      </c>
      <c r="O22" s="667">
        <v>0</v>
      </c>
      <c r="P22" s="654" t="e">
        <f t="shared" si="1"/>
        <v>#N/A</v>
      </c>
      <c r="Q22" s="671" t="e">
        <f t="shared" si="2"/>
        <v>#N/A</v>
      </c>
      <c r="R22" s="684" t="e">
        <f t="shared" si="0"/>
        <v>#N/A</v>
      </c>
      <c r="S22" s="599"/>
      <c r="Z22" s="47" t="s">
        <v>78</v>
      </c>
      <c r="AA22" s="39" t="e">
        <f>R41</f>
        <v>#N/A</v>
      </c>
      <c r="AB22" s="39" t="e">
        <f>R40</f>
        <v>#N/A</v>
      </c>
      <c r="AC22" s="53" t="e">
        <f>R39</f>
        <v>#N/A</v>
      </c>
    </row>
    <row r="23" spans="3:35">
      <c r="C23" s="2248"/>
      <c r="D23" s="644" t="s">
        <v>1</v>
      </c>
      <c r="E23" s="685">
        <v>10</v>
      </c>
      <c r="F23" s="668">
        <v>130</v>
      </c>
      <c r="G23" s="668">
        <v>-1.81844373971758E-3</v>
      </c>
      <c r="H23" s="668">
        <v>-1.7912047178079201E-2</v>
      </c>
      <c r="I23" s="668">
        <v>-3.84505693071937</v>
      </c>
      <c r="J23" s="668">
        <v>102.025730171644</v>
      </c>
      <c r="K23" s="668">
        <v>9.9923286041418299E-2</v>
      </c>
      <c r="L23" s="668">
        <v>-20.0236726136296</v>
      </c>
      <c r="M23" s="668">
        <v>369.241363749166</v>
      </c>
      <c r="N23" s="668">
        <v>0</v>
      </c>
      <c r="O23" s="668">
        <v>0</v>
      </c>
      <c r="P23" s="652" t="e">
        <f t="shared" si="1"/>
        <v>#N/A</v>
      </c>
      <c r="Q23" s="669" t="e">
        <f t="shared" si="2"/>
        <v>#N/A</v>
      </c>
      <c r="R23" s="686" t="e">
        <f t="shared" si="0"/>
        <v>#N/A</v>
      </c>
      <c r="S23" s="599"/>
      <c r="Z23" s="47" t="s">
        <v>79</v>
      </c>
      <c r="AA23" s="39" t="e">
        <f>R44</f>
        <v>#N/A</v>
      </c>
      <c r="AB23" s="39" t="e">
        <f>R43</f>
        <v>#N/A</v>
      </c>
      <c r="AC23" s="53" t="e">
        <f>R42</f>
        <v>#N/A</v>
      </c>
    </row>
    <row r="24" spans="3:35" ht="17" thickBot="1">
      <c r="C24" s="2249"/>
      <c r="D24" s="645" t="s">
        <v>2</v>
      </c>
      <c r="E24" s="687">
        <v>10</v>
      </c>
      <c r="F24" s="688">
        <v>130</v>
      </c>
      <c r="G24" s="688">
        <v>-6.31341129191502E-4</v>
      </c>
      <c r="H24" s="688">
        <v>4.9038290552656295E-4</v>
      </c>
      <c r="I24" s="688">
        <v>-1.48738602854524</v>
      </c>
      <c r="J24" s="688">
        <v>30.869344926982698</v>
      </c>
      <c r="K24" s="688">
        <v>4.5559668368141598E-2</v>
      </c>
      <c r="L24" s="688">
        <v>-9.1608277489949401</v>
      </c>
      <c r="M24" s="688">
        <v>153.054636373894</v>
      </c>
      <c r="N24" s="688">
        <v>0</v>
      </c>
      <c r="O24" s="688">
        <v>0</v>
      </c>
      <c r="P24" s="653" t="e">
        <f t="shared" si="1"/>
        <v>#N/A</v>
      </c>
      <c r="Q24" s="670" t="e">
        <f t="shared" si="2"/>
        <v>#N/A</v>
      </c>
      <c r="R24" s="689" t="e">
        <f t="shared" si="0"/>
        <v>#N/A</v>
      </c>
      <c r="S24" s="595"/>
      <c r="Z24" s="47" t="s">
        <v>82</v>
      </c>
      <c r="AA24" s="39" t="e">
        <f>R47</f>
        <v>#N/A</v>
      </c>
      <c r="AB24" s="39" t="e">
        <f>R46</f>
        <v>#N/A</v>
      </c>
      <c r="AC24" s="53" t="e">
        <f>R45</f>
        <v>#N/A</v>
      </c>
    </row>
    <row r="25" spans="3:35" ht="17" thickBot="1">
      <c r="C25" s="31" t="s">
        <v>71</v>
      </c>
      <c r="D25" s="29"/>
      <c r="E25" s="637"/>
      <c r="F25" s="638"/>
      <c r="G25" s="638"/>
      <c r="H25" s="638"/>
      <c r="I25" s="638"/>
      <c r="J25" s="638"/>
      <c r="K25" s="638"/>
      <c r="L25" s="638"/>
      <c r="M25" s="638"/>
      <c r="N25" s="638"/>
      <c r="O25" s="638"/>
      <c r="P25" s="640"/>
      <c r="Q25" s="638"/>
      <c r="R25" s="639">
        <v>0.104</v>
      </c>
      <c r="S25" s="597"/>
      <c r="Z25" s="48" t="s">
        <v>71</v>
      </c>
      <c r="AA25" s="54">
        <f>R48</f>
        <v>4.4999999999999997E-3</v>
      </c>
      <c r="AB25" s="54">
        <f>R48</f>
        <v>4.4999999999999997E-3</v>
      </c>
      <c r="AC25" s="55">
        <f>R48</f>
        <v>4.4999999999999997E-3</v>
      </c>
    </row>
    <row r="26" spans="3:35" ht="17" thickBot="1">
      <c r="S26" s="597"/>
    </row>
    <row r="27" spans="3:35" ht="17" thickBot="1">
      <c r="S27" s="597"/>
    </row>
    <row r="28" spans="3:35" ht="17" customHeight="1" thickBot="1">
      <c r="C28" s="2039" t="s">
        <v>28</v>
      </c>
      <c r="D28" s="2040"/>
      <c r="E28" s="2040"/>
      <c r="F28" s="2040"/>
      <c r="G28" s="2040"/>
      <c r="H28" s="2040"/>
      <c r="I28" s="2040"/>
      <c r="J28" s="2040"/>
      <c r="K28" s="2040"/>
      <c r="L28" s="2040"/>
      <c r="M28" s="2040"/>
      <c r="N28" s="2040"/>
      <c r="O28" s="2040"/>
      <c r="P28" s="2040"/>
      <c r="Q28" s="2040"/>
      <c r="R28" s="2041"/>
      <c r="S28" s="597"/>
    </row>
    <row r="29" spans="3:35" ht="52" thickBot="1">
      <c r="C29" s="421" t="s">
        <v>24</v>
      </c>
      <c r="D29" s="690" t="s">
        <v>229</v>
      </c>
      <c r="E29" s="642" t="s">
        <v>21</v>
      </c>
      <c r="F29" s="656" t="s">
        <v>20</v>
      </c>
      <c r="G29" s="656" t="s">
        <v>19</v>
      </c>
      <c r="H29" s="656" t="s">
        <v>18</v>
      </c>
      <c r="I29" s="656" t="s">
        <v>17</v>
      </c>
      <c r="J29" s="656" t="s">
        <v>16</v>
      </c>
      <c r="K29" s="656" t="s">
        <v>15</v>
      </c>
      <c r="L29" s="656" t="s">
        <v>14</v>
      </c>
      <c r="M29" s="656" t="s">
        <v>13</v>
      </c>
      <c r="N29" s="656" t="s">
        <v>12</v>
      </c>
      <c r="O29" s="656" t="s">
        <v>11</v>
      </c>
      <c r="P29" s="2229" t="s">
        <v>27</v>
      </c>
      <c r="Q29" s="2229"/>
      <c r="R29" s="657" t="s">
        <v>10</v>
      </c>
      <c r="S29" s="597"/>
      <c r="Y29" s="997" t="s">
        <v>3561</v>
      </c>
    </row>
    <row r="30" spans="3:35" ht="17" thickBot="1">
      <c r="C30" s="2247" t="s">
        <v>77</v>
      </c>
      <c r="D30" s="101" t="s">
        <v>5</v>
      </c>
      <c r="E30" s="633">
        <v>10</v>
      </c>
      <c r="F30" s="658">
        <v>110</v>
      </c>
      <c r="G30" s="658">
        <v>0</v>
      </c>
      <c r="H30" s="658">
        <v>0</v>
      </c>
      <c r="I30" s="658">
        <v>8.41860077002727</v>
      </c>
      <c r="J30" s="658">
        <v>0</v>
      </c>
      <c r="K30" s="658">
        <v>0</v>
      </c>
      <c r="L30" s="658">
        <v>0</v>
      </c>
      <c r="M30" s="658">
        <v>1000</v>
      </c>
      <c r="N30" s="658">
        <v>0</v>
      </c>
      <c r="O30" s="658">
        <v>0</v>
      </c>
      <c r="P30" s="654" t="e">
        <f t="shared" ref="P30:P47" si="3">$W$8</f>
        <v>#N/A</v>
      </c>
      <c r="Q30" s="634" t="e">
        <f t="shared" ref="Q30:Q47" si="4">IF(P30&lt;E30,E30,IF(P30&gt;F30,F30,P30))</f>
        <v>#N/A</v>
      </c>
      <c r="R30" s="659" t="e">
        <f t="shared" ref="R30:R47" si="5">IF((K30*Q30^2+L30*Q30+M30)=0,0,(G30*Q30^2+H30*Q30+I30+(J30/Q30))/(K30*Q30^2+L30*Q30+M30)*(1-N30))</f>
        <v>#N/A</v>
      </c>
      <c r="S30" s="597"/>
      <c r="Y30" s="2213" t="s">
        <v>69</v>
      </c>
      <c r="Z30" s="2214"/>
      <c r="AA30" s="998" t="s">
        <v>3562</v>
      </c>
      <c r="AB30" s="999" t="s">
        <v>3563</v>
      </c>
      <c r="AC30" s="999" t="s">
        <v>3564</v>
      </c>
      <c r="AF30" s="1000"/>
      <c r="AG30" s="1030"/>
      <c r="AH30" s="1031"/>
      <c r="AI30" s="1031"/>
    </row>
    <row r="31" spans="3:35">
      <c r="C31" s="2248"/>
      <c r="D31" s="101" t="s">
        <v>1</v>
      </c>
      <c r="E31" s="635">
        <v>10</v>
      </c>
      <c r="F31" s="647">
        <v>110</v>
      </c>
      <c r="G31" s="647">
        <v>0</v>
      </c>
      <c r="H31" s="647">
        <v>0</v>
      </c>
      <c r="I31" s="647">
        <v>1.7555000000000001</v>
      </c>
      <c r="J31" s="647">
        <v>0</v>
      </c>
      <c r="K31" s="647">
        <v>0</v>
      </c>
      <c r="L31" s="647">
        <v>0</v>
      </c>
      <c r="M31" s="647">
        <v>1000</v>
      </c>
      <c r="N31" s="647">
        <v>0</v>
      </c>
      <c r="O31" s="647">
        <v>0</v>
      </c>
      <c r="P31" s="652" t="e">
        <f t="shared" si="3"/>
        <v>#N/A</v>
      </c>
      <c r="Q31" s="629" t="e">
        <f t="shared" si="4"/>
        <v>#N/A</v>
      </c>
      <c r="R31" s="660" t="e">
        <f t="shared" si="5"/>
        <v>#N/A</v>
      </c>
      <c r="S31" s="597"/>
      <c r="Y31" s="1001" t="s">
        <v>3565</v>
      </c>
      <c r="Z31" s="1002" t="s">
        <v>3591</v>
      </c>
      <c r="AA31" s="1003"/>
      <c r="AB31" s="107" t="s">
        <v>64</v>
      </c>
      <c r="AC31" s="158" t="s">
        <v>3592</v>
      </c>
      <c r="AG31" s="177"/>
    </row>
    <row r="32" spans="3:35" ht="17" thickBot="1">
      <c r="C32" s="2249"/>
      <c r="D32" s="102" t="s">
        <v>2</v>
      </c>
      <c r="E32" s="636">
        <v>10</v>
      </c>
      <c r="F32" s="648">
        <v>110</v>
      </c>
      <c r="G32" s="648">
        <v>0</v>
      </c>
      <c r="H32" s="648">
        <v>0</v>
      </c>
      <c r="I32" s="648">
        <v>1.7555000000000001</v>
      </c>
      <c r="J32" s="648">
        <v>0</v>
      </c>
      <c r="K32" s="648">
        <v>0</v>
      </c>
      <c r="L32" s="648">
        <v>0</v>
      </c>
      <c r="M32" s="648">
        <v>1000</v>
      </c>
      <c r="N32" s="648">
        <v>0</v>
      </c>
      <c r="O32" s="648">
        <v>0</v>
      </c>
      <c r="P32" s="653" t="e">
        <f t="shared" si="3"/>
        <v>#N/A</v>
      </c>
      <c r="Q32" s="630" t="e">
        <f t="shared" si="4"/>
        <v>#N/A</v>
      </c>
      <c r="R32" s="661" t="e">
        <f t="shared" si="5"/>
        <v>#N/A</v>
      </c>
      <c r="S32" s="597"/>
      <c r="Y32" s="1004" t="s">
        <v>3567</v>
      </c>
      <c r="Z32" s="1032" t="s">
        <v>3593</v>
      </c>
      <c r="AA32" s="1003"/>
      <c r="AB32" s="107" t="s">
        <v>64</v>
      </c>
      <c r="AC32" s="1033" t="s">
        <v>3594</v>
      </c>
      <c r="AG32" s="177"/>
    </row>
    <row r="33" spans="3:35" ht="17" thickBot="1">
      <c r="C33" s="2247" t="s">
        <v>80</v>
      </c>
      <c r="D33" s="157" t="s">
        <v>5</v>
      </c>
      <c r="E33" s="641">
        <v>10</v>
      </c>
      <c r="F33" s="649">
        <v>110</v>
      </c>
      <c r="G33" s="649">
        <v>0</v>
      </c>
      <c r="H33" s="649">
        <v>0</v>
      </c>
      <c r="I33" s="649">
        <v>1.2E-2</v>
      </c>
      <c r="J33" s="649">
        <v>0</v>
      </c>
      <c r="K33" s="649">
        <v>0</v>
      </c>
      <c r="L33" s="649">
        <v>0</v>
      </c>
      <c r="M33" s="649">
        <v>1</v>
      </c>
      <c r="N33" s="649">
        <v>0</v>
      </c>
      <c r="O33" s="649">
        <v>0</v>
      </c>
      <c r="P33" s="654" t="e">
        <f t="shared" si="3"/>
        <v>#N/A</v>
      </c>
      <c r="Q33" s="634" t="e">
        <f t="shared" si="4"/>
        <v>#N/A</v>
      </c>
      <c r="R33" s="662" t="e">
        <f t="shared" si="5"/>
        <v>#N/A</v>
      </c>
      <c r="S33" s="597"/>
      <c r="Y33" s="1005" t="s">
        <v>3569</v>
      </c>
      <c r="Z33" s="646" t="s">
        <v>3595</v>
      </c>
      <c r="AA33" s="982" t="s">
        <v>44</v>
      </c>
      <c r="AB33" s="640" t="s">
        <v>151</v>
      </c>
      <c r="AC33" s="982" t="s">
        <v>45</v>
      </c>
      <c r="AG33" s="177"/>
    </row>
    <row r="34" spans="3:35" ht="17" thickBot="1">
      <c r="C34" s="2248"/>
      <c r="D34" s="98" t="s">
        <v>1</v>
      </c>
      <c r="E34" s="631">
        <v>10</v>
      </c>
      <c r="F34" s="650">
        <v>110</v>
      </c>
      <c r="G34" s="650">
        <v>0</v>
      </c>
      <c r="H34" s="650">
        <v>0</v>
      </c>
      <c r="I34" s="650">
        <v>1.2E-2</v>
      </c>
      <c r="J34" s="650">
        <v>0</v>
      </c>
      <c r="K34" s="650">
        <v>0</v>
      </c>
      <c r="L34" s="650">
        <v>0</v>
      </c>
      <c r="M34" s="650">
        <v>1</v>
      </c>
      <c r="N34" s="650">
        <v>0</v>
      </c>
      <c r="O34" s="650">
        <v>0</v>
      </c>
      <c r="P34" s="652" t="e">
        <f t="shared" si="3"/>
        <v>#N/A</v>
      </c>
      <c r="Q34" s="629" t="e">
        <f t="shared" si="4"/>
        <v>#N/A</v>
      </c>
      <c r="R34" s="663" t="e">
        <f t="shared" si="5"/>
        <v>#N/A</v>
      </c>
      <c r="S34" s="597"/>
      <c r="AG34" s="177"/>
    </row>
    <row r="35" spans="3:35" ht="17" thickBot="1">
      <c r="C35" s="2249"/>
      <c r="D35" s="97" t="s">
        <v>2</v>
      </c>
      <c r="E35" s="632">
        <v>10</v>
      </c>
      <c r="F35" s="651">
        <v>110</v>
      </c>
      <c r="G35" s="651">
        <v>0</v>
      </c>
      <c r="H35" s="651">
        <v>0</v>
      </c>
      <c r="I35" s="651">
        <v>1.2E-2</v>
      </c>
      <c r="J35" s="651">
        <v>0</v>
      </c>
      <c r="K35" s="651">
        <v>0</v>
      </c>
      <c r="L35" s="651">
        <v>0</v>
      </c>
      <c r="M35" s="651">
        <v>1</v>
      </c>
      <c r="N35" s="651">
        <v>0</v>
      </c>
      <c r="O35" s="651">
        <v>0</v>
      </c>
      <c r="P35" s="653" t="e">
        <f t="shared" si="3"/>
        <v>#N/A</v>
      </c>
      <c r="Q35" s="630" t="e">
        <f t="shared" si="4"/>
        <v>#N/A</v>
      </c>
      <c r="R35" s="664" t="e">
        <f t="shared" si="5"/>
        <v>#N/A</v>
      </c>
      <c r="S35" s="597"/>
      <c r="Y35" s="1006" t="s">
        <v>3571</v>
      </c>
      <c r="Z35" s="1007"/>
      <c r="AA35" s="999"/>
      <c r="AB35" s="1008"/>
      <c r="AC35" s="1009"/>
      <c r="AG35" s="177"/>
    </row>
    <row r="36" spans="3:35" ht="17">
      <c r="C36" s="2247" t="s">
        <v>81</v>
      </c>
      <c r="D36" s="101" t="s">
        <v>5</v>
      </c>
      <c r="E36" s="635">
        <v>10</v>
      </c>
      <c r="F36" s="647">
        <v>110</v>
      </c>
      <c r="G36" s="647">
        <v>0</v>
      </c>
      <c r="H36" s="647">
        <v>0</v>
      </c>
      <c r="I36" s="647">
        <v>8.41860077002727</v>
      </c>
      <c r="J36" s="647">
        <v>0</v>
      </c>
      <c r="K36" s="647">
        <v>0</v>
      </c>
      <c r="L36" s="647">
        <v>0</v>
      </c>
      <c r="M36" s="647">
        <v>1000</v>
      </c>
      <c r="N36" s="647">
        <v>0</v>
      </c>
      <c r="O36" s="647">
        <v>0</v>
      </c>
      <c r="P36" s="652" t="e">
        <f t="shared" si="3"/>
        <v>#N/A</v>
      </c>
      <c r="Q36" s="629" t="e">
        <f t="shared" si="4"/>
        <v>#N/A</v>
      </c>
      <c r="R36" s="660" t="e">
        <f t="shared" si="5"/>
        <v>#N/A</v>
      </c>
      <c r="S36" s="597"/>
      <c r="Y36" s="1010" t="s">
        <v>3565</v>
      </c>
      <c r="Z36" s="1011" t="s">
        <v>3572</v>
      </c>
      <c r="AA36" s="176"/>
      <c r="AB36" s="1012"/>
      <c r="AC36" s="158" t="s">
        <v>44</v>
      </c>
      <c r="AG36" s="177"/>
    </row>
    <row r="37" spans="3:35" ht="17">
      <c r="C37" s="2248"/>
      <c r="D37" s="101" t="s">
        <v>1</v>
      </c>
      <c r="E37" s="635">
        <v>10</v>
      </c>
      <c r="F37" s="647">
        <v>110</v>
      </c>
      <c r="G37" s="647">
        <v>0</v>
      </c>
      <c r="H37" s="647">
        <v>0</v>
      </c>
      <c r="I37" s="647">
        <v>1.7555000000000001</v>
      </c>
      <c r="J37" s="647">
        <v>0</v>
      </c>
      <c r="K37" s="647">
        <v>0</v>
      </c>
      <c r="L37" s="647">
        <v>0</v>
      </c>
      <c r="M37" s="647">
        <v>1000</v>
      </c>
      <c r="N37" s="647">
        <v>0</v>
      </c>
      <c r="O37" s="647">
        <v>0</v>
      </c>
      <c r="P37" s="652" t="e">
        <f t="shared" si="3"/>
        <v>#N/A</v>
      </c>
      <c r="Q37" s="629" t="e">
        <f t="shared" si="4"/>
        <v>#N/A</v>
      </c>
      <c r="R37" s="660" t="e">
        <f t="shared" si="5"/>
        <v>#N/A</v>
      </c>
      <c r="S37" s="597"/>
      <c r="Y37" s="1013" t="s">
        <v>3567</v>
      </c>
      <c r="Z37" s="176" t="s">
        <v>3573</v>
      </c>
      <c r="AA37" s="176"/>
      <c r="AB37" s="1014"/>
      <c r="AC37" s="1003" t="s">
        <v>44</v>
      </c>
      <c r="AG37" s="177"/>
    </row>
    <row r="38" spans="3:35" ht="18" thickBot="1">
      <c r="C38" s="2249"/>
      <c r="D38" s="102" t="s">
        <v>2</v>
      </c>
      <c r="E38" s="636">
        <v>10</v>
      </c>
      <c r="F38" s="648">
        <v>110</v>
      </c>
      <c r="G38" s="648">
        <v>0</v>
      </c>
      <c r="H38" s="648">
        <v>0</v>
      </c>
      <c r="I38" s="648">
        <v>1.7555000000000001</v>
      </c>
      <c r="J38" s="648">
        <v>0</v>
      </c>
      <c r="K38" s="648">
        <v>0</v>
      </c>
      <c r="L38" s="648">
        <v>0</v>
      </c>
      <c r="M38" s="648">
        <v>1000</v>
      </c>
      <c r="N38" s="648">
        <v>0</v>
      </c>
      <c r="O38" s="648">
        <v>0</v>
      </c>
      <c r="P38" s="653" t="e">
        <f t="shared" si="3"/>
        <v>#N/A</v>
      </c>
      <c r="Q38" s="630" t="e">
        <f t="shared" si="4"/>
        <v>#N/A</v>
      </c>
      <c r="R38" s="661" t="e">
        <f t="shared" si="5"/>
        <v>#N/A</v>
      </c>
      <c r="S38" s="597"/>
      <c r="Y38" s="1013" t="s">
        <v>3569</v>
      </c>
      <c r="Z38" s="176" t="s">
        <v>19</v>
      </c>
      <c r="AA38" s="176"/>
      <c r="AB38" s="1014"/>
      <c r="AC38" s="1003" t="s">
        <v>41</v>
      </c>
      <c r="AG38" s="177"/>
    </row>
    <row r="39" spans="3:35" ht="17">
      <c r="C39" s="2247" t="s">
        <v>78</v>
      </c>
      <c r="D39" s="98" t="s">
        <v>5</v>
      </c>
      <c r="E39" s="635">
        <v>10</v>
      </c>
      <c r="F39" s="647">
        <v>110</v>
      </c>
      <c r="G39" s="647">
        <v>0</v>
      </c>
      <c r="H39" s="647">
        <v>0</v>
      </c>
      <c r="I39" s="647">
        <v>5.0000000000000001E-3</v>
      </c>
      <c r="J39" s="647">
        <v>0</v>
      </c>
      <c r="K39" s="647">
        <v>0</v>
      </c>
      <c r="L39" s="647">
        <v>0</v>
      </c>
      <c r="M39" s="647">
        <v>1</v>
      </c>
      <c r="N39" s="647">
        <v>0</v>
      </c>
      <c r="O39" s="647">
        <v>0</v>
      </c>
      <c r="P39" s="652" t="e">
        <f t="shared" si="3"/>
        <v>#N/A</v>
      </c>
      <c r="Q39" s="629" t="e">
        <f t="shared" si="4"/>
        <v>#N/A</v>
      </c>
      <c r="R39" s="660" t="e">
        <f t="shared" si="5"/>
        <v>#N/A</v>
      </c>
      <c r="S39" s="597"/>
      <c r="Y39" s="1013" t="s">
        <v>3574</v>
      </c>
      <c r="Z39" s="176" t="s">
        <v>18</v>
      </c>
      <c r="AA39" s="176"/>
      <c r="AB39" s="1014"/>
      <c r="AC39" s="1003" t="s">
        <v>41</v>
      </c>
      <c r="AF39" s="1034"/>
      <c r="AG39" s="1035"/>
      <c r="AH39" s="1035"/>
      <c r="AI39" s="1035"/>
    </row>
    <row r="40" spans="3:35" ht="17">
      <c r="C40" s="2248"/>
      <c r="D40" s="98" t="s">
        <v>1</v>
      </c>
      <c r="E40" s="635">
        <v>10</v>
      </c>
      <c r="F40" s="647">
        <v>110</v>
      </c>
      <c r="G40" s="647">
        <v>0</v>
      </c>
      <c r="H40" s="647">
        <v>0</v>
      </c>
      <c r="I40" s="647">
        <v>5.0000000000000001E-3</v>
      </c>
      <c r="J40" s="647">
        <v>0</v>
      </c>
      <c r="K40" s="647">
        <v>0</v>
      </c>
      <c r="L40" s="647">
        <v>0</v>
      </c>
      <c r="M40" s="647">
        <v>1</v>
      </c>
      <c r="N40" s="647">
        <v>0</v>
      </c>
      <c r="O40" s="647">
        <v>0</v>
      </c>
      <c r="P40" s="652" t="e">
        <f t="shared" si="3"/>
        <v>#N/A</v>
      </c>
      <c r="Q40" s="629" t="e">
        <f t="shared" si="4"/>
        <v>#N/A</v>
      </c>
      <c r="R40" s="660" t="e">
        <f t="shared" si="5"/>
        <v>#N/A</v>
      </c>
      <c r="S40" s="597"/>
      <c r="Y40" s="1013" t="s">
        <v>3575</v>
      </c>
      <c r="Z40" s="176" t="s">
        <v>17</v>
      </c>
      <c r="AA40" s="176"/>
      <c r="AB40" s="1014"/>
      <c r="AC40" s="1003" t="s">
        <v>41</v>
      </c>
      <c r="AG40" s="177"/>
    </row>
    <row r="41" spans="3:35" ht="18" thickBot="1">
      <c r="C41" s="2249"/>
      <c r="D41" s="97" t="s">
        <v>2</v>
      </c>
      <c r="E41" s="636">
        <v>10</v>
      </c>
      <c r="F41" s="648">
        <v>110</v>
      </c>
      <c r="G41" s="648">
        <v>0</v>
      </c>
      <c r="H41" s="648">
        <v>0</v>
      </c>
      <c r="I41" s="648">
        <v>5.0000000000000001E-3</v>
      </c>
      <c r="J41" s="648">
        <v>0</v>
      </c>
      <c r="K41" s="648">
        <v>0</v>
      </c>
      <c r="L41" s="648">
        <v>0</v>
      </c>
      <c r="M41" s="648">
        <v>1</v>
      </c>
      <c r="N41" s="648">
        <v>0</v>
      </c>
      <c r="O41" s="648">
        <v>0</v>
      </c>
      <c r="P41" s="653" t="e">
        <f t="shared" si="3"/>
        <v>#N/A</v>
      </c>
      <c r="Q41" s="630" t="e">
        <f t="shared" si="4"/>
        <v>#N/A</v>
      </c>
      <c r="R41" s="661" t="e">
        <f t="shared" si="5"/>
        <v>#N/A</v>
      </c>
      <c r="S41" s="597"/>
      <c r="Y41" s="1013" t="s">
        <v>3576</v>
      </c>
      <c r="Z41" s="176" t="s">
        <v>16</v>
      </c>
      <c r="AA41" s="176"/>
      <c r="AB41" s="1014"/>
      <c r="AC41" s="1003" t="s">
        <v>41</v>
      </c>
      <c r="AG41" s="177"/>
    </row>
    <row r="42" spans="3:35" ht="17">
      <c r="C42" s="2247" t="s">
        <v>79</v>
      </c>
      <c r="D42" s="98" t="s">
        <v>5</v>
      </c>
      <c r="E42" s="635">
        <v>10</v>
      </c>
      <c r="F42" s="647">
        <v>110</v>
      </c>
      <c r="G42" s="647">
        <v>0</v>
      </c>
      <c r="H42" s="647">
        <v>0</v>
      </c>
      <c r="I42" s="647">
        <v>5.0000000000000001E-3</v>
      </c>
      <c r="J42" s="647">
        <v>0</v>
      </c>
      <c r="K42" s="647">
        <v>0</v>
      </c>
      <c r="L42" s="647">
        <v>0</v>
      </c>
      <c r="M42" s="647">
        <v>1</v>
      </c>
      <c r="N42" s="647">
        <v>0</v>
      </c>
      <c r="O42" s="647">
        <v>0</v>
      </c>
      <c r="P42" s="652" t="e">
        <f t="shared" si="3"/>
        <v>#N/A</v>
      </c>
      <c r="Q42" s="629" t="e">
        <f t="shared" si="4"/>
        <v>#N/A</v>
      </c>
      <c r="R42" s="660" t="e">
        <f t="shared" si="5"/>
        <v>#N/A</v>
      </c>
      <c r="S42" s="595"/>
      <c r="Y42" s="1013" t="s">
        <v>3577</v>
      </c>
      <c r="Z42" s="176" t="s">
        <v>15</v>
      </c>
      <c r="AA42" s="176"/>
      <c r="AB42" s="1014"/>
      <c r="AC42" s="1003" t="s">
        <v>41</v>
      </c>
      <c r="AG42" s="32"/>
    </row>
    <row r="43" spans="3:35" ht="17">
      <c r="C43" s="2248"/>
      <c r="D43" s="98" t="s">
        <v>1</v>
      </c>
      <c r="E43" s="635">
        <v>10</v>
      </c>
      <c r="F43" s="647">
        <v>110</v>
      </c>
      <c r="G43" s="647">
        <v>0</v>
      </c>
      <c r="H43" s="647">
        <v>0</v>
      </c>
      <c r="I43" s="647">
        <v>5.0000000000000001E-3</v>
      </c>
      <c r="J43" s="647">
        <v>0</v>
      </c>
      <c r="K43" s="647">
        <v>0</v>
      </c>
      <c r="L43" s="647">
        <v>0</v>
      </c>
      <c r="M43" s="647">
        <v>1</v>
      </c>
      <c r="N43" s="647">
        <v>0</v>
      </c>
      <c r="O43" s="647">
        <v>0</v>
      </c>
      <c r="P43" s="652" t="e">
        <f t="shared" si="3"/>
        <v>#N/A</v>
      </c>
      <c r="Q43" s="629" t="e">
        <f t="shared" si="4"/>
        <v>#N/A</v>
      </c>
      <c r="R43" s="660" t="e">
        <f t="shared" si="5"/>
        <v>#N/A</v>
      </c>
      <c r="S43" s="595"/>
      <c r="Y43" s="1013" t="s">
        <v>3578</v>
      </c>
      <c r="Z43" s="176" t="s">
        <v>14</v>
      </c>
      <c r="AA43" s="176"/>
      <c r="AB43" s="1014"/>
      <c r="AC43" s="1003" t="s">
        <v>41</v>
      </c>
    </row>
    <row r="44" spans="3:35" ht="18" thickBot="1">
      <c r="C44" s="2249"/>
      <c r="D44" s="97" t="s">
        <v>2</v>
      </c>
      <c r="E44" s="636">
        <v>10</v>
      </c>
      <c r="F44" s="648">
        <v>110</v>
      </c>
      <c r="G44" s="648">
        <v>0</v>
      </c>
      <c r="H44" s="648">
        <v>0</v>
      </c>
      <c r="I44" s="648">
        <v>5.0000000000000001E-3</v>
      </c>
      <c r="J44" s="648">
        <v>0</v>
      </c>
      <c r="K44" s="648">
        <v>0</v>
      </c>
      <c r="L44" s="648">
        <v>0</v>
      </c>
      <c r="M44" s="648">
        <v>1</v>
      </c>
      <c r="N44" s="648">
        <v>0</v>
      </c>
      <c r="O44" s="648">
        <v>0</v>
      </c>
      <c r="P44" s="653" t="e">
        <f t="shared" si="3"/>
        <v>#N/A</v>
      </c>
      <c r="Q44" s="630" t="e">
        <f t="shared" si="4"/>
        <v>#N/A</v>
      </c>
      <c r="R44" s="661" t="e">
        <f t="shared" si="5"/>
        <v>#N/A</v>
      </c>
      <c r="S44" s="595"/>
      <c r="Y44" s="1013" t="s">
        <v>3579</v>
      </c>
      <c r="Z44" s="176" t="s">
        <v>13</v>
      </c>
      <c r="AA44" s="176"/>
      <c r="AB44" s="1014"/>
      <c r="AC44" s="1003" t="s">
        <v>41</v>
      </c>
    </row>
    <row r="45" spans="3:35" ht="18" thickBot="1">
      <c r="C45" s="2247" t="s">
        <v>82</v>
      </c>
      <c r="D45" s="98" t="s">
        <v>5</v>
      </c>
      <c r="E45" s="635">
        <v>10</v>
      </c>
      <c r="F45" s="647">
        <v>110</v>
      </c>
      <c r="G45" s="647">
        <v>0</v>
      </c>
      <c r="H45" s="647">
        <v>0</v>
      </c>
      <c r="I45" s="647">
        <v>5.0000000000000001E-3</v>
      </c>
      <c r="J45" s="647">
        <v>0</v>
      </c>
      <c r="K45" s="647">
        <v>0</v>
      </c>
      <c r="L45" s="647">
        <v>0</v>
      </c>
      <c r="M45" s="647">
        <v>1</v>
      </c>
      <c r="N45" s="647">
        <v>0</v>
      </c>
      <c r="O45" s="647">
        <v>0</v>
      </c>
      <c r="P45" s="652" t="e">
        <f t="shared" si="3"/>
        <v>#N/A</v>
      </c>
      <c r="Q45" s="629" t="e">
        <f t="shared" si="4"/>
        <v>#N/A</v>
      </c>
      <c r="R45" s="660" t="e">
        <f t="shared" si="5"/>
        <v>#N/A</v>
      </c>
      <c r="S45" s="595"/>
      <c r="Y45" s="1018" t="s">
        <v>3580</v>
      </c>
      <c r="Z45" s="646" t="s">
        <v>3581</v>
      </c>
      <c r="AA45" s="646"/>
      <c r="AB45" s="1019"/>
      <c r="AC45" s="1020" t="s">
        <v>41</v>
      </c>
    </row>
    <row r="46" spans="3:35" ht="17" thickBot="1">
      <c r="C46" s="2248"/>
      <c r="D46" s="98" t="s">
        <v>1</v>
      </c>
      <c r="E46" s="635">
        <v>10</v>
      </c>
      <c r="F46" s="647">
        <v>110</v>
      </c>
      <c r="G46" s="647">
        <v>0</v>
      </c>
      <c r="H46" s="647">
        <v>0</v>
      </c>
      <c r="I46" s="647">
        <v>5.0000000000000001E-3</v>
      </c>
      <c r="J46" s="647">
        <v>0</v>
      </c>
      <c r="K46" s="647">
        <v>0</v>
      </c>
      <c r="L46" s="647">
        <v>0</v>
      </c>
      <c r="M46" s="647">
        <v>1</v>
      </c>
      <c r="N46" s="647">
        <v>0</v>
      </c>
      <c r="O46" s="647">
        <v>0</v>
      </c>
      <c r="P46" s="652" t="e">
        <f t="shared" si="3"/>
        <v>#N/A</v>
      </c>
      <c r="Q46" s="629" t="e">
        <f t="shared" si="4"/>
        <v>#N/A</v>
      </c>
      <c r="R46" s="660" t="e">
        <f t="shared" si="5"/>
        <v>#N/A</v>
      </c>
      <c r="S46" s="595"/>
      <c r="Y46" s="1021"/>
      <c r="AB46" s="175"/>
      <c r="AC46" s="1000"/>
      <c r="AD46" s="1000"/>
    </row>
    <row r="47" spans="3:35" ht="17" thickBot="1">
      <c r="C47" s="2249"/>
      <c r="D47" s="97" t="s">
        <v>2</v>
      </c>
      <c r="E47" s="636">
        <v>10</v>
      </c>
      <c r="F47" s="648">
        <v>110</v>
      </c>
      <c r="G47" s="648">
        <v>0</v>
      </c>
      <c r="H47" s="648">
        <v>0</v>
      </c>
      <c r="I47" s="648">
        <v>5.0000000000000001E-3</v>
      </c>
      <c r="J47" s="648">
        <v>0</v>
      </c>
      <c r="K47" s="648">
        <v>0</v>
      </c>
      <c r="L47" s="648">
        <v>0</v>
      </c>
      <c r="M47" s="648">
        <v>1</v>
      </c>
      <c r="N47" s="648">
        <v>0</v>
      </c>
      <c r="O47" s="648">
        <v>0</v>
      </c>
      <c r="P47" s="653" t="e">
        <f t="shared" si="3"/>
        <v>#N/A</v>
      </c>
      <c r="Q47" s="630" t="e">
        <f t="shared" si="4"/>
        <v>#N/A</v>
      </c>
      <c r="R47" s="661" t="e">
        <f t="shared" si="5"/>
        <v>#N/A</v>
      </c>
      <c r="S47" s="595"/>
      <c r="Y47" s="2215" t="s">
        <v>70</v>
      </c>
      <c r="Z47" s="2216"/>
      <c r="AA47" s="999"/>
      <c r="AB47" s="999"/>
      <c r="AC47" s="1009"/>
      <c r="AD47" s="1009"/>
      <c r="AE47" s="1009"/>
    </row>
    <row r="48" spans="3:35" ht="18" thickBot="1">
      <c r="C48" s="31" t="s">
        <v>71</v>
      </c>
      <c r="D48" s="75"/>
      <c r="E48" s="94"/>
      <c r="F48" s="646"/>
      <c r="G48" s="646"/>
      <c r="H48" s="646"/>
      <c r="I48" s="646"/>
      <c r="J48" s="646"/>
      <c r="K48" s="646"/>
      <c r="L48" s="646"/>
      <c r="M48" s="646"/>
      <c r="N48" s="646"/>
      <c r="O48" s="646"/>
      <c r="P48" s="22"/>
      <c r="Q48" s="640"/>
      <c r="R48" s="655">
        <v>4.4999999999999997E-3</v>
      </c>
      <c r="S48" s="597"/>
      <c r="Y48" s="1010" t="s">
        <v>3565</v>
      </c>
      <c r="Z48" s="1011" t="s">
        <v>3582</v>
      </c>
      <c r="AA48" s="1011"/>
      <c r="AB48" s="1011"/>
      <c r="AC48" s="691"/>
      <c r="AD48" s="691"/>
      <c r="AE48" s="1012"/>
    </row>
    <row r="49" spans="3:31">
      <c r="S49" s="592"/>
      <c r="Y49" s="1013"/>
      <c r="Z49" s="1022" t="s">
        <v>3583</v>
      </c>
      <c r="AA49" s="1023"/>
      <c r="AB49" s="2217" t="s">
        <v>27</v>
      </c>
      <c r="AC49" s="2218"/>
      <c r="AD49" s="156"/>
      <c r="AE49" s="1014"/>
    </row>
    <row r="50" spans="3:31">
      <c r="S50" s="592"/>
      <c r="Y50" s="1013"/>
      <c r="Z50" s="1025" t="s">
        <v>3584</v>
      </c>
      <c r="AA50" s="151"/>
      <c r="AB50" s="2219" t="s">
        <v>3585</v>
      </c>
      <c r="AC50" s="2220"/>
      <c r="AD50" s="176"/>
      <c r="AE50" s="1014"/>
    </row>
    <row r="51" spans="3:31">
      <c r="C51" s="592"/>
      <c r="D51" s="592"/>
      <c r="E51" s="592"/>
      <c r="F51" s="592"/>
      <c r="G51" s="592"/>
      <c r="H51" s="592"/>
      <c r="I51" s="592"/>
      <c r="J51" s="592"/>
      <c r="K51" s="592"/>
      <c r="L51" s="592"/>
      <c r="M51" s="592"/>
      <c r="N51" s="592"/>
      <c r="O51" s="592"/>
      <c r="P51" s="592"/>
      <c r="Q51" s="592"/>
      <c r="R51" s="592"/>
      <c r="S51" s="592"/>
      <c r="Y51" s="1013"/>
      <c r="Z51" s="1025" t="s">
        <v>3586</v>
      </c>
      <c r="AA51" s="151"/>
      <c r="AB51" s="2219" t="s">
        <v>3587</v>
      </c>
      <c r="AC51" s="2220"/>
      <c r="AD51" s="156"/>
      <c r="AE51" s="1014"/>
    </row>
    <row r="52" spans="3:31">
      <c r="C52" s="592"/>
      <c r="D52" s="592"/>
      <c r="E52" s="592"/>
      <c r="F52" s="592"/>
      <c r="G52" s="592"/>
      <c r="H52" s="592"/>
      <c r="I52" s="592"/>
      <c r="J52" s="592"/>
      <c r="K52" s="592"/>
      <c r="L52" s="592"/>
      <c r="M52" s="592"/>
      <c r="N52" s="592"/>
      <c r="O52" s="592"/>
      <c r="P52" s="592"/>
      <c r="Q52" s="592"/>
      <c r="R52" s="592"/>
      <c r="S52" s="592"/>
      <c r="Y52" s="1026"/>
      <c r="Z52" s="1027" t="s">
        <v>3588</v>
      </c>
      <c r="AA52" s="1028"/>
      <c r="AB52" s="2210" t="s">
        <v>3589</v>
      </c>
      <c r="AC52" s="2211"/>
      <c r="AD52" s="176"/>
      <c r="AE52" s="1014"/>
    </row>
    <row r="53" spans="3:31">
      <c r="C53" s="592"/>
      <c r="D53" s="592"/>
      <c r="E53" s="592"/>
      <c r="F53" s="592"/>
      <c r="G53" s="592"/>
      <c r="H53" s="592"/>
      <c r="I53" s="592"/>
      <c r="J53" s="592"/>
      <c r="K53" s="592"/>
      <c r="L53" s="592"/>
      <c r="M53" s="592"/>
      <c r="N53" s="592"/>
      <c r="O53" s="592"/>
      <c r="P53" s="592"/>
      <c r="Q53" s="592"/>
      <c r="R53" s="592"/>
      <c r="S53" s="592"/>
      <c r="Y53" s="1029"/>
      <c r="Z53" s="176"/>
      <c r="AA53" s="176"/>
      <c r="AB53" s="176"/>
      <c r="AC53" s="176"/>
      <c r="AD53" s="176"/>
      <c r="AE53" s="1014"/>
    </row>
    <row r="54" spans="3:31">
      <c r="C54" s="592"/>
      <c r="D54" s="592"/>
      <c r="E54" s="592"/>
      <c r="F54" s="592"/>
      <c r="G54" s="592"/>
      <c r="H54" s="592"/>
      <c r="I54" s="592"/>
      <c r="J54" s="592"/>
      <c r="K54" s="592"/>
      <c r="L54" s="592"/>
      <c r="M54" s="592"/>
      <c r="N54" s="592"/>
      <c r="O54" s="592"/>
      <c r="P54" s="592"/>
      <c r="Q54" s="592"/>
      <c r="R54" s="592"/>
      <c r="S54" s="592"/>
      <c r="Y54" s="1004" t="s">
        <v>3567</v>
      </c>
      <c r="Z54" s="176" t="s">
        <v>3590</v>
      </c>
      <c r="AA54" s="176"/>
      <c r="AB54" s="176"/>
      <c r="AC54" s="176"/>
      <c r="AD54" s="176"/>
      <c r="AE54" s="1014"/>
    </row>
    <row r="55" spans="3:31">
      <c r="C55" s="605"/>
      <c r="D55" s="605"/>
      <c r="E55" s="605"/>
      <c r="F55" s="603"/>
      <c r="G55" s="603"/>
      <c r="H55" s="603"/>
      <c r="I55" s="603"/>
      <c r="J55" s="603"/>
      <c r="K55" s="603"/>
      <c r="L55" s="603"/>
      <c r="M55" s="603"/>
      <c r="N55" s="603"/>
      <c r="O55" s="603"/>
      <c r="P55" s="603"/>
      <c r="Q55" s="603"/>
      <c r="R55" s="603"/>
      <c r="S55" s="603"/>
      <c r="Y55" s="1029"/>
      <c r="Z55" s="176"/>
      <c r="AA55" s="176"/>
      <c r="AB55" s="176"/>
      <c r="AC55" s="176"/>
      <c r="AD55" s="176"/>
      <c r="AE55" s="1014"/>
    </row>
    <row r="56" spans="3:31">
      <c r="C56" s="605"/>
      <c r="D56" s="605"/>
      <c r="E56" s="605"/>
      <c r="F56" s="590"/>
      <c r="G56" s="590"/>
      <c r="H56" s="590"/>
      <c r="I56" s="590"/>
      <c r="J56" s="590"/>
      <c r="K56" s="590"/>
      <c r="L56" s="590"/>
      <c r="M56" s="590"/>
      <c r="N56" s="590"/>
      <c r="O56" s="590"/>
      <c r="P56" s="590"/>
      <c r="Q56" s="606"/>
      <c r="R56" s="606"/>
      <c r="S56" s="591"/>
      <c r="Y56" s="1029"/>
      <c r="Z56" s="176"/>
      <c r="AA56" s="176"/>
      <c r="AB56" s="176"/>
      <c r="AC56" s="176"/>
      <c r="AD56" s="176"/>
      <c r="AE56" s="1014"/>
    </row>
    <row r="57" spans="3:31">
      <c r="C57" s="604"/>
      <c r="D57" s="592"/>
      <c r="E57" s="592"/>
      <c r="F57" s="593"/>
      <c r="G57" s="593"/>
      <c r="H57" s="593"/>
      <c r="I57" s="593"/>
      <c r="J57" s="593"/>
      <c r="K57" s="593"/>
      <c r="L57" s="593"/>
      <c r="M57" s="593"/>
      <c r="N57" s="593"/>
      <c r="O57" s="593"/>
      <c r="P57" s="593"/>
      <c r="Q57" s="8"/>
      <c r="R57" s="594"/>
      <c r="S57" s="594"/>
      <c r="Y57" s="1029"/>
      <c r="Z57" s="176"/>
      <c r="AA57" s="176"/>
      <c r="AB57" s="176"/>
      <c r="AC57" s="176"/>
      <c r="AD57" s="176"/>
      <c r="AE57" s="1014"/>
    </row>
    <row r="58" spans="3:31" ht="17" thickBot="1">
      <c r="C58" s="604"/>
      <c r="D58" s="592"/>
      <c r="E58" s="592"/>
      <c r="F58" s="99"/>
      <c r="G58" s="99"/>
      <c r="H58" s="99"/>
      <c r="I58" s="99"/>
      <c r="J58" s="99"/>
      <c r="K58" s="99"/>
      <c r="L58" s="99"/>
      <c r="M58" s="99"/>
      <c r="N58" s="99"/>
      <c r="O58" s="99"/>
      <c r="P58" s="99"/>
      <c r="Q58" s="8"/>
      <c r="R58" s="99"/>
      <c r="S58" s="99"/>
      <c r="Y58" s="94"/>
      <c r="Z58" s="646"/>
      <c r="AA58" s="646"/>
      <c r="AB58" s="646"/>
      <c r="AC58" s="646"/>
      <c r="AD58" s="646"/>
      <c r="AE58" s="1019"/>
    </row>
    <row r="59" spans="3:31">
      <c r="C59" s="604"/>
      <c r="D59" s="592"/>
      <c r="E59" s="592"/>
      <c r="F59" s="99"/>
      <c r="G59" s="99"/>
      <c r="H59" s="99"/>
      <c r="I59" s="99"/>
      <c r="J59" s="99"/>
      <c r="K59" s="99"/>
      <c r="L59" s="99"/>
      <c r="M59" s="99"/>
      <c r="N59" s="99"/>
      <c r="O59" s="99"/>
      <c r="P59" s="99"/>
      <c r="Q59" s="8"/>
      <c r="R59" s="99"/>
      <c r="S59" s="99"/>
    </row>
    <row r="60" spans="3:31">
      <c r="C60" s="604"/>
      <c r="D60" s="592"/>
      <c r="E60" s="592"/>
      <c r="F60" s="99"/>
      <c r="G60" s="99"/>
      <c r="H60" s="99"/>
      <c r="I60" s="99"/>
      <c r="J60" s="99"/>
      <c r="K60" s="99"/>
      <c r="L60" s="99"/>
      <c r="M60" s="99"/>
      <c r="N60" s="99"/>
      <c r="O60" s="99"/>
      <c r="P60" s="99"/>
      <c r="Q60" s="8"/>
      <c r="R60" s="99"/>
      <c r="S60" s="99"/>
    </row>
    <row r="61" spans="3:31">
      <c r="C61" s="604"/>
      <c r="D61" s="592"/>
      <c r="E61" s="592"/>
      <c r="F61" s="99"/>
      <c r="G61" s="99"/>
      <c r="H61" s="99"/>
      <c r="I61" s="99"/>
      <c r="J61" s="99"/>
      <c r="K61" s="99"/>
      <c r="L61" s="99"/>
      <c r="M61" s="99"/>
      <c r="N61" s="99"/>
      <c r="O61" s="99"/>
      <c r="P61" s="99"/>
      <c r="Q61" s="8"/>
      <c r="R61" s="99"/>
      <c r="S61" s="99"/>
    </row>
    <row r="62" spans="3:31">
      <c r="C62" s="604"/>
      <c r="D62" s="592"/>
      <c r="E62" s="592"/>
      <c r="F62" s="99"/>
      <c r="G62" s="99"/>
      <c r="H62" s="99"/>
      <c r="I62" s="99"/>
      <c r="J62" s="99"/>
      <c r="K62" s="99"/>
      <c r="L62" s="99"/>
      <c r="M62" s="99"/>
      <c r="N62" s="99"/>
      <c r="O62" s="99"/>
      <c r="P62" s="99"/>
      <c r="Q62" s="8"/>
      <c r="R62" s="99"/>
      <c r="S62" s="99"/>
    </row>
    <row r="63" spans="3:31">
      <c r="C63" s="604"/>
      <c r="D63" s="592"/>
      <c r="E63" s="592"/>
      <c r="F63" s="99"/>
      <c r="G63" s="99"/>
      <c r="H63" s="99"/>
      <c r="I63" s="99"/>
      <c r="J63" s="99"/>
      <c r="K63" s="99"/>
      <c r="L63" s="99"/>
      <c r="M63" s="99"/>
      <c r="N63" s="99"/>
      <c r="O63" s="99"/>
      <c r="P63" s="99"/>
      <c r="Q63" s="8"/>
      <c r="R63" s="99"/>
      <c r="S63" s="99"/>
    </row>
    <row r="64" spans="3:31">
      <c r="C64" s="604"/>
      <c r="D64" s="592"/>
      <c r="E64" s="592"/>
      <c r="F64" s="99"/>
      <c r="G64" s="99"/>
      <c r="H64" s="99"/>
      <c r="I64" s="99"/>
      <c r="J64" s="99"/>
      <c r="K64" s="99"/>
      <c r="L64" s="99"/>
      <c r="M64" s="99"/>
      <c r="N64" s="99"/>
      <c r="O64" s="99"/>
      <c r="P64" s="99"/>
      <c r="Q64" s="8"/>
      <c r="R64" s="99"/>
      <c r="S64" s="99"/>
    </row>
    <row r="65" spans="3:19">
      <c r="C65" s="604"/>
      <c r="D65" s="592"/>
      <c r="E65" s="592"/>
      <c r="F65" s="99"/>
      <c r="G65" s="99"/>
      <c r="H65" s="99"/>
      <c r="I65" s="99"/>
      <c r="J65" s="99"/>
      <c r="K65" s="99"/>
      <c r="L65" s="99"/>
      <c r="M65" s="99"/>
      <c r="N65" s="99"/>
      <c r="O65" s="99"/>
      <c r="P65" s="99"/>
      <c r="Q65" s="8"/>
      <c r="R65" s="99"/>
      <c r="S65" s="99"/>
    </row>
    <row r="66" spans="3:19">
      <c r="C66" s="604"/>
      <c r="D66" s="598"/>
      <c r="E66" s="592"/>
      <c r="F66" s="99"/>
      <c r="G66" s="99"/>
      <c r="H66" s="99"/>
      <c r="I66" s="99"/>
      <c r="J66" s="99"/>
      <c r="K66" s="99"/>
      <c r="L66" s="99"/>
      <c r="M66" s="99"/>
      <c r="N66" s="99"/>
      <c r="O66" s="99"/>
      <c r="P66" s="99"/>
      <c r="Q66" s="8"/>
      <c r="R66" s="99"/>
      <c r="S66" s="99"/>
    </row>
    <row r="67" spans="3:19">
      <c r="C67" s="604"/>
      <c r="D67" s="598"/>
      <c r="E67" s="592"/>
      <c r="F67" s="99"/>
      <c r="G67" s="99"/>
      <c r="H67" s="99"/>
      <c r="I67" s="99"/>
      <c r="J67" s="99"/>
      <c r="K67" s="99"/>
      <c r="L67" s="99"/>
      <c r="M67" s="99"/>
      <c r="N67" s="99"/>
      <c r="O67" s="99"/>
      <c r="P67" s="99"/>
      <c r="Q67" s="8"/>
      <c r="R67" s="99"/>
      <c r="S67" s="99"/>
    </row>
    <row r="68" spans="3:19">
      <c r="C68" s="604"/>
      <c r="D68" s="592"/>
      <c r="E68" s="592"/>
      <c r="F68" s="103"/>
      <c r="G68" s="103"/>
      <c r="H68" s="103"/>
      <c r="I68" s="103"/>
      <c r="J68" s="103"/>
      <c r="K68" s="103"/>
      <c r="L68" s="103"/>
      <c r="M68" s="103"/>
      <c r="N68" s="103"/>
      <c r="O68" s="103"/>
      <c r="P68" s="103"/>
      <c r="Q68" s="8"/>
      <c r="R68" s="99"/>
      <c r="S68" s="103"/>
    </row>
    <row r="69" spans="3:19">
      <c r="C69" s="604"/>
      <c r="D69" s="592"/>
      <c r="E69" s="592"/>
      <c r="F69" s="103"/>
      <c r="G69" s="103"/>
      <c r="H69" s="103"/>
      <c r="I69" s="103"/>
      <c r="J69" s="103"/>
      <c r="K69" s="103"/>
      <c r="L69" s="103"/>
      <c r="M69" s="103"/>
      <c r="N69" s="103"/>
      <c r="O69" s="103"/>
      <c r="P69" s="103"/>
      <c r="Q69" s="8"/>
      <c r="R69" s="99"/>
      <c r="S69" s="103"/>
    </row>
    <row r="70" spans="3:19">
      <c r="C70" s="604"/>
      <c r="D70" s="592"/>
      <c r="E70" s="592"/>
      <c r="F70" s="103"/>
      <c r="G70" s="103"/>
      <c r="H70" s="103"/>
      <c r="I70" s="103"/>
      <c r="J70" s="103"/>
      <c r="K70" s="103"/>
      <c r="L70" s="103"/>
      <c r="M70" s="103"/>
      <c r="N70" s="103"/>
      <c r="O70" s="103"/>
      <c r="P70" s="103"/>
      <c r="Q70" s="8"/>
      <c r="R70" s="99"/>
      <c r="S70" s="103"/>
    </row>
    <row r="71" spans="3:19">
      <c r="C71" s="604"/>
      <c r="D71" s="600"/>
      <c r="E71" s="592"/>
      <c r="F71" s="103"/>
      <c r="G71" s="103"/>
      <c r="H71" s="103"/>
      <c r="I71" s="103"/>
      <c r="J71" s="103"/>
      <c r="K71" s="103"/>
      <c r="L71" s="103"/>
      <c r="M71" s="103"/>
      <c r="N71" s="103"/>
      <c r="O71" s="103"/>
      <c r="P71" s="103"/>
      <c r="Q71" s="8"/>
      <c r="R71" s="99"/>
      <c r="S71" s="103"/>
    </row>
    <row r="72" spans="3:19">
      <c r="C72" s="604"/>
      <c r="D72" s="600"/>
      <c r="E72" s="592"/>
      <c r="F72" s="103"/>
      <c r="G72" s="103"/>
      <c r="H72" s="103"/>
      <c r="I72" s="103"/>
      <c r="J72" s="103"/>
      <c r="K72" s="103"/>
      <c r="L72" s="103"/>
      <c r="M72" s="103"/>
      <c r="N72" s="103"/>
      <c r="O72" s="103"/>
      <c r="P72" s="103"/>
      <c r="Q72" s="8"/>
      <c r="R72" s="99"/>
      <c r="S72" s="103"/>
    </row>
    <row r="73" spans="3:19">
      <c r="C73" s="604"/>
      <c r="D73" s="600"/>
      <c r="E73" s="592"/>
      <c r="F73" s="103"/>
      <c r="G73" s="103"/>
      <c r="H73" s="103"/>
      <c r="I73" s="103"/>
      <c r="J73" s="103"/>
      <c r="K73" s="103"/>
      <c r="L73" s="103"/>
      <c r="M73" s="103"/>
      <c r="N73" s="103"/>
      <c r="O73" s="103"/>
      <c r="P73" s="103"/>
      <c r="Q73" s="8"/>
      <c r="R73" s="99"/>
      <c r="S73" s="103"/>
    </row>
    <row r="74" spans="3:19">
      <c r="C74" s="604"/>
      <c r="D74" s="592"/>
      <c r="E74" s="592"/>
      <c r="F74" s="593"/>
      <c r="G74" s="593"/>
      <c r="H74" s="593"/>
      <c r="I74" s="593"/>
      <c r="J74" s="593"/>
      <c r="K74" s="593"/>
      <c r="L74" s="593"/>
      <c r="M74" s="593"/>
      <c r="N74" s="593"/>
      <c r="O74" s="593"/>
      <c r="P74" s="593"/>
      <c r="Q74" s="8"/>
      <c r="R74" s="99"/>
      <c r="S74" s="594"/>
    </row>
    <row r="75" spans="3:19">
      <c r="C75" s="604"/>
      <c r="D75" s="592"/>
      <c r="E75" s="592"/>
      <c r="F75" s="99"/>
      <c r="G75" s="99"/>
      <c r="H75" s="99"/>
      <c r="I75" s="99"/>
      <c r="J75" s="99"/>
      <c r="K75" s="99"/>
      <c r="L75" s="99"/>
      <c r="M75" s="99"/>
      <c r="N75" s="99"/>
      <c r="O75" s="99"/>
      <c r="P75" s="99"/>
      <c r="Q75" s="8"/>
      <c r="R75" s="99"/>
      <c r="S75" s="99"/>
    </row>
    <row r="76" spans="3:19">
      <c r="C76" s="604"/>
      <c r="D76" s="592"/>
      <c r="E76" s="592"/>
      <c r="F76" s="99"/>
      <c r="G76" s="99"/>
      <c r="H76" s="99"/>
      <c r="I76" s="99"/>
      <c r="J76" s="99"/>
      <c r="K76" s="99"/>
      <c r="L76" s="99"/>
      <c r="M76" s="99"/>
      <c r="N76" s="99"/>
      <c r="O76" s="99"/>
      <c r="P76" s="99"/>
      <c r="Q76" s="8"/>
      <c r="R76" s="99"/>
      <c r="S76" s="99"/>
    </row>
    <row r="77" spans="3:19">
      <c r="C77" s="604"/>
      <c r="D77" s="592"/>
      <c r="E77" s="592"/>
      <c r="F77" s="99"/>
      <c r="G77" s="99"/>
      <c r="H77" s="99"/>
      <c r="I77" s="99"/>
      <c r="J77" s="99"/>
      <c r="K77" s="99"/>
      <c r="L77" s="99"/>
      <c r="M77" s="99"/>
      <c r="N77" s="99"/>
      <c r="O77" s="99"/>
      <c r="P77" s="99"/>
      <c r="Q77" s="8"/>
      <c r="R77" s="99"/>
      <c r="S77" s="99"/>
    </row>
    <row r="78" spans="3:19">
      <c r="C78" s="604"/>
      <c r="D78" s="592"/>
      <c r="E78" s="592"/>
      <c r="F78" s="99"/>
      <c r="G78" s="99"/>
      <c r="H78" s="99"/>
      <c r="I78" s="99"/>
      <c r="J78" s="99"/>
      <c r="K78" s="99"/>
      <c r="L78" s="99"/>
      <c r="M78" s="99"/>
      <c r="N78" s="99"/>
      <c r="O78" s="99"/>
      <c r="P78" s="99"/>
      <c r="Q78" s="8"/>
      <c r="R78" s="99"/>
      <c r="S78" s="99"/>
    </row>
    <row r="79" spans="3:19">
      <c r="C79" s="604"/>
      <c r="D79" s="592"/>
      <c r="E79" s="592"/>
      <c r="F79" s="99"/>
      <c r="G79" s="99"/>
      <c r="H79" s="99"/>
      <c r="I79" s="99"/>
      <c r="J79" s="99"/>
      <c r="K79" s="99"/>
      <c r="L79" s="99"/>
      <c r="M79" s="99"/>
      <c r="N79" s="99"/>
      <c r="O79" s="99"/>
      <c r="P79" s="99"/>
      <c r="Q79" s="8"/>
      <c r="R79" s="99"/>
      <c r="S79" s="99"/>
    </row>
    <row r="80" spans="3:19">
      <c r="C80" s="604"/>
      <c r="D80" s="592"/>
      <c r="E80" s="592"/>
      <c r="F80" s="99"/>
      <c r="G80" s="99"/>
      <c r="H80" s="99"/>
      <c r="I80" s="99"/>
      <c r="J80" s="99"/>
      <c r="K80" s="99"/>
      <c r="L80" s="99"/>
      <c r="M80" s="99"/>
      <c r="N80" s="99"/>
      <c r="O80" s="99"/>
      <c r="P80" s="99"/>
      <c r="Q80" s="8"/>
      <c r="R80" s="99"/>
      <c r="S80" s="99"/>
    </row>
    <row r="81" spans="3:19">
      <c r="C81" s="604"/>
      <c r="D81" s="592"/>
      <c r="E81" s="592"/>
      <c r="F81" s="99"/>
      <c r="G81" s="99"/>
      <c r="H81" s="99"/>
      <c r="I81" s="99"/>
      <c r="J81" s="99"/>
      <c r="K81" s="99"/>
      <c r="L81" s="99"/>
      <c r="M81" s="99"/>
      <c r="N81" s="99"/>
      <c r="O81" s="99"/>
      <c r="P81" s="99"/>
      <c r="Q81" s="8"/>
      <c r="R81" s="99"/>
      <c r="S81" s="99"/>
    </row>
    <row r="82" spans="3:19">
      <c r="C82" s="604"/>
      <c r="D82" s="592"/>
      <c r="E82" s="592"/>
      <c r="F82" s="99"/>
      <c r="G82" s="99"/>
      <c r="H82" s="99"/>
      <c r="I82" s="99"/>
      <c r="J82" s="99"/>
      <c r="K82" s="99"/>
      <c r="L82" s="99"/>
      <c r="M82" s="99"/>
      <c r="N82" s="99"/>
      <c r="O82" s="99"/>
      <c r="P82" s="99"/>
      <c r="Q82" s="8"/>
      <c r="R82" s="99"/>
      <c r="S82" s="99"/>
    </row>
    <row r="83" spans="3:19">
      <c r="C83" s="604"/>
      <c r="D83" s="598"/>
      <c r="E83" s="592"/>
      <c r="F83" s="99"/>
      <c r="G83" s="99"/>
      <c r="H83" s="99"/>
      <c r="I83" s="99"/>
      <c r="J83" s="99"/>
      <c r="K83" s="99"/>
      <c r="L83" s="99"/>
      <c r="M83" s="99"/>
      <c r="N83" s="99"/>
      <c r="O83" s="99"/>
      <c r="P83" s="99"/>
      <c r="Q83" s="8"/>
      <c r="R83" s="99"/>
      <c r="S83" s="99"/>
    </row>
    <row r="84" spans="3:19">
      <c r="C84" s="604"/>
      <c r="D84" s="598"/>
      <c r="E84" s="592"/>
      <c r="F84" s="99"/>
      <c r="G84" s="99"/>
      <c r="H84" s="99"/>
      <c r="I84" s="99"/>
      <c r="J84" s="99"/>
      <c r="K84" s="99"/>
      <c r="L84" s="99"/>
      <c r="M84" s="99"/>
      <c r="N84" s="99"/>
      <c r="O84" s="99"/>
      <c r="P84" s="99"/>
      <c r="Q84" s="8"/>
      <c r="R84" s="99"/>
      <c r="S84" s="99"/>
    </row>
    <row r="85" spans="3:19">
      <c r="C85" s="604"/>
      <c r="D85" s="592"/>
      <c r="E85" s="592"/>
      <c r="F85" s="99"/>
      <c r="G85" s="99"/>
      <c r="H85" s="99"/>
      <c r="I85" s="99"/>
      <c r="J85" s="99"/>
      <c r="K85" s="99"/>
      <c r="L85" s="99"/>
      <c r="M85" s="99"/>
      <c r="N85" s="99"/>
      <c r="O85" s="99"/>
      <c r="P85" s="99"/>
      <c r="Q85" s="8"/>
      <c r="R85" s="99"/>
      <c r="S85" s="99"/>
    </row>
    <row r="86" spans="3:19">
      <c r="C86" s="604"/>
      <c r="D86" s="592"/>
      <c r="E86" s="592"/>
      <c r="F86" s="99"/>
      <c r="G86" s="99"/>
      <c r="H86" s="99"/>
      <c r="I86" s="99"/>
      <c r="J86" s="99"/>
      <c r="K86" s="99"/>
      <c r="L86" s="99"/>
      <c r="M86" s="99"/>
      <c r="N86" s="99"/>
      <c r="O86" s="99"/>
      <c r="P86" s="99"/>
      <c r="Q86" s="8"/>
      <c r="R86" s="99"/>
      <c r="S86" s="99"/>
    </row>
    <row r="87" spans="3:19">
      <c r="C87" s="604"/>
      <c r="D87" s="592"/>
      <c r="E87" s="592"/>
      <c r="F87" s="99"/>
      <c r="G87" s="99"/>
      <c r="H87" s="99"/>
      <c r="I87" s="99"/>
      <c r="J87" s="99"/>
      <c r="K87" s="99"/>
      <c r="L87" s="99"/>
      <c r="M87" s="99"/>
      <c r="N87" s="99"/>
      <c r="O87" s="99"/>
      <c r="P87" s="99"/>
      <c r="Q87" s="8"/>
      <c r="R87" s="99"/>
      <c r="S87" s="99"/>
    </row>
    <row r="88" spans="3:19">
      <c r="C88" s="604"/>
      <c r="D88" s="600"/>
      <c r="E88" s="592"/>
      <c r="F88" s="99"/>
      <c r="G88" s="99"/>
      <c r="H88" s="99"/>
      <c r="I88" s="99"/>
      <c r="J88" s="99"/>
      <c r="K88" s="99"/>
      <c r="L88" s="99"/>
      <c r="M88" s="99"/>
      <c r="N88" s="99"/>
      <c r="O88" s="99"/>
      <c r="P88" s="99"/>
      <c r="Q88" s="8"/>
      <c r="R88" s="99"/>
      <c r="S88" s="99"/>
    </row>
    <row r="89" spans="3:19">
      <c r="C89" s="604"/>
    </row>
    <row r="90" spans="3:19">
      <c r="C90" s="604"/>
    </row>
    <row r="91" spans="3:19">
      <c r="C91" s="607"/>
    </row>
    <row r="92" spans="3:19">
      <c r="C92" s="607"/>
    </row>
    <row r="93" spans="3:19">
      <c r="C93" s="607"/>
    </row>
    <row r="94" spans="3:19">
      <c r="C94" s="607"/>
    </row>
    <row r="95" spans="3:19">
      <c r="C95" s="607"/>
    </row>
    <row r="96" spans="3:19">
      <c r="C96" s="607"/>
    </row>
    <row r="97" spans="3:3">
      <c r="C97" s="604"/>
    </row>
    <row r="98" spans="3:3">
      <c r="C98" s="604"/>
    </row>
    <row r="99" spans="3:3">
      <c r="C99" s="604"/>
    </row>
    <row r="100" spans="3:3">
      <c r="C100" s="604"/>
    </row>
    <row r="101" spans="3:3">
      <c r="C101" s="604"/>
    </row>
    <row r="102" spans="3:3">
      <c r="C102" s="604"/>
    </row>
    <row r="103" spans="3:3">
      <c r="C103" s="602"/>
    </row>
    <row r="104" spans="3:3">
      <c r="C104" s="592"/>
    </row>
    <row r="105" spans="3:3">
      <c r="C105" s="592"/>
    </row>
    <row r="106" spans="3:3">
      <c r="C106" s="592"/>
    </row>
    <row r="107" spans="3:3">
      <c r="C107" s="592"/>
    </row>
    <row r="108" spans="3:3">
      <c r="C108" s="592"/>
    </row>
    <row r="109" spans="3:3">
      <c r="C109" s="592"/>
    </row>
    <row r="110" spans="3:3">
      <c r="C110" s="592"/>
    </row>
    <row r="111" spans="3:3">
      <c r="C111" s="592"/>
    </row>
    <row r="112" spans="3:3">
      <c r="C112" s="592"/>
    </row>
    <row r="113" spans="3:3">
      <c r="C113" s="592"/>
    </row>
    <row r="114" spans="3:3">
      <c r="C114" s="592"/>
    </row>
    <row r="115" spans="3:3">
      <c r="C115" s="592"/>
    </row>
    <row r="116" spans="3:3">
      <c r="C116" s="592"/>
    </row>
    <row r="117" spans="3:3">
      <c r="C117" s="592"/>
    </row>
    <row r="118" spans="3:3">
      <c r="C118" s="592"/>
    </row>
    <row r="119" spans="3:3">
      <c r="C119" s="592"/>
    </row>
    <row r="120" spans="3:3">
      <c r="C120" s="592"/>
    </row>
    <row r="121" spans="3:3">
      <c r="C121" s="592"/>
    </row>
    <row r="122" spans="3:3">
      <c r="C122" s="592"/>
    </row>
    <row r="123" spans="3:3">
      <c r="C123" s="592"/>
    </row>
    <row r="124" spans="3:3">
      <c r="C124" s="592"/>
    </row>
    <row r="125" spans="3:3">
      <c r="C125" s="592"/>
    </row>
    <row r="126" spans="3:3">
      <c r="C126" s="592"/>
    </row>
    <row r="127" spans="3:3">
      <c r="C127" s="592"/>
    </row>
    <row r="128" spans="3:3">
      <c r="C128" s="592"/>
    </row>
    <row r="129" spans="3:19">
      <c r="C129" s="592"/>
    </row>
    <row r="130" spans="3:19">
      <c r="C130" s="592"/>
    </row>
    <row r="131" spans="3:19">
      <c r="C131" s="592"/>
    </row>
    <row r="132" spans="3:19">
      <c r="C132" s="592"/>
    </row>
    <row r="133" spans="3:19">
      <c r="C133" s="592"/>
    </row>
    <row r="134" spans="3:19">
      <c r="C134" s="592"/>
    </row>
    <row r="135" spans="3:19">
      <c r="C135" s="592"/>
    </row>
    <row r="136" spans="3:19">
      <c r="C136" s="592"/>
    </row>
    <row r="137" spans="3:19">
      <c r="C137" s="592"/>
      <c r="D137" s="604"/>
      <c r="E137" s="596"/>
      <c r="F137" s="99"/>
      <c r="G137" s="99"/>
      <c r="H137" s="99"/>
      <c r="I137" s="99"/>
      <c r="J137" s="99"/>
      <c r="K137" s="99"/>
      <c r="L137" s="99"/>
      <c r="M137" s="99"/>
      <c r="N137" s="99"/>
      <c r="O137" s="99"/>
      <c r="P137" s="99"/>
      <c r="Q137" s="8"/>
      <c r="R137" s="99"/>
      <c r="S137" s="597"/>
    </row>
    <row r="138" spans="3:19">
      <c r="C138" s="592"/>
      <c r="D138" s="604"/>
      <c r="E138" s="596"/>
      <c r="F138" s="99"/>
      <c r="G138" s="99"/>
      <c r="H138" s="99"/>
      <c r="I138" s="99"/>
      <c r="J138" s="99"/>
      <c r="K138" s="99"/>
      <c r="L138" s="99"/>
      <c r="M138" s="99"/>
      <c r="N138" s="99"/>
      <c r="O138" s="99"/>
      <c r="P138" s="99"/>
      <c r="Q138" s="8"/>
      <c r="R138" s="99"/>
      <c r="S138" s="597"/>
    </row>
    <row r="139" spans="3:19">
      <c r="C139" s="592"/>
      <c r="D139" s="604"/>
      <c r="E139" s="596"/>
      <c r="F139" s="99"/>
      <c r="G139" s="99"/>
      <c r="H139" s="99"/>
      <c r="I139" s="99"/>
      <c r="J139" s="99"/>
      <c r="K139" s="99"/>
      <c r="L139" s="99"/>
      <c r="M139" s="99"/>
      <c r="N139" s="99"/>
      <c r="O139" s="99"/>
      <c r="P139" s="99"/>
      <c r="Q139" s="8"/>
      <c r="R139" s="99"/>
      <c r="S139" s="597"/>
    </row>
    <row r="140" spans="3:19">
      <c r="C140" s="592"/>
      <c r="D140" s="604"/>
      <c r="E140" s="602"/>
      <c r="F140" s="99"/>
      <c r="G140" s="99"/>
      <c r="H140" s="99"/>
      <c r="I140" s="99"/>
      <c r="J140" s="99"/>
      <c r="K140" s="99"/>
      <c r="L140" s="99"/>
      <c r="M140" s="99"/>
      <c r="N140" s="99"/>
      <c r="O140" s="99"/>
      <c r="P140" s="99"/>
      <c r="Q140" s="8"/>
      <c r="R140" s="99"/>
      <c r="S140" s="597"/>
    </row>
    <row r="141" spans="3:19">
      <c r="C141" s="592"/>
      <c r="D141" s="604"/>
      <c r="E141" s="602"/>
      <c r="F141" s="99"/>
      <c r="G141" s="99"/>
      <c r="H141" s="99"/>
      <c r="I141" s="99"/>
      <c r="J141" s="99"/>
      <c r="K141" s="99"/>
      <c r="L141" s="99"/>
      <c r="M141" s="99"/>
      <c r="N141" s="99"/>
      <c r="O141" s="99"/>
      <c r="P141" s="99"/>
      <c r="Q141" s="8"/>
      <c r="R141" s="99"/>
      <c r="S141" s="597"/>
    </row>
    <row r="142" spans="3:19">
      <c r="C142" s="592"/>
      <c r="D142" s="604"/>
      <c r="E142" s="602"/>
      <c r="F142" s="99"/>
      <c r="G142" s="99"/>
      <c r="H142" s="99"/>
      <c r="I142" s="99"/>
      <c r="J142" s="99"/>
      <c r="K142" s="99"/>
      <c r="L142" s="99"/>
      <c r="M142" s="99"/>
      <c r="N142" s="99"/>
      <c r="O142" s="99"/>
      <c r="P142" s="99"/>
      <c r="Q142" s="8"/>
      <c r="R142" s="99"/>
      <c r="S142" s="597"/>
    </row>
    <row r="143" spans="3:19">
      <c r="C143" s="592"/>
      <c r="D143" s="604"/>
      <c r="E143" s="596"/>
      <c r="F143" s="593"/>
      <c r="G143" s="593"/>
      <c r="H143" s="593"/>
      <c r="I143" s="593"/>
      <c r="J143" s="593"/>
      <c r="K143" s="593"/>
      <c r="L143" s="593"/>
      <c r="M143" s="593"/>
      <c r="N143" s="593"/>
      <c r="O143" s="593"/>
      <c r="P143" s="593"/>
      <c r="Q143" s="8"/>
      <c r="R143" s="99"/>
      <c r="S143" s="595"/>
    </row>
    <row r="144" spans="3:19">
      <c r="C144" s="592"/>
      <c r="D144" s="604"/>
      <c r="E144" s="596"/>
      <c r="F144" s="593"/>
      <c r="G144" s="593"/>
      <c r="H144" s="593"/>
      <c r="I144" s="593"/>
      <c r="J144" s="593"/>
      <c r="K144" s="593"/>
      <c r="L144" s="593"/>
      <c r="M144" s="593"/>
      <c r="N144" s="593"/>
      <c r="O144" s="593"/>
      <c r="P144" s="593"/>
      <c r="Q144" s="8"/>
      <c r="R144" s="99"/>
      <c r="S144" s="595"/>
    </row>
    <row r="145" spans="3:19">
      <c r="C145" s="592"/>
      <c r="D145" s="604"/>
      <c r="E145" s="596"/>
      <c r="F145" s="593"/>
      <c r="G145" s="593"/>
      <c r="H145" s="593"/>
      <c r="I145" s="593"/>
      <c r="J145" s="593"/>
      <c r="K145" s="593"/>
      <c r="L145" s="593"/>
      <c r="M145" s="593"/>
      <c r="N145" s="593"/>
      <c r="O145" s="593"/>
      <c r="P145" s="593"/>
      <c r="Q145" s="8"/>
      <c r="R145" s="99"/>
      <c r="S145" s="595"/>
    </row>
    <row r="146" spans="3:19">
      <c r="C146" s="592"/>
      <c r="D146" s="604"/>
      <c r="E146" s="602"/>
      <c r="F146" s="593"/>
      <c r="G146" s="593"/>
      <c r="H146" s="593"/>
      <c r="I146" s="593"/>
      <c r="J146" s="593"/>
      <c r="K146" s="593"/>
      <c r="L146" s="593"/>
      <c r="M146" s="593"/>
      <c r="N146" s="593"/>
      <c r="O146" s="593"/>
      <c r="P146" s="593"/>
      <c r="Q146" s="8"/>
      <c r="R146" s="99"/>
      <c r="S146" s="595"/>
    </row>
    <row r="147" spans="3:19">
      <c r="C147" s="592"/>
      <c r="D147" s="604"/>
      <c r="E147" s="602"/>
      <c r="F147" s="593"/>
      <c r="G147" s="593"/>
      <c r="H147" s="593"/>
      <c r="I147" s="593"/>
      <c r="J147" s="593"/>
      <c r="K147" s="593"/>
      <c r="L147" s="593"/>
      <c r="M147" s="593"/>
      <c r="N147" s="593"/>
      <c r="O147" s="593"/>
      <c r="P147" s="593"/>
      <c r="Q147" s="8"/>
      <c r="R147" s="99"/>
      <c r="S147" s="595"/>
    </row>
    <row r="148" spans="3:19">
      <c r="C148" s="592"/>
      <c r="D148" s="604"/>
      <c r="E148" s="602"/>
      <c r="F148" s="593"/>
      <c r="G148" s="593"/>
      <c r="H148" s="593"/>
      <c r="I148" s="593"/>
      <c r="J148" s="593"/>
      <c r="K148" s="593"/>
      <c r="L148" s="593"/>
      <c r="M148" s="593"/>
      <c r="N148" s="593"/>
      <c r="O148" s="593"/>
      <c r="P148" s="593"/>
      <c r="Q148" s="8"/>
      <c r="R148" s="99"/>
      <c r="S148" s="595"/>
    </row>
    <row r="149" spans="3:19">
      <c r="C149" s="592"/>
      <c r="D149" s="602"/>
      <c r="E149" s="592"/>
      <c r="F149" s="601"/>
      <c r="G149" s="601"/>
      <c r="H149" s="601"/>
      <c r="I149" s="601"/>
      <c r="J149" s="601"/>
      <c r="K149" s="601"/>
      <c r="L149" s="601"/>
      <c r="M149" s="601"/>
      <c r="N149" s="601"/>
      <c r="O149" s="601"/>
      <c r="P149" s="601"/>
      <c r="Q149" s="8"/>
      <c r="R149" s="601"/>
      <c r="S149" s="597"/>
    </row>
    <row r="150" spans="3:19">
      <c r="C150" s="592"/>
      <c r="D150" s="592"/>
      <c r="E150" s="592"/>
      <c r="F150" s="592"/>
      <c r="G150" s="592"/>
      <c r="H150" s="592"/>
      <c r="I150" s="592"/>
      <c r="J150" s="592"/>
      <c r="K150" s="592"/>
      <c r="L150" s="592"/>
      <c r="M150" s="592"/>
      <c r="N150" s="592"/>
      <c r="O150" s="592"/>
      <c r="P150" s="592"/>
      <c r="Q150" s="592"/>
      <c r="R150" s="592"/>
      <c r="S150" s="592"/>
    </row>
    <row r="151" spans="3:19">
      <c r="C151" s="592"/>
      <c r="D151" s="592"/>
      <c r="E151" s="592"/>
      <c r="F151" s="592"/>
      <c r="G151" s="592"/>
      <c r="H151" s="592"/>
      <c r="I151" s="592"/>
      <c r="J151" s="592"/>
      <c r="K151" s="592"/>
      <c r="L151" s="592"/>
      <c r="M151" s="592"/>
      <c r="N151" s="592"/>
      <c r="O151" s="592"/>
      <c r="P151" s="592"/>
      <c r="Q151" s="592"/>
      <c r="R151" s="592"/>
      <c r="S151" s="592"/>
    </row>
    <row r="152" spans="3:19">
      <c r="C152" s="592"/>
      <c r="D152" s="592"/>
      <c r="E152" s="592"/>
      <c r="F152" s="592"/>
      <c r="G152" s="592"/>
      <c r="H152" s="592"/>
      <c r="I152" s="592"/>
      <c r="J152" s="592"/>
      <c r="K152" s="592"/>
      <c r="L152" s="592"/>
      <c r="M152" s="592"/>
      <c r="N152" s="592"/>
      <c r="O152" s="592"/>
      <c r="P152" s="592"/>
      <c r="Q152" s="592"/>
      <c r="R152" s="592"/>
      <c r="S152" s="592"/>
    </row>
    <row r="153" spans="3:19">
      <c r="C153" s="592"/>
      <c r="D153" s="592"/>
      <c r="E153" s="592"/>
      <c r="F153" s="592"/>
      <c r="G153" s="592"/>
      <c r="H153" s="592"/>
      <c r="I153" s="592"/>
      <c r="J153" s="592"/>
      <c r="K153" s="592"/>
      <c r="L153" s="592"/>
      <c r="M153" s="592"/>
      <c r="N153" s="592"/>
      <c r="O153" s="592"/>
      <c r="P153" s="592"/>
      <c r="Q153" s="592"/>
      <c r="R153" s="592"/>
      <c r="S153" s="592"/>
    </row>
    <row r="154" spans="3:19">
      <c r="C154" s="592"/>
      <c r="D154" s="592"/>
      <c r="E154" s="592"/>
      <c r="F154" s="592"/>
      <c r="G154" s="592"/>
      <c r="H154" s="592"/>
      <c r="I154" s="592"/>
      <c r="J154" s="592"/>
      <c r="K154" s="592"/>
      <c r="L154" s="592"/>
      <c r="M154" s="592"/>
      <c r="N154" s="592"/>
      <c r="O154" s="592"/>
      <c r="P154" s="592"/>
      <c r="Q154" s="592"/>
      <c r="R154" s="592"/>
      <c r="S154" s="592"/>
    </row>
    <row r="155" spans="3:19">
      <c r="C155" s="592"/>
      <c r="D155" s="592"/>
      <c r="E155" s="592"/>
      <c r="F155" s="592"/>
      <c r="G155" s="592"/>
      <c r="H155" s="592"/>
      <c r="I155" s="592"/>
      <c r="J155" s="592"/>
      <c r="K155" s="592"/>
      <c r="L155" s="592"/>
      <c r="M155" s="592"/>
      <c r="N155" s="592"/>
      <c r="O155" s="592"/>
      <c r="P155" s="592"/>
      <c r="Q155" s="592"/>
      <c r="R155" s="592"/>
      <c r="S155" s="592"/>
    </row>
    <row r="156" spans="3:19">
      <c r="C156" s="592"/>
      <c r="D156" s="605"/>
      <c r="E156" s="603"/>
      <c r="F156" s="603"/>
      <c r="G156" s="603"/>
      <c r="H156" s="603"/>
      <c r="I156" s="603"/>
      <c r="J156" s="603"/>
      <c r="K156" s="603"/>
      <c r="L156" s="603"/>
      <c r="M156" s="603"/>
      <c r="N156" s="603"/>
      <c r="O156" s="603"/>
      <c r="P156" s="603"/>
      <c r="Q156" s="603"/>
      <c r="R156" s="603"/>
      <c r="S156" s="603"/>
    </row>
    <row r="157" spans="3:19">
      <c r="C157" s="592"/>
      <c r="D157" s="605"/>
      <c r="E157" s="603"/>
      <c r="F157" s="590"/>
      <c r="G157" s="590"/>
      <c r="H157" s="590"/>
      <c r="I157" s="590"/>
      <c r="J157" s="590"/>
      <c r="K157" s="590"/>
      <c r="L157" s="590"/>
      <c r="M157" s="590"/>
      <c r="N157" s="590"/>
      <c r="O157" s="590"/>
      <c r="P157" s="590"/>
      <c r="Q157" s="606"/>
      <c r="R157" s="606"/>
      <c r="S157" s="591"/>
    </row>
    <row r="158" spans="3:19">
      <c r="C158" s="592"/>
      <c r="D158" s="604"/>
      <c r="E158" s="8"/>
      <c r="F158" s="593"/>
      <c r="G158" s="593"/>
      <c r="H158" s="593"/>
      <c r="I158" s="593"/>
      <c r="J158" s="593"/>
      <c r="K158" s="593"/>
      <c r="L158" s="593"/>
      <c r="M158" s="593"/>
      <c r="N158" s="593"/>
      <c r="O158" s="593"/>
      <c r="P158" s="593"/>
      <c r="Q158" s="8"/>
      <c r="R158" s="594"/>
      <c r="S158" s="594"/>
    </row>
    <row r="159" spans="3:19">
      <c r="C159" s="592"/>
      <c r="D159" s="604"/>
      <c r="E159" s="8"/>
      <c r="F159" s="99"/>
      <c r="G159" s="99"/>
      <c r="H159" s="99"/>
      <c r="I159" s="99"/>
      <c r="J159" s="99"/>
      <c r="K159" s="99"/>
      <c r="L159" s="99"/>
      <c r="M159" s="99"/>
      <c r="N159" s="99"/>
      <c r="O159" s="99"/>
      <c r="P159" s="99"/>
      <c r="Q159" s="8"/>
      <c r="R159" s="99"/>
      <c r="S159" s="99"/>
    </row>
    <row r="160" spans="3:19">
      <c r="C160" s="592"/>
      <c r="D160" s="604"/>
      <c r="E160" s="8"/>
      <c r="F160" s="99"/>
      <c r="G160" s="99"/>
      <c r="H160" s="99"/>
      <c r="I160" s="99"/>
      <c r="J160" s="99"/>
      <c r="K160" s="99"/>
      <c r="L160" s="99"/>
      <c r="M160" s="99"/>
      <c r="N160" s="99"/>
      <c r="O160" s="99"/>
      <c r="P160" s="99"/>
      <c r="Q160" s="8"/>
      <c r="R160" s="99"/>
      <c r="S160" s="99"/>
    </row>
    <row r="161" spans="3:19">
      <c r="C161" s="592"/>
      <c r="D161" s="604"/>
      <c r="E161" s="8"/>
      <c r="F161" s="99"/>
      <c r="G161" s="99"/>
      <c r="H161" s="99"/>
      <c r="I161" s="99"/>
      <c r="J161" s="99"/>
      <c r="K161" s="99"/>
      <c r="L161" s="99"/>
      <c r="M161" s="99"/>
      <c r="N161" s="99"/>
      <c r="O161" s="99"/>
      <c r="P161" s="99"/>
      <c r="Q161" s="8"/>
      <c r="R161" s="99"/>
      <c r="S161" s="99"/>
    </row>
    <row r="162" spans="3:19">
      <c r="C162" s="592"/>
      <c r="D162" s="604"/>
      <c r="E162" s="8"/>
      <c r="F162" s="99"/>
      <c r="G162" s="99"/>
      <c r="H162" s="99"/>
      <c r="I162" s="99"/>
      <c r="J162" s="99"/>
      <c r="K162" s="99"/>
      <c r="L162" s="99"/>
      <c r="M162" s="99"/>
      <c r="N162" s="99"/>
      <c r="O162" s="99"/>
      <c r="P162" s="99"/>
      <c r="Q162" s="8"/>
      <c r="R162" s="99"/>
      <c r="S162" s="99"/>
    </row>
    <row r="163" spans="3:19">
      <c r="C163" s="592"/>
      <c r="D163" s="604"/>
      <c r="E163" s="8"/>
      <c r="F163" s="99"/>
      <c r="G163" s="99"/>
      <c r="H163" s="99"/>
      <c r="I163" s="99"/>
      <c r="J163" s="99"/>
      <c r="K163" s="99"/>
      <c r="L163" s="99"/>
      <c r="M163" s="99"/>
      <c r="N163" s="99"/>
      <c r="O163" s="99"/>
      <c r="P163" s="99"/>
      <c r="Q163" s="8"/>
      <c r="R163" s="99"/>
      <c r="S163" s="99"/>
    </row>
    <row r="164" spans="3:19">
      <c r="C164" s="592"/>
      <c r="D164" s="604"/>
      <c r="E164" s="8"/>
      <c r="F164" s="103"/>
      <c r="G164" s="103"/>
      <c r="H164" s="103"/>
      <c r="I164" s="103"/>
      <c r="J164" s="103"/>
      <c r="K164" s="103"/>
      <c r="L164" s="103"/>
      <c r="M164" s="103"/>
      <c r="N164" s="103"/>
      <c r="O164" s="103"/>
      <c r="P164" s="103"/>
      <c r="Q164" s="8"/>
      <c r="R164" s="99"/>
      <c r="S164" s="103"/>
    </row>
    <row r="165" spans="3:19">
      <c r="C165" s="592"/>
      <c r="D165" s="604"/>
      <c r="E165" s="8"/>
      <c r="F165" s="103"/>
      <c r="G165" s="103"/>
      <c r="H165" s="103"/>
      <c r="I165" s="103"/>
      <c r="J165" s="103"/>
      <c r="K165" s="103"/>
      <c r="L165" s="103"/>
      <c r="M165" s="103"/>
      <c r="N165" s="103"/>
      <c r="O165" s="103"/>
      <c r="P165" s="103"/>
      <c r="Q165" s="8"/>
      <c r="R165" s="99"/>
      <c r="S165" s="103"/>
    </row>
    <row r="166" spans="3:19">
      <c r="C166" s="592"/>
      <c r="D166" s="604"/>
      <c r="E166" s="8"/>
      <c r="F166" s="103"/>
      <c r="G166" s="103"/>
      <c r="H166" s="103"/>
      <c r="I166" s="103"/>
      <c r="J166" s="103"/>
      <c r="K166" s="103"/>
      <c r="L166" s="103"/>
      <c r="M166" s="103"/>
      <c r="N166" s="103"/>
      <c r="O166" s="103"/>
      <c r="P166" s="103"/>
      <c r="Q166" s="8"/>
      <c r="R166" s="99"/>
      <c r="S166" s="103"/>
    </row>
    <row r="167" spans="3:19">
      <c r="C167" s="592"/>
      <c r="D167" s="604"/>
      <c r="E167" s="602"/>
      <c r="F167" s="103"/>
      <c r="G167" s="103"/>
      <c r="H167" s="103"/>
      <c r="I167" s="103"/>
      <c r="J167" s="103"/>
      <c r="K167" s="103"/>
      <c r="L167" s="103"/>
      <c r="M167" s="103"/>
      <c r="N167" s="103"/>
      <c r="O167" s="103"/>
      <c r="P167" s="103"/>
      <c r="Q167" s="8"/>
      <c r="R167" s="99"/>
      <c r="S167" s="103"/>
    </row>
    <row r="168" spans="3:19">
      <c r="C168" s="592"/>
      <c r="D168" s="604"/>
      <c r="E168" s="602"/>
      <c r="F168" s="103"/>
      <c r="G168" s="103"/>
      <c r="H168" s="103"/>
      <c r="I168" s="103"/>
      <c r="J168" s="103"/>
      <c r="K168" s="103"/>
      <c r="L168" s="103"/>
      <c r="M168" s="103"/>
      <c r="N168" s="103"/>
      <c r="O168" s="103"/>
      <c r="P168" s="103"/>
      <c r="Q168" s="8"/>
      <c r="R168" s="99"/>
      <c r="S168" s="103"/>
    </row>
    <row r="169" spans="3:19">
      <c r="C169" s="592"/>
      <c r="D169" s="604"/>
      <c r="E169" s="602"/>
      <c r="F169" s="103"/>
      <c r="G169" s="103"/>
      <c r="H169" s="103"/>
      <c r="I169" s="103"/>
      <c r="J169" s="103"/>
      <c r="K169" s="103"/>
      <c r="L169" s="103"/>
      <c r="M169" s="103"/>
      <c r="N169" s="103"/>
      <c r="O169" s="103"/>
      <c r="P169" s="103"/>
      <c r="Q169" s="8"/>
      <c r="R169" s="99"/>
      <c r="S169" s="103"/>
    </row>
    <row r="170" spans="3:19">
      <c r="C170" s="592"/>
      <c r="D170" s="604"/>
      <c r="E170" s="8"/>
      <c r="F170" s="593"/>
      <c r="G170" s="593"/>
      <c r="H170" s="593"/>
      <c r="I170" s="593"/>
      <c r="J170" s="593"/>
      <c r="K170" s="593"/>
      <c r="L170" s="593"/>
      <c r="M170" s="593"/>
      <c r="N170" s="593"/>
      <c r="O170" s="593"/>
      <c r="P170" s="593"/>
      <c r="Q170" s="8"/>
      <c r="R170" s="99"/>
      <c r="S170" s="594"/>
    </row>
    <row r="171" spans="3:19">
      <c r="C171" s="592"/>
      <c r="D171" s="604"/>
      <c r="E171" s="8"/>
      <c r="F171" s="99"/>
      <c r="G171" s="99"/>
      <c r="H171" s="99"/>
      <c r="I171" s="99"/>
      <c r="J171" s="99"/>
      <c r="K171" s="99"/>
      <c r="L171" s="99"/>
      <c r="M171" s="99"/>
      <c r="N171" s="99"/>
      <c r="O171" s="99"/>
      <c r="P171" s="99"/>
      <c r="Q171" s="8"/>
      <c r="R171" s="99"/>
      <c r="S171" s="99"/>
    </row>
    <row r="172" spans="3:19">
      <c r="C172" s="592"/>
      <c r="D172" s="604"/>
      <c r="E172" s="8"/>
      <c r="F172" s="99"/>
      <c r="G172" s="99"/>
      <c r="H172" s="99"/>
      <c r="I172" s="99"/>
      <c r="J172" s="99"/>
      <c r="K172" s="99"/>
      <c r="L172" s="99"/>
      <c r="M172" s="99"/>
      <c r="N172" s="99"/>
      <c r="O172" s="99"/>
      <c r="P172" s="99"/>
      <c r="Q172" s="8"/>
      <c r="R172" s="99"/>
      <c r="S172" s="99"/>
    </row>
    <row r="173" spans="3:19">
      <c r="C173" s="592"/>
      <c r="D173" s="604"/>
      <c r="E173" s="8"/>
      <c r="F173" s="99"/>
      <c r="G173" s="99"/>
      <c r="H173" s="99"/>
      <c r="I173" s="99"/>
      <c r="J173" s="99"/>
      <c r="K173" s="99"/>
      <c r="L173" s="99"/>
      <c r="M173" s="99"/>
      <c r="N173" s="99"/>
      <c r="O173" s="99"/>
      <c r="P173" s="99"/>
      <c r="Q173" s="8"/>
      <c r="R173" s="99"/>
      <c r="S173" s="99"/>
    </row>
    <row r="174" spans="3:19">
      <c r="C174" s="592"/>
      <c r="D174" s="604"/>
      <c r="E174" s="8"/>
      <c r="F174" s="99"/>
      <c r="G174" s="99"/>
      <c r="H174" s="99"/>
      <c r="I174" s="99"/>
      <c r="J174" s="99"/>
      <c r="K174" s="99"/>
      <c r="L174" s="99"/>
      <c r="M174" s="99"/>
      <c r="N174" s="99"/>
      <c r="O174" s="99"/>
      <c r="P174" s="99"/>
      <c r="Q174" s="8"/>
      <c r="R174" s="99"/>
      <c r="S174" s="99"/>
    </row>
    <row r="175" spans="3:19">
      <c r="C175" s="592"/>
      <c r="D175" s="604"/>
      <c r="E175" s="8"/>
      <c r="F175" s="99"/>
      <c r="G175" s="99"/>
      <c r="H175" s="99"/>
      <c r="I175" s="99"/>
      <c r="J175" s="99"/>
      <c r="K175" s="99"/>
      <c r="L175" s="99"/>
      <c r="M175" s="99"/>
      <c r="N175" s="99"/>
      <c r="O175" s="99"/>
      <c r="P175" s="99"/>
      <c r="Q175" s="8"/>
      <c r="R175" s="99"/>
      <c r="S175" s="99"/>
    </row>
    <row r="176" spans="3:19">
      <c r="C176" s="592"/>
      <c r="D176" s="604"/>
      <c r="E176" s="8"/>
      <c r="F176" s="99"/>
      <c r="G176" s="99"/>
      <c r="H176" s="99"/>
      <c r="I176" s="99"/>
      <c r="J176" s="99"/>
      <c r="K176" s="99"/>
      <c r="L176" s="99"/>
      <c r="M176" s="99"/>
      <c r="N176" s="99"/>
      <c r="O176" s="99"/>
      <c r="P176" s="99"/>
      <c r="Q176" s="8"/>
      <c r="R176" s="99"/>
      <c r="S176" s="99"/>
    </row>
    <row r="177" spans="3:19">
      <c r="C177" s="592"/>
      <c r="D177" s="604"/>
      <c r="E177" s="8"/>
      <c r="F177" s="99"/>
      <c r="G177" s="99"/>
      <c r="H177" s="99"/>
      <c r="I177" s="99"/>
      <c r="J177" s="99"/>
      <c r="K177" s="99"/>
      <c r="L177" s="99"/>
      <c r="M177" s="99"/>
      <c r="N177" s="99"/>
      <c r="O177" s="99"/>
      <c r="P177" s="99"/>
      <c r="Q177" s="8"/>
      <c r="R177" s="99"/>
      <c r="S177" s="99"/>
    </row>
    <row r="178" spans="3:19">
      <c r="C178" s="592"/>
      <c r="D178" s="604"/>
      <c r="E178" s="8"/>
      <c r="F178" s="99"/>
      <c r="G178" s="99"/>
      <c r="H178" s="99"/>
      <c r="I178" s="99"/>
      <c r="J178" s="99"/>
      <c r="K178" s="99"/>
      <c r="L178" s="99"/>
      <c r="M178" s="99"/>
      <c r="N178" s="99"/>
      <c r="O178" s="99"/>
      <c r="P178" s="99"/>
      <c r="Q178" s="8"/>
      <c r="R178" s="99"/>
      <c r="S178" s="99"/>
    </row>
    <row r="179" spans="3:19">
      <c r="C179" s="592"/>
      <c r="D179" s="604"/>
      <c r="E179" s="602"/>
      <c r="F179" s="99"/>
      <c r="G179" s="99"/>
      <c r="H179" s="99"/>
      <c r="I179" s="99"/>
      <c r="J179" s="99"/>
      <c r="K179" s="99"/>
      <c r="L179" s="99"/>
      <c r="M179" s="99"/>
      <c r="N179" s="99"/>
      <c r="O179" s="99"/>
      <c r="P179" s="99"/>
      <c r="Q179" s="8"/>
      <c r="R179" s="99"/>
      <c r="S179" s="99"/>
    </row>
    <row r="180" spans="3:19">
      <c r="C180" s="592"/>
      <c r="D180" s="604"/>
      <c r="E180" s="602"/>
      <c r="F180" s="99"/>
      <c r="G180" s="99"/>
      <c r="H180" s="99"/>
      <c r="I180" s="99"/>
      <c r="J180" s="99"/>
      <c r="K180" s="99"/>
      <c r="L180" s="99"/>
      <c r="M180" s="99"/>
      <c r="N180" s="99"/>
      <c r="O180" s="99"/>
      <c r="P180" s="99"/>
      <c r="Q180" s="8"/>
      <c r="R180" s="99"/>
      <c r="S180" s="99"/>
    </row>
    <row r="181" spans="3:19">
      <c r="C181" s="592"/>
      <c r="D181" s="604"/>
      <c r="E181" s="602"/>
      <c r="F181" s="99"/>
      <c r="G181" s="99"/>
      <c r="H181" s="99"/>
      <c r="I181" s="99"/>
      <c r="J181" s="99"/>
      <c r="K181" s="99"/>
      <c r="L181" s="99"/>
      <c r="M181" s="99"/>
      <c r="N181" s="99"/>
      <c r="O181" s="99"/>
      <c r="P181" s="99"/>
      <c r="Q181" s="8"/>
      <c r="R181" s="99"/>
      <c r="S181" s="99"/>
    </row>
    <row r="182" spans="3:19">
      <c r="C182" s="592"/>
      <c r="D182" s="607"/>
      <c r="E182" s="8"/>
      <c r="F182" s="99"/>
      <c r="G182" s="99"/>
      <c r="H182" s="99"/>
      <c r="I182" s="99"/>
      <c r="J182" s="99"/>
      <c r="K182" s="99"/>
      <c r="L182" s="99"/>
      <c r="M182" s="99"/>
      <c r="N182" s="99"/>
      <c r="O182" s="99"/>
      <c r="P182" s="99"/>
      <c r="Q182" s="8"/>
      <c r="R182" s="99"/>
      <c r="S182" s="99"/>
    </row>
    <row r="183" spans="3:19">
      <c r="C183" s="592"/>
      <c r="D183" s="607"/>
      <c r="E183" s="8"/>
      <c r="F183" s="99"/>
      <c r="G183" s="99"/>
      <c r="H183" s="99"/>
      <c r="I183" s="99"/>
      <c r="J183" s="99"/>
      <c r="K183" s="99"/>
      <c r="L183" s="99"/>
      <c r="M183" s="99"/>
      <c r="N183" s="99"/>
      <c r="O183" s="99"/>
      <c r="P183" s="99"/>
      <c r="Q183" s="8"/>
      <c r="R183" s="99"/>
      <c r="S183" s="99"/>
    </row>
    <row r="184" spans="3:19">
      <c r="C184" s="592"/>
      <c r="D184" s="607"/>
      <c r="E184" s="8"/>
      <c r="F184" s="99"/>
      <c r="G184" s="99"/>
      <c r="H184" s="99"/>
      <c r="I184" s="99"/>
      <c r="J184" s="99"/>
      <c r="K184" s="99"/>
      <c r="L184" s="99"/>
      <c r="M184" s="99"/>
      <c r="N184" s="99"/>
      <c r="O184" s="99"/>
      <c r="P184" s="99"/>
      <c r="Q184" s="8"/>
      <c r="R184" s="99"/>
      <c r="S184" s="99"/>
    </row>
    <row r="185" spans="3:19">
      <c r="C185" s="592"/>
      <c r="D185" s="607"/>
      <c r="E185" s="602"/>
      <c r="F185" s="99"/>
      <c r="G185" s="99"/>
      <c r="H185" s="99"/>
      <c r="I185" s="99"/>
      <c r="J185" s="99"/>
      <c r="K185" s="99"/>
      <c r="L185" s="99"/>
      <c r="M185" s="99"/>
      <c r="N185" s="99"/>
      <c r="O185" s="99"/>
      <c r="P185" s="99"/>
      <c r="Q185" s="8"/>
      <c r="R185" s="99"/>
      <c r="S185" s="99"/>
    </row>
    <row r="186" spans="3:19">
      <c r="C186" s="592"/>
      <c r="D186" s="607"/>
      <c r="E186" s="602"/>
      <c r="F186" s="99"/>
      <c r="G186" s="99"/>
      <c r="H186" s="99"/>
      <c r="I186" s="99"/>
      <c r="J186" s="99"/>
      <c r="K186" s="99"/>
      <c r="L186" s="99"/>
      <c r="M186" s="99"/>
      <c r="N186" s="99"/>
      <c r="O186" s="99"/>
      <c r="P186" s="99"/>
      <c r="Q186" s="8"/>
      <c r="R186" s="99"/>
      <c r="S186" s="99"/>
    </row>
    <row r="187" spans="3:19">
      <c r="C187" s="592"/>
      <c r="D187" s="607"/>
      <c r="E187" s="602"/>
      <c r="F187" s="99"/>
      <c r="G187" s="99"/>
      <c r="H187" s="99"/>
      <c r="I187" s="99"/>
      <c r="J187" s="99"/>
      <c r="K187" s="99"/>
      <c r="L187" s="99"/>
      <c r="M187" s="99"/>
      <c r="N187" s="99"/>
      <c r="O187" s="99"/>
      <c r="P187" s="99"/>
      <c r="Q187" s="8"/>
      <c r="R187" s="99"/>
      <c r="S187" s="99"/>
    </row>
    <row r="188" spans="3:19">
      <c r="C188" s="592"/>
      <c r="D188" s="604"/>
      <c r="E188" s="8"/>
      <c r="F188" s="99"/>
      <c r="G188" s="99"/>
      <c r="H188" s="99"/>
      <c r="I188" s="99"/>
      <c r="J188" s="99"/>
      <c r="K188" s="99"/>
      <c r="L188" s="99"/>
      <c r="M188" s="99"/>
      <c r="N188" s="99"/>
      <c r="O188" s="99"/>
      <c r="P188" s="99"/>
      <c r="Q188" s="8"/>
      <c r="R188" s="99"/>
      <c r="S188" s="99"/>
    </row>
    <row r="189" spans="3:19">
      <c r="C189" s="592"/>
      <c r="D189" s="604"/>
      <c r="E189" s="8"/>
      <c r="F189" s="99"/>
      <c r="G189" s="99"/>
      <c r="H189" s="99"/>
      <c r="I189" s="99"/>
      <c r="J189" s="99"/>
      <c r="K189" s="99"/>
      <c r="L189" s="99"/>
      <c r="M189" s="99"/>
      <c r="N189" s="99"/>
      <c r="O189" s="99"/>
      <c r="P189" s="99"/>
      <c r="Q189" s="8"/>
      <c r="R189" s="99"/>
      <c r="S189" s="99"/>
    </row>
    <row r="190" spans="3:19">
      <c r="C190" s="592"/>
      <c r="D190" s="604"/>
      <c r="E190" s="8"/>
      <c r="F190" s="99"/>
      <c r="G190" s="99"/>
      <c r="H190" s="99"/>
      <c r="I190" s="99"/>
      <c r="J190" s="99"/>
      <c r="K190" s="99"/>
      <c r="L190" s="99"/>
      <c r="M190" s="99"/>
      <c r="N190" s="99"/>
      <c r="O190" s="99"/>
      <c r="P190" s="99"/>
      <c r="Q190" s="8"/>
      <c r="R190" s="99"/>
      <c r="S190" s="99"/>
    </row>
    <row r="191" spans="3:19">
      <c r="C191" s="592"/>
      <c r="D191" s="604"/>
      <c r="E191" s="602"/>
      <c r="F191" s="99"/>
      <c r="G191" s="99"/>
      <c r="H191" s="99"/>
      <c r="I191" s="99"/>
      <c r="J191" s="99"/>
      <c r="K191" s="99"/>
      <c r="L191" s="99"/>
      <c r="M191" s="99"/>
      <c r="N191" s="99"/>
      <c r="O191" s="99"/>
      <c r="P191" s="99"/>
      <c r="Q191" s="8"/>
      <c r="R191" s="99"/>
      <c r="S191" s="99"/>
    </row>
    <row r="192" spans="3:19">
      <c r="C192" s="592"/>
      <c r="D192" s="604"/>
      <c r="E192" s="602"/>
      <c r="F192" s="99"/>
      <c r="G192" s="99"/>
      <c r="H192" s="99"/>
      <c r="I192" s="99"/>
      <c r="J192" s="99"/>
      <c r="K192" s="99"/>
      <c r="L192" s="99"/>
      <c r="M192" s="99"/>
      <c r="N192" s="99"/>
      <c r="O192" s="99"/>
      <c r="P192" s="99"/>
      <c r="Q192" s="8"/>
      <c r="R192" s="99"/>
      <c r="S192" s="99"/>
    </row>
    <row r="193" spans="3:19">
      <c r="C193" s="592"/>
      <c r="D193" s="604"/>
      <c r="E193" s="602"/>
      <c r="F193" s="99"/>
      <c r="G193" s="99"/>
      <c r="H193" s="99"/>
      <c r="I193" s="99"/>
      <c r="J193" s="99"/>
      <c r="K193" s="99"/>
      <c r="L193" s="99"/>
      <c r="M193" s="99"/>
      <c r="N193" s="99"/>
      <c r="O193" s="99"/>
      <c r="P193" s="99"/>
      <c r="Q193" s="8"/>
      <c r="R193" s="99"/>
      <c r="S193" s="99"/>
    </row>
    <row r="194" spans="3:19">
      <c r="C194" s="592"/>
      <c r="D194" s="602"/>
      <c r="E194" s="603"/>
      <c r="F194" s="592"/>
      <c r="G194" s="592"/>
      <c r="H194" s="592"/>
      <c r="I194" s="592"/>
      <c r="J194" s="592"/>
      <c r="K194" s="592"/>
      <c r="L194" s="592"/>
      <c r="M194" s="592"/>
      <c r="N194" s="592"/>
      <c r="O194" s="592"/>
      <c r="P194" s="592"/>
      <c r="Q194" s="592"/>
      <c r="R194" s="8"/>
      <c r="S194" s="8"/>
    </row>
  </sheetData>
  <sheetProtection algorithmName="SHA-512" hashValue="PYcIMq20K9fQOdLPVShVnXbM154Fjn7PFvZB7To5xevejmmO8aMS7RXa93TQu/UARl6ueQQgVLL6c+VX+f+NMg==" saltValue="IGD5cZQAV2rPo4hEAU9yLg==" spinCount="100000" sheet="1" objects="1" scenarios="1"/>
  <mergeCells count="35">
    <mergeCell ref="C33:C35"/>
    <mergeCell ref="C36:C38"/>
    <mergeCell ref="C39:C41"/>
    <mergeCell ref="C42:C44"/>
    <mergeCell ref="C45:C47"/>
    <mergeCell ref="P29:Q29"/>
    <mergeCell ref="C30:C32"/>
    <mergeCell ref="C28:R28"/>
    <mergeCell ref="C10:C12"/>
    <mergeCell ref="C13:C15"/>
    <mergeCell ref="C16:C18"/>
    <mergeCell ref="C19:C21"/>
    <mergeCell ref="C22:C24"/>
    <mergeCell ref="P6:Q6"/>
    <mergeCell ref="C7:C9"/>
    <mergeCell ref="C5:R5"/>
    <mergeCell ref="U13:V13"/>
    <mergeCell ref="W13:X13"/>
    <mergeCell ref="U9:V9"/>
    <mergeCell ref="W9:X9"/>
    <mergeCell ref="U10:V10"/>
    <mergeCell ref="W10:X10"/>
    <mergeCell ref="Z7:AC7"/>
    <mergeCell ref="Z17:AC17"/>
    <mergeCell ref="U11:V11"/>
    <mergeCell ref="W11:X11"/>
    <mergeCell ref="U12:V12"/>
    <mergeCell ref="W12:X12"/>
    <mergeCell ref="U7:X7"/>
    <mergeCell ref="AB52:AC52"/>
    <mergeCell ref="Y30:Z30"/>
    <mergeCell ref="Y47:Z47"/>
    <mergeCell ref="AB49:AC49"/>
    <mergeCell ref="AB50:AC50"/>
    <mergeCell ref="AB51:AC5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A7E79-B0A0-A14C-A2EF-10182B96A129}">
  <dimension ref="B1:AM67"/>
  <sheetViews>
    <sheetView zoomScale="50" zoomScaleNormal="50" workbookViewId="0">
      <selection activeCell="T38" sqref="T38"/>
    </sheetView>
  </sheetViews>
  <sheetFormatPr baseColWidth="10" defaultRowHeight="16"/>
  <cols>
    <col min="1" max="1" width="10.83203125" style="177"/>
    <col min="2" max="2" width="2.83203125" style="177" customWidth="1"/>
    <col min="3" max="3" width="2.83203125" style="555" customWidth="1"/>
    <col min="4" max="17" width="2.83203125" style="177" customWidth="1"/>
    <col min="18" max="18" width="10.83203125" style="177"/>
    <col min="19" max="19" width="9.33203125" style="177" bestFit="1" customWidth="1"/>
    <col min="20" max="20" width="102.1640625" style="177" bestFit="1" customWidth="1"/>
    <col min="21" max="21" width="12.5" style="177" customWidth="1"/>
    <col min="22" max="22" width="14.5" style="177" customWidth="1"/>
    <col min="23" max="23" width="14.6640625" style="177" bestFit="1" customWidth="1"/>
    <col min="24" max="26" width="14.6640625" style="177" customWidth="1"/>
    <col min="27" max="27" width="12.1640625" style="177" bestFit="1" customWidth="1"/>
    <col min="28" max="30" width="12.1640625" style="177" customWidth="1"/>
    <col min="31" max="31" width="12.1640625" style="177" bestFit="1" customWidth="1"/>
    <col min="32" max="32" width="12.1640625" style="177" customWidth="1"/>
    <col min="33" max="33" width="12.1640625" style="1513" customWidth="1"/>
    <col min="34" max="35" width="13.33203125" style="177" bestFit="1" customWidth="1"/>
    <col min="36" max="16384" width="10.83203125" style="177"/>
  </cols>
  <sheetData>
    <row r="1" spans="2:35" ht="22" customHeight="1" thickBot="1">
      <c r="B1" s="2175" t="s">
        <v>3355</v>
      </c>
      <c r="C1" s="2176"/>
      <c r="D1" s="2176"/>
      <c r="E1" s="2176"/>
      <c r="F1" s="2176"/>
      <c r="G1" s="2176"/>
      <c r="H1" s="2176"/>
      <c r="I1" s="2176"/>
      <c r="J1" s="2176"/>
      <c r="K1" s="2176"/>
      <c r="L1" s="2176"/>
      <c r="M1" s="2176"/>
      <c r="N1" s="2176"/>
      <c r="O1" s="2176"/>
      <c r="P1" s="2176"/>
      <c r="Q1" s="2177"/>
    </row>
    <row r="2" spans="2:35" ht="17" customHeight="1" thickBot="1">
      <c r="B2" s="2292" t="s">
        <v>33</v>
      </c>
      <c r="C2" s="2293"/>
      <c r="D2" s="1467"/>
      <c r="E2" s="1467"/>
      <c r="F2" s="1467"/>
      <c r="G2" s="1467"/>
      <c r="H2" s="1467"/>
      <c r="I2" s="1467"/>
      <c r="J2" s="1467"/>
      <c r="K2" s="1467"/>
      <c r="L2" s="1467"/>
      <c r="M2" s="1467"/>
      <c r="N2" s="1467"/>
      <c r="O2" s="1467"/>
      <c r="P2" s="1467"/>
      <c r="Q2" s="1467"/>
      <c r="S2" s="1514"/>
      <c r="T2" s="1514"/>
      <c r="U2" s="1514"/>
      <c r="V2" s="1514"/>
    </row>
    <row r="3" spans="2:35" ht="17" customHeight="1" thickBot="1">
      <c r="B3" s="2294"/>
      <c r="C3" s="2295"/>
      <c r="D3" s="1467"/>
      <c r="E3" s="1467"/>
      <c r="F3" s="1467"/>
      <c r="G3" s="1467"/>
      <c r="H3" s="1467"/>
      <c r="I3" s="1467"/>
      <c r="J3" s="2298">
        <v>1</v>
      </c>
      <c r="K3" s="2299"/>
      <c r="L3" s="1467"/>
      <c r="M3" s="1467"/>
      <c r="N3" s="1467"/>
      <c r="O3" s="1467"/>
      <c r="P3" s="1467"/>
      <c r="Q3" s="1467"/>
      <c r="S3" s="1515" t="s">
        <v>3344</v>
      </c>
      <c r="T3" s="1516" t="s">
        <v>3343</v>
      </c>
      <c r="U3" s="2300" t="s">
        <v>3456</v>
      </c>
      <c r="V3" s="2300"/>
      <c r="W3" s="2282" t="s">
        <v>3773</v>
      </c>
      <c r="X3" s="2283"/>
      <c r="Y3" s="2283"/>
      <c r="Z3" s="2284"/>
      <c r="AA3" s="2282" t="s">
        <v>3774</v>
      </c>
      <c r="AB3" s="2283"/>
      <c r="AC3" s="2283"/>
      <c r="AD3" s="2284"/>
      <c r="AE3" s="2282" t="s">
        <v>3775</v>
      </c>
      <c r="AF3" s="2283"/>
      <c r="AG3" s="2283"/>
      <c r="AH3" s="2282" t="s">
        <v>3776</v>
      </c>
      <c r="AI3" s="2284"/>
    </row>
    <row r="4" spans="2:35" ht="17" thickBot="1">
      <c r="B4" s="2296"/>
      <c r="C4" s="2297"/>
      <c r="D4" s="1467"/>
      <c r="E4" s="1467"/>
      <c r="F4" s="1467"/>
      <c r="G4" s="1467"/>
      <c r="H4" s="1467"/>
      <c r="I4" s="1467"/>
      <c r="J4" s="1474"/>
      <c r="K4" s="1467"/>
      <c r="L4" s="1467"/>
      <c r="M4" s="1467"/>
      <c r="N4" s="1467"/>
      <c r="O4" s="1467"/>
      <c r="P4" s="1467"/>
      <c r="Q4" s="1467"/>
      <c r="S4" s="1517" t="str">
        <f>'[1]Iteration II Simulation'!$D$11</f>
        <v>Q1</v>
      </c>
      <c r="T4" s="1518" t="str">
        <f>'[1]Iteration II Simulation'!$E$11</f>
        <v>Please enter the outward postcode (First 3-4 characters of your postcode) of the area in which your residence is located.</v>
      </c>
      <c r="U4" s="2285" t="s">
        <v>3364</v>
      </c>
      <c r="V4" s="2285"/>
      <c r="W4" s="1519" t="s">
        <v>2778</v>
      </c>
      <c r="X4" s="1520" t="s">
        <v>2778</v>
      </c>
      <c r="Y4" s="1520" t="s">
        <v>2778</v>
      </c>
      <c r="Z4" s="1521" t="s">
        <v>2778</v>
      </c>
      <c r="AA4" s="1519" t="s">
        <v>1995</v>
      </c>
      <c r="AB4" s="1520" t="s">
        <v>1995</v>
      </c>
      <c r="AC4" s="1522" t="s">
        <v>1995</v>
      </c>
      <c r="AD4" s="1523" t="s">
        <v>1995</v>
      </c>
      <c r="AE4" s="1519" t="s">
        <v>2088</v>
      </c>
      <c r="AF4" s="1522" t="s">
        <v>2088</v>
      </c>
      <c r="AG4" s="1524" t="s">
        <v>2088</v>
      </c>
      <c r="AH4" s="1519" t="s">
        <v>2196</v>
      </c>
      <c r="AI4" s="1521" t="s">
        <v>2196</v>
      </c>
    </row>
    <row r="5" spans="2:35" ht="17" customHeight="1" thickBot="1">
      <c r="B5" s="2286" t="s">
        <v>86</v>
      </c>
      <c r="C5" s="2287"/>
      <c r="D5" s="1473"/>
      <c r="E5" s="1473"/>
      <c r="F5" s="1473"/>
      <c r="G5" s="1473"/>
      <c r="H5" s="1473"/>
      <c r="I5" s="1473"/>
      <c r="J5" s="1869">
        <v>2</v>
      </c>
      <c r="K5" s="2202"/>
      <c r="L5" s="1473"/>
      <c r="M5" s="1473"/>
      <c r="N5" s="1473"/>
      <c r="O5" s="1473"/>
      <c r="P5" s="1473"/>
      <c r="Q5" s="1473"/>
      <c r="S5" s="101" t="str">
        <f>'[1]Iteration II Simulation'!$D$14</f>
        <v>Q2</v>
      </c>
      <c r="T5" s="204" t="str">
        <f>'[1]Iteration II Simulation'!$E$14</f>
        <v>How do you commute work, college or school?</v>
      </c>
      <c r="U5" s="2045"/>
      <c r="V5" s="2045"/>
      <c r="W5" s="1525" t="s">
        <v>53</v>
      </c>
      <c r="X5" s="1526" t="s">
        <v>53</v>
      </c>
      <c r="Y5" s="1526" t="s">
        <v>53</v>
      </c>
      <c r="Z5" s="1527" t="s">
        <v>53</v>
      </c>
      <c r="AA5" s="1525" t="s">
        <v>52</v>
      </c>
      <c r="AB5" s="1526" t="s">
        <v>52</v>
      </c>
      <c r="AC5" s="1528" t="s">
        <v>52</v>
      </c>
      <c r="AD5" s="1529" t="s">
        <v>52</v>
      </c>
      <c r="AE5" s="1525" t="s">
        <v>52</v>
      </c>
      <c r="AF5" s="1528" t="s">
        <v>52</v>
      </c>
      <c r="AG5" s="1530" t="s">
        <v>52</v>
      </c>
      <c r="AH5" s="1525" t="s">
        <v>51</v>
      </c>
      <c r="AI5" s="1527" t="s">
        <v>51</v>
      </c>
    </row>
    <row r="6" spans="2:35" ht="17" thickBot="1">
      <c r="B6" s="2288"/>
      <c r="C6" s="2289"/>
      <c r="D6" s="1473"/>
      <c r="E6" s="172"/>
      <c r="F6" s="172"/>
      <c r="G6" s="233"/>
      <c r="H6" s="249"/>
      <c r="I6" s="249"/>
      <c r="J6" s="1479"/>
      <c r="K6" s="233"/>
      <c r="L6" s="249"/>
      <c r="M6" s="249"/>
      <c r="N6" s="233"/>
      <c r="O6" s="249"/>
      <c r="P6" s="172"/>
      <c r="Q6" s="1473"/>
      <c r="S6" s="101" t="str">
        <f>'[1]Iteration II Simulation'!$D$37</f>
        <v>Q3</v>
      </c>
      <c r="T6" s="204" t="str">
        <f>'[1]Iteration II Simulation'!$E$37</f>
        <v>What is the type of your car?</v>
      </c>
      <c r="U6" s="2045" t="s">
        <v>194</v>
      </c>
      <c r="V6" s="2045"/>
      <c r="W6" s="1531" t="s">
        <v>9</v>
      </c>
      <c r="X6" s="1532" t="s">
        <v>9</v>
      </c>
      <c r="Y6" s="1532" t="s">
        <v>9</v>
      </c>
      <c r="Z6" s="1533" t="s">
        <v>9</v>
      </c>
      <c r="AA6" s="1531"/>
      <c r="AB6" s="1532" t="s">
        <v>9</v>
      </c>
      <c r="AC6" s="1534" t="s">
        <v>9</v>
      </c>
      <c r="AD6" s="1535" t="s">
        <v>9</v>
      </c>
      <c r="AE6" s="1531" t="s">
        <v>9</v>
      </c>
      <c r="AF6" s="1534"/>
      <c r="AG6" s="1536"/>
      <c r="AH6" s="1531" t="s">
        <v>9</v>
      </c>
      <c r="AI6" s="1533" t="s">
        <v>9</v>
      </c>
    </row>
    <row r="7" spans="2:35" ht="17" thickBot="1">
      <c r="B7" s="2288"/>
      <c r="C7" s="2289"/>
      <c r="D7" s="1473"/>
      <c r="E7" s="259"/>
      <c r="F7" s="1468"/>
      <c r="G7" s="1473"/>
      <c r="H7" s="254"/>
      <c r="I7" s="1473"/>
      <c r="J7" s="1473"/>
      <c r="K7" s="1473"/>
      <c r="L7" s="1473"/>
      <c r="M7" s="100"/>
      <c r="N7" s="1473"/>
      <c r="O7" s="1473"/>
      <c r="P7" s="101"/>
      <c r="Q7" s="1473"/>
      <c r="S7" s="101" t="str">
        <f>'[1]Iteration II Simulation'!$D$43</f>
        <v>Q4</v>
      </c>
      <c r="T7" s="204" t="str">
        <f>'[1]Iteration II Simulation'!$E$43</f>
        <v>What Is the age of your car?</v>
      </c>
      <c r="U7" s="2045" t="s">
        <v>195</v>
      </c>
      <c r="V7" s="2045"/>
      <c r="W7" s="1531" t="s">
        <v>2</v>
      </c>
      <c r="X7" s="1532" t="s">
        <v>2</v>
      </c>
      <c r="Y7" s="1532" t="s">
        <v>2</v>
      </c>
      <c r="Z7" s="1533" t="s">
        <v>2</v>
      </c>
      <c r="AA7" s="1531"/>
      <c r="AB7" s="1532" t="s">
        <v>2</v>
      </c>
      <c r="AC7" s="1534" t="s">
        <v>2</v>
      </c>
      <c r="AD7" s="1535" t="s">
        <v>2</v>
      </c>
      <c r="AE7" s="1531" t="s">
        <v>2</v>
      </c>
      <c r="AF7" s="1534"/>
      <c r="AG7" s="1536"/>
      <c r="AH7" s="1531" t="s">
        <v>2</v>
      </c>
      <c r="AI7" s="1533" t="s">
        <v>2</v>
      </c>
    </row>
    <row r="8" spans="2:35" ht="17" thickBot="1">
      <c r="B8" s="2288"/>
      <c r="C8" s="2289"/>
      <c r="D8" s="1473"/>
      <c r="E8" s="1869">
        <v>3</v>
      </c>
      <c r="F8" s="2202"/>
      <c r="G8" s="1473"/>
      <c r="H8" s="1869">
        <v>7</v>
      </c>
      <c r="I8" s="2202"/>
      <c r="J8" s="1473"/>
      <c r="K8" s="1473"/>
      <c r="L8" s="1869">
        <v>8</v>
      </c>
      <c r="M8" s="2202"/>
      <c r="N8" s="1473"/>
      <c r="O8" s="172"/>
      <c r="P8" s="101"/>
      <c r="Q8" s="1473"/>
      <c r="S8" s="101" t="str">
        <f>'[1]Iteration II Simulation'!$D$50</f>
        <v>Q5</v>
      </c>
      <c r="T8" s="204" t="str">
        <f>'[1]Iteration II Simulation'!$E$50</f>
        <v>How many hours do you spend on car for commuting each week?</v>
      </c>
      <c r="U8" s="2045" t="s">
        <v>3449</v>
      </c>
      <c r="V8" s="2045"/>
      <c r="W8" s="1531">
        <v>1</v>
      </c>
      <c r="X8" s="1532">
        <v>1</v>
      </c>
      <c r="Y8" s="1532">
        <v>1</v>
      </c>
      <c r="Z8" s="1533">
        <v>1</v>
      </c>
      <c r="AA8" s="1531"/>
      <c r="AB8" s="1532">
        <v>1</v>
      </c>
      <c r="AC8" s="1534">
        <v>1</v>
      </c>
      <c r="AD8" s="1535">
        <v>1</v>
      </c>
      <c r="AE8" s="1531">
        <v>1</v>
      </c>
      <c r="AF8" s="1534"/>
      <c r="AG8" s="1536"/>
      <c r="AH8" s="1531">
        <v>1</v>
      </c>
      <c r="AI8" s="1533">
        <v>1</v>
      </c>
    </row>
    <row r="9" spans="2:35" ht="17" thickBot="1">
      <c r="B9" s="2288"/>
      <c r="C9" s="2289"/>
      <c r="D9" s="1473"/>
      <c r="E9" s="254"/>
      <c r="F9" s="1473"/>
      <c r="G9" s="1473"/>
      <c r="H9" s="254"/>
      <c r="I9" s="1473"/>
      <c r="J9" s="1473"/>
      <c r="K9" s="1473"/>
      <c r="L9" s="1473"/>
      <c r="M9" s="100"/>
      <c r="N9" s="1473"/>
      <c r="O9" s="1473"/>
      <c r="P9" s="101"/>
      <c r="Q9" s="1473"/>
      <c r="S9" s="101" t="str">
        <f>'[1]Iteration II Simulation'!$D$53</f>
        <v>Q6</v>
      </c>
      <c r="T9" s="204" t="str">
        <f>'[1]Iteration II Simulation'!$E$53</f>
        <v>How many people travel with you to the same place of work, college, or school?</v>
      </c>
      <c r="U9" s="2045" t="s">
        <v>3450</v>
      </c>
      <c r="V9" s="2045"/>
      <c r="W9" s="1537">
        <v>0</v>
      </c>
      <c r="X9" s="1538">
        <v>0</v>
      </c>
      <c r="Y9" s="1538">
        <v>0</v>
      </c>
      <c r="Z9" s="1539">
        <v>0</v>
      </c>
      <c r="AA9" s="1537"/>
      <c r="AB9" s="1538">
        <v>0</v>
      </c>
      <c r="AC9" s="1540">
        <v>0</v>
      </c>
      <c r="AD9" s="1541">
        <v>0</v>
      </c>
      <c r="AE9" s="1537">
        <v>0</v>
      </c>
      <c r="AF9" s="1540"/>
      <c r="AG9" s="1542"/>
      <c r="AH9" s="1537">
        <v>0</v>
      </c>
      <c r="AI9" s="1539">
        <v>0</v>
      </c>
    </row>
    <row r="10" spans="2:35" ht="17" thickBot="1">
      <c r="B10" s="2288"/>
      <c r="C10" s="2289"/>
      <c r="D10" s="1473"/>
      <c r="E10" s="1869">
        <v>4</v>
      </c>
      <c r="F10" s="2202"/>
      <c r="G10" s="1473"/>
      <c r="H10" s="259"/>
      <c r="I10" s="172"/>
      <c r="J10" s="1473"/>
      <c r="K10" s="1473"/>
      <c r="L10" s="1869">
        <v>9</v>
      </c>
      <c r="M10" s="2202"/>
      <c r="N10" s="1473"/>
      <c r="O10" s="1473"/>
      <c r="P10" s="101"/>
      <c r="Q10" s="1473"/>
      <c r="S10" s="1543" t="str">
        <f>'[1]Iteration II Simulation'!$L$37</f>
        <v xml:space="preserve">Q7 </v>
      </c>
      <c r="T10" s="1544" t="str">
        <f>'[1]Iteration II Simulation'!$M$37</f>
        <v>How many hours do you spend on bus for commuting each week?</v>
      </c>
      <c r="U10" s="2281" t="s">
        <v>3451</v>
      </c>
      <c r="V10" s="2281"/>
      <c r="W10" s="1545">
        <v>1</v>
      </c>
      <c r="X10" s="1546">
        <v>1</v>
      </c>
      <c r="Y10" s="1546">
        <v>1</v>
      </c>
      <c r="Z10" s="1547">
        <v>1</v>
      </c>
      <c r="AA10" s="1545"/>
      <c r="AB10" s="1546">
        <v>1</v>
      </c>
      <c r="AC10" s="1548">
        <v>1</v>
      </c>
      <c r="AD10" s="1549">
        <v>1</v>
      </c>
      <c r="AE10" s="1545">
        <v>1</v>
      </c>
      <c r="AF10" s="1548"/>
      <c r="AG10" s="1550"/>
      <c r="AH10" s="1545">
        <v>1</v>
      </c>
      <c r="AI10" s="1547">
        <v>1</v>
      </c>
    </row>
    <row r="11" spans="2:35" ht="17" thickBot="1">
      <c r="B11" s="2288"/>
      <c r="C11" s="2289"/>
      <c r="D11" s="1473"/>
      <c r="E11" s="254"/>
      <c r="F11" s="1473"/>
      <c r="G11" s="1473"/>
      <c r="H11" s="259"/>
      <c r="I11" s="1473"/>
      <c r="J11" s="1473"/>
      <c r="K11" s="1473"/>
      <c r="L11" s="1473"/>
      <c r="M11" s="100"/>
      <c r="N11" s="1473"/>
      <c r="O11" s="1473"/>
      <c r="P11" s="101"/>
      <c r="Q11" s="1473"/>
      <c r="S11" s="1543" t="str">
        <f>'[1]Iteration II Simulation'!$T$37</f>
        <v xml:space="preserve">Q8 </v>
      </c>
      <c r="T11" s="1544" t="str">
        <f>'[1]Iteration II Simulation'!$U$37</f>
        <v>What is the type of your motorbike?</v>
      </c>
      <c r="U11" s="2281" t="s">
        <v>3777</v>
      </c>
      <c r="V11" s="2281"/>
      <c r="W11" s="1531" t="s">
        <v>71</v>
      </c>
      <c r="X11" s="1532" t="s">
        <v>71</v>
      </c>
      <c r="Y11" s="1532" t="s">
        <v>71</v>
      </c>
      <c r="Z11" s="1533" t="s">
        <v>71</v>
      </c>
      <c r="AA11" s="1531"/>
      <c r="AB11" s="1532" t="s">
        <v>71</v>
      </c>
      <c r="AC11" s="1534" t="s">
        <v>71</v>
      </c>
      <c r="AD11" s="1535" t="s">
        <v>71</v>
      </c>
      <c r="AE11" s="1531" t="s">
        <v>71</v>
      </c>
      <c r="AF11" s="1534"/>
      <c r="AG11" s="1536"/>
      <c r="AH11" s="1531" t="s">
        <v>71</v>
      </c>
      <c r="AI11" s="1533" t="s">
        <v>71</v>
      </c>
    </row>
    <row r="12" spans="2:35" ht="17" thickBot="1">
      <c r="B12" s="2288"/>
      <c r="C12" s="2289"/>
      <c r="D12" s="1473"/>
      <c r="E12" s="1869">
        <v>5</v>
      </c>
      <c r="F12" s="2202"/>
      <c r="G12" s="1473"/>
      <c r="H12" s="259"/>
      <c r="I12" s="172"/>
      <c r="J12" s="1473"/>
      <c r="K12" s="1473"/>
      <c r="L12" s="1869">
        <v>10</v>
      </c>
      <c r="M12" s="2202"/>
      <c r="N12" s="1473"/>
      <c r="O12" s="1473"/>
      <c r="P12" s="101"/>
      <c r="Q12" s="1473"/>
      <c r="S12" s="101" t="str">
        <f>'[1]Iteration II Simulation'!$T$46</f>
        <v>Q9</v>
      </c>
      <c r="T12" s="204" t="str">
        <f>'[1]Iteration II Simulation'!$U$46</f>
        <v>What is the age of your motorbike?</v>
      </c>
      <c r="U12" s="2045" t="s">
        <v>3778</v>
      </c>
      <c r="V12" s="2045"/>
      <c r="W12" s="1531" t="s">
        <v>2</v>
      </c>
      <c r="X12" s="1532" t="s">
        <v>2</v>
      </c>
      <c r="Y12" s="1532" t="s">
        <v>2</v>
      </c>
      <c r="Z12" s="1533" t="s">
        <v>2</v>
      </c>
      <c r="AA12" s="1531"/>
      <c r="AB12" s="1532" t="s">
        <v>2</v>
      </c>
      <c r="AC12" s="1534" t="s">
        <v>2</v>
      </c>
      <c r="AD12" s="1535" t="s">
        <v>2</v>
      </c>
      <c r="AE12" s="1531" t="s">
        <v>2</v>
      </c>
      <c r="AF12" s="1534"/>
      <c r="AG12" s="1536"/>
      <c r="AH12" s="1531" t="s">
        <v>2</v>
      </c>
      <c r="AI12" s="1533" t="s">
        <v>2</v>
      </c>
    </row>
    <row r="13" spans="2:35" ht="17" thickBot="1">
      <c r="B13" s="2288"/>
      <c r="C13" s="2289"/>
      <c r="D13" s="1473"/>
      <c r="E13" s="254"/>
      <c r="F13" s="1473"/>
      <c r="G13" s="1473"/>
      <c r="H13" s="259"/>
      <c r="I13" s="172"/>
      <c r="J13" s="1473"/>
      <c r="K13" s="1473"/>
      <c r="L13" s="1475"/>
      <c r="M13" s="1473"/>
      <c r="N13" s="1473"/>
      <c r="O13" s="1473"/>
      <c r="P13" s="101"/>
      <c r="Q13" s="1473"/>
      <c r="S13" s="102" t="str">
        <f>'[1]Iteration II Simulation'!$T$52</f>
        <v>Q10</v>
      </c>
      <c r="T13" s="205" t="str">
        <f>'[1]Iteration II Simulation'!$U$52</f>
        <v>How many hours do you spend on motorbike for commuting each week?</v>
      </c>
      <c r="U13" s="2271" t="s">
        <v>3779</v>
      </c>
      <c r="V13" s="2271"/>
      <c r="W13" s="1551">
        <v>1</v>
      </c>
      <c r="X13" s="1552">
        <v>1</v>
      </c>
      <c r="Y13" s="1552">
        <v>1</v>
      </c>
      <c r="Z13" s="1553">
        <v>1</v>
      </c>
      <c r="AA13" s="1551"/>
      <c r="AB13" s="1552">
        <v>1</v>
      </c>
      <c r="AC13" s="1554">
        <v>1</v>
      </c>
      <c r="AD13" s="1555">
        <v>1</v>
      </c>
      <c r="AE13" s="1551">
        <v>1</v>
      </c>
      <c r="AF13" s="1554"/>
      <c r="AG13" s="1556"/>
      <c r="AH13" s="1551">
        <v>1</v>
      </c>
      <c r="AI13" s="1553">
        <v>1</v>
      </c>
    </row>
    <row r="14" spans="2:35" ht="17" thickBot="1">
      <c r="B14" s="2288"/>
      <c r="C14" s="2289"/>
      <c r="D14" s="1473"/>
      <c r="E14" s="1869">
        <v>6</v>
      </c>
      <c r="F14" s="2202"/>
      <c r="G14" s="1473"/>
      <c r="H14" s="259"/>
      <c r="I14" s="1473"/>
      <c r="J14" s="1473"/>
      <c r="K14" s="1473"/>
      <c r="L14" s="1475"/>
      <c r="M14" s="1473"/>
      <c r="N14" s="1473"/>
      <c r="O14" s="1473"/>
      <c r="P14" s="101"/>
      <c r="Q14" s="1473"/>
      <c r="S14" s="558" t="str">
        <f>'[1]Iteration II Simulation'!$D$79</f>
        <v>Q11</v>
      </c>
      <c r="T14" s="537" t="str">
        <f>'[1]Iteration II Simulation'!$E$79</f>
        <v>Outside of commuting, do you travel by car?</v>
      </c>
      <c r="U14" s="2019"/>
      <c r="V14" s="2019"/>
      <c r="W14" s="1557" t="s">
        <v>88</v>
      </c>
      <c r="X14" s="1558" t="s">
        <v>88</v>
      </c>
      <c r="Y14" s="1558" t="s">
        <v>88</v>
      </c>
      <c r="Z14" s="1559" t="s">
        <v>88</v>
      </c>
      <c r="AA14" s="1557" t="s">
        <v>88</v>
      </c>
      <c r="AB14" s="1558" t="s">
        <v>88</v>
      </c>
      <c r="AC14" s="1560" t="s">
        <v>88</v>
      </c>
      <c r="AD14" s="1561" t="s">
        <v>88</v>
      </c>
      <c r="AE14" s="1557" t="s">
        <v>88</v>
      </c>
      <c r="AF14" s="1560" t="s">
        <v>88</v>
      </c>
      <c r="AG14" s="1562" t="s">
        <v>88</v>
      </c>
      <c r="AH14" s="1557" t="s">
        <v>88</v>
      </c>
      <c r="AI14" s="1559" t="s">
        <v>88</v>
      </c>
    </row>
    <row r="15" spans="2:35" ht="17" thickBot="1">
      <c r="B15" s="2290"/>
      <c r="C15" s="2291"/>
      <c r="D15" s="1473"/>
      <c r="E15" s="254"/>
      <c r="F15" s="1468"/>
      <c r="G15" s="233"/>
      <c r="H15" s="1476"/>
      <c r="I15" s="233"/>
      <c r="J15" s="233"/>
      <c r="K15" s="233"/>
      <c r="L15" s="1476"/>
      <c r="M15" s="233"/>
      <c r="N15" s="233"/>
      <c r="O15" s="1476"/>
      <c r="P15" s="101"/>
      <c r="Q15" s="1473"/>
      <c r="S15" s="558" t="str">
        <f>'[1]Iteration II Simulation'!$D$83</f>
        <v>Q12</v>
      </c>
      <c r="T15" s="537" t="str">
        <f>'[1]Iteration II Simulation'!$E$83</f>
        <v>What is the type of your car?</v>
      </c>
      <c r="U15" s="2019" t="s">
        <v>194</v>
      </c>
      <c r="V15" s="2019"/>
      <c r="W15" s="1563" t="s">
        <v>6</v>
      </c>
      <c r="X15" s="1564" t="s">
        <v>0</v>
      </c>
      <c r="Y15" s="1565" t="s">
        <v>6</v>
      </c>
      <c r="Z15" s="1566" t="s">
        <v>0</v>
      </c>
      <c r="AA15" s="1563" t="s">
        <v>6</v>
      </c>
      <c r="AB15" s="1565" t="s">
        <v>6</v>
      </c>
      <c r="AC15" s="1567" t="s">
        <v>6</v>
      </c>
      <c r="AD15" s="1568" t="s">
        <v>6</v>
      </c>
      <c r="AE15" s="1563" t="s">
        <v>9</v>
      </c>
      <c r="AF15" s="1569" t="s">
        <v>55</v>
      </c>
      <c r="AG15" s="1570" t="s">
        <v>9</v>
      </c>
      <c r="AH15" s="1563" t="s">
        <v>9</v>
      </c>
      <c r="AI15" s="1571" t="s">
        <v>9</v>
      </c>
    </row>
    <row r="16" spans="2:35" ht="17" customHeight="1" thickBot="1">
      <c r="B16" s="2272" t="s">
        <v>140</v>
      </c>
      <c r="C16" s="2273"/>
      <c r="D16" s="1471"/>
      <c r="E16" s="207"/>
      <c r="F16" s="207"/>
      <c r="G16" s="1471"/>
      <c r="H16" s="1471"/>
      <c r="I16" s="1471"/>
      <c r="J16" s="283"/>
      <c r="K16" s="1471"/>
      <c r="L16" s="1471"/>
      <c r="M16" s="1471"/>
      <c r="N16" s="1471"/>
      <c r="O16" s="1471"/>
      <c r="P16" s="1471"/>
      <c r="Q16" s="1471"/>
      <c r="S16" s="558" t="str">
        <f>'[1]Iteration II Simulation'!$D$89</f>
        <v>Q13</v>
      </c>
      <c r="T16" s="537" t="str">
        <f>'[1]Iteration II Simulation'!$E$89</f>
        <v>What Is the age of your car?</v>
      </c>
      <c r="U16" s="2019" t="s">
        <v>195</v>
      </c>
      <c r="V16" s="2019"/>
      <c r="W16" s="1563" t="s">
        <v>2</v>
      </c>
      <c r="X16" s="1565" t="s">
        <v>2</v>
      </c>
      <c r="Y16" s="1565" t="s">
        <v>2</v>
      </c>
      <c r="Z16" s="1571" t="s">
        <v>2</v>
      </c>
      <c r="AA16" s="1563" t="s">
        <v>1</v>
      </c>
      <c r="AB16" s="1565" t="s">
        <v>1</v>
      </c>
      <c r="AC16" s="1567" t="s">
        <v>1</v>
      </c>
      <c r="AD16" s="1568" t="s">
        <v>1</v>
      </c>
      <c r="AE16" s="1563" t="s">
        <v>5</v>
      </c>
      <c r="AF16" s="1567" t="s">
        <v>5</v>
      </c>
      <c r="AG16" s="1570" t="s">
        <v>5</v>
      </c>
      <c r="AH16" s="1563" t="s">
        <v>2</v>
      </c>
      <c r="AI16" s="1571" t="s">
        <v>2</v>
      </c>
    </row>
    <row r="17" spans="2:35" ht="17" thickBot="1">
      <c r="B17" s="2274"/>
      <c r="C17" s="2275"/>
      <c r="D17" s="1471"/>
      <c r="E17" s="1471"/>
      <c r="F17" s="1471"/>
      <c r="G17" s="1471"/>
      <c r="H17" s="1471"/>
      <c r="I17" s="1471"/>
      <c r="J17" s="1881">
        <v>11</v>
      </c>
      <c r="K17" s="1882"/>
      <c r="L17" s="1471"/>
      <c r="M17" s="1471"/>
      <c r="N17" s="1471"/>
      <c r="O17" s="1471"/>
      <c r="P17" s="1471"/>
      <c r="Q17" s="1471"/>
      <c r="S17" s="558" t="str">
        <f>'[1]Iteration II Simulation'!$D$96</f>
        <v>Q14</v>
      </c>
      <c r="T17" s="537" t="str">
        <f>'[1]Iteration II Simulation'!$E$96</f>
        <v>How many hours do you spend on car for commuting each week?</v>
      </c>
      <c r="U17" s="2019" t="s">
        <v>3449</v>
      </c>
      <c r="V17" s="2019"/>
      <c r="W17" s="1563">
        <v>1</v>
      </c>
      <c r="X17" s="1565">
        <v>1</v>
      </c>
      <c r="Y17" s="1565">
        <v>1</v>
      </c>
      <c r="Z17" s="1571">
        <v>1</v>
      </c>
      <c r="AA17" s="1563">
        <v>1</v>
      </c>
      <c r="AB17" s="1565">
        <v>1</v>
      </c>
      <c r="AC17" s="1567">
        <v>1</v>
      </c>
      <c r="AD17" s="1568">
        <v>1</v>
      </c>
      <c r="AE17" s="1563">
        <v>4</v>
      </c>
      <c r="AF17" s="1567">
        <v>4</v>
      </c>
      <c r="AG17" s="1572">
        <v>1</v>
      </c>
      <c r="AH17" s="1563">
        <v>1</v>
      </c>
      <c r="AI17" s="1571">
        <v>1</v>
      </c>
    </row>
    <row r="18" spans="2:35" ht="17" thickBot="1">
      <c r="B18" s="2274"/>
      <c r="C18" s="2275"/>
      <c r="D18" s="1471"/>
      <c r="E18" s="1471"/>
      <c r="F18" s="1471"/>
      <c r="G18" s="207"/>
      <c r="H18" s="207"/>
      <c r="I18" s="556"/>
      <c r="J18" s="1470"/>
      <c r="K18" s="1469"/>
      <c r="L18" s="556"/>
      <c r="M18" s="207"/>
      <c r="N18" s="207"/>
      <c r="O18" s="1471"/>
      <c r="P18" s="1471"/>
      <c r="Q18" s="1471"/>
      <c r="S18" s="558" t="str">
        <f>'[1]Iteration II Simulation'!$D$100</f>
        <v>Q15</v>
      </c>
      <c r="T18" s="537" t="str">
        <f>'[1]Iteration II Simulation'!$E$100</f>
        <v>How many people travel with you to the same destination?</v>
      </c>
      <c r="U18" s="2019" t="s">
        <v>3450</v>
      </c>
      <c r="V18" s="2019"/>
      <c r="W18" s="1573">
        <v>1</v>
      </c>
      <c r="X18" s="1574">
        <v>1</v>
      </c>
      <c r="Y18" s="1574">
        <v>1</v>
      </c>
      <c r="Z18" s="1575">
        <v>1</v>
      </c>
      <c r="AA18" s="1573">
        <v>3</v>
      </c>
      <c r="AB18" s="1574">
        <v>3</v>
      </c>
      <c r="AC18" s="1576">
        <v>3</v>
      </c>
      <c r="AD18" s="1577">
        <v>3</v>
      </c>
      <c r="AE18" s="1573">
        <v>0</v>
      </c>
      <c r="AF18" s="1576">
        <v>0</v>
      </c>
      <c r="AG18" s="1578">
        <v>0</v>
      </c>
      <c r="AH18" s="1573">
        <v>1</v>
      </c>
      <c r="AI18" s="1575">
        <v>1</v>
      </c>
    </row>
    <row r="19" spans="2:35" ht="17" thickBot="1">
      <c r="B19" s="2274"/>
      <c r="C19" s="2275"/>
      <c r="D19" s="1471"/>
      <c r="E19" s="1471"/>
      <c r="F19" s="1471"/>
      <c r="G19" s="1480"/>
      <c r="H19" s="79"/>
      <c r="I19" s="1471"/>
      <c r="J19" s="1471"/>
      <c r="K19" s="1471"/>
      <c r="L19" s="1471"/>
      <c r="M19" s="1470"/>
      <c r="N19" s="558"/>
      <c r="O19" s="1471"/>
      <c r="P19" s="1471"/>
      <c r="Q19" s="1471"/>
      <c r="S19" s="1579" t="str">
        <f>'[1]Iteration II Simulation'!$M$79</f>
        <v>Q16</v>
      </c>
      <c r="T19" s="1580" t="str">
        <f>'[1]Iteration II Simulation'!$N$79</f>
        <v>Outside of commuting, do you travel by bus?</v>
      </c>
      <c r="U19" s="2278"/>
      <c r="V19" s="2278"/>
      <c r="W19" s="1563" t="s">
        <v>89</v>
      </c>
      <c r="X19" s="1565" t="s">
        <v>89</v>
      </c>
      <c r="Y19" s="1565" t="s">
        <v>89</v>
      </c>
      <c r="Z19" s="1571" t="s">
        <v>89</v>
      </c>
      <c r="AA19" s="1563" t="s">
        <v>89</v>
      </c>
      <c r="AB19" s="1565" t="s">
        <v>89</v>
      </c>
      <c r="AC19" s="1567" t="s">
        <v>89</v>
      </c>
      <c r="AD19" s="1568" t="s">
        <v>89</v>
      </c>
      <c r="AE19" s="1563" t="s">
        <v>88</v>
      </c>
      <c r="AF19" s="1567" t="s">
        <v>88</v>
      </c>
      <c r="AG19" s="1570" t="s">
        <v>88</v>
      </c>
      <c r="AH19" s="1563" t="s">
        <v>89</v>
      </c>
      <c r="AI19" s="1571" t="s">
        <v>89</v>
      </c>
    </row>
    <row r="20" spans="2:35" ht="17" thickBot="1">
      <c r="B20" s="2274"/>
      <c r="C20" s="2275"/>
      <c r="D20" s="1471"/>
      <c r="E20" s="1471"/>
      <c r="F20" s="1471"/>
      <c r="G20" s="1881">
        <v>12</v>
      </c>
      <c r="H20" s="1882"/>
      <c r="I20" s="1471"/>
      <c r="J20" s="1471"/>
      <c r="K20" s="1471"/>
      <c r="L20" s="1471"/>
      <c r="M20" s="1881">
        <v>16</v>
      </c>
      <c r="N20" s="1882"/>
      <c r="O20" s="1471"/>
      <c r="P20" s="1471"/>
      <c r="Q20" s="1471"/>
      <c r="S20" s="701" t="str">
        <f>'[1]Iteration II Simulation'!$M$83</f>
        <v>Q17</v>
      </c>
      <c r="T20" s="538" t="str">
        <f>'[1]Iteration II Simulation'!$N$83</f>
        <v>How many hours do you spend on bus outside of commuting each week?</v>
      </c>
      <c r="U20" s="2279" t="s">
        <v>3451</v>
      </c>
      <c r="V20" s="2279"/>
      <c r="W20" s="1581"/>
      <c r="X20" s="1582"/>
      <c r="Y20" s="1582"/>
      <c r="Z20" s="1583"/>
      <c r="AA20" s="1581"/>
      <c r="AB20" s="1582"/>
      <c r="AC20" s="1584"/>
      <c r="AD20" s="1585"/>
      <c r="AE20" s="1581">
        <v>1</v>
      </c>
      <c r="AF20" s="1584">
        <v>1</v>
      </c>
      <c r="AG20" s="1586">
        <v>1</v>
      </c>
      <c r="AH20" s="1581"/>
      <c r="AI20" s="1583"/>
    </row>
    <row r="21" spans="2:35" ht="17" thickBot="1">
      <c r="B21" s="2274"/>
      <c r="C21" s="2275"/>
      <c r="D21" s="1471"/>
      <c r="E21" s="1471"/>
      <c r="F21" s="1471"/>
      <c r="G21" s="1480"/>
      <c r="H21" s="1471"/>
      <c r="I21" s="1471"/>
      <c r="J21" s="1471"/>
      <c r="K21" s="207"/>
      <c r="L21" s="207"/>
      <c r="M21" s="1470"/>
      <c r="N21" s="1469"/>
      <c r="O21" s="207"/>
      <c r="P21" s="207"/>
      <c r="Q21" s="1471"/>
      <c r="S21" s="224" t="str">
        <f>'[1]Iteration II Simulation'!$D$122</f>
        <v>Q18</v>
      </c>
      <c r="T21" s="541" t="str">
        <f>'[1]Iteration II Simulation'!$E$122</f>
        <v>What is the size of your residence?</v>
      </c>
      <c r="U21" s="2035" t="s">
        <v>3362</v>
      </c>
      <c r="V21" s="2035"/>
      <c r="W21" s="1587" t="s">
        <v>3234</v>
      </c>
      <c r="X21" s="1588" t="s">
        <v>3234</v>
      </c>
      <c r="Y21" s="1589" t="s">
        <v>3234</v>
      </c>
      <c r="Z21" s="1590" t="s">
        <v>3234</v>
      </c>
      <c r="AA21" s="1587" t="s">
        <v>3234</v>
      </c>
      <c r="AB21" s="1589" t="s">
        <v>3234</v>
      </c>
      <c r="AC21" s="1588" t="s">
        <v>3234</v>
      </c>
      <c r="AD21" s="1591" t="s">
        <v>3234</v>
      </c>
      <c r="AE21" s="1587" t="s">
        <v>3234</v>
      </c>
      <c r="AF21" s="1588" t="s">
        <v>3234</v>
      </c>
      <c r="AG21" s="1592" t="s">
        <v>3234</v>
      </c>
      <c r="AH21" s="1587" t="s">
        <v>3232</v>
      </c>
      <c r="AI21" s="1590" t="s">
        <v>3232</v>
      </c>
    </row>
    <row r="22" spans="2:35" ht="17" thickBot="1">
      <c r="B22" s="2274"/>
      <c r="C22" s="2275"/>
      <c r="D22" s="1471"/>
      <c r="E22" s="1471"/>
      <c r="F22" s="1471"/>
      <c r="G22" s="1480"/>
      <c r="H22" s="1471"/>
      <c r="I22" s="1471"/>
      <c r="J22" s="1471"/>
      <c r="K22" s="515"/>
      <c r="L22" s="1469"/>
      <c r="M22" s="1471"/>
      <c r="N22" s="1471"/>
      <c r="O22" s="80"/>
      <c r="P22" s="1471"/>
      <c r="Q22" s="1471"/>
      <c r="S22" s="1593" t="str">
        <f>'[1]Iteration II Simulation'!$D$128</f>
        <v>Q19</v>
      </c>
      <c r="T22" s="1594" t="str">
        <f>'[1]Iteration II Simulation'!$E$128</f>
        <v>How many people usually live with you?</v>
      </c>
      <c r="U22" s="2280" t="s">
        <v>3455</v>
      </c>
      <c r="V22" s="2280"/>
      <c r="W22" s="1595">
        <v>1</v>
      </c>
      <c r="X22" s="1596">
        <v>1</v>
      </c>
      <c r="Y22" s="1597">
        <v>1</v>
      </c>
      <c r="Z22" s="1598">
        <v>1</v>
      </c>
      <c r="AA22" s="1595">
        <v>2</v>
      </c>
      <c r="AB22" s="1597">
        <v>2</v>
      </c>
      <c r="AC22" s="1596">
        <v>2</v>
      </c>
      <c r="AD22" s="1599">
        <v>2</v>
      </c>
      <c r="AE22" s="1595">
        <v>0</v>
      </c>
      <c r="AF22" s="1596">
        <v>0</v>
      </c>
      <c r="AG22" s="1600">
        <v>0</v>
      </c>
      <c r="AH22" s="1595">
        <v>3</v>
      </c>
      <c r="AI22" s="1598">
        <v>3</v>
      </c>
    </row>
    <row r="23" spans="2:35" ht="17" thickBot="1">
      <c r="B23" s="2274"/>
      <c r="C23" s="2275"/>
      <c r="D23" s="1471"/>
      <c r="E23" s="1471"/>
      <c r="F23" s="1471"/>
      <c r="G23" s="1881">
        <v>13</v>
      </c>
      <c r="H23" s="1882"/>
      <c r="I23" s="1471"/>
      <c r="J23" s="1471"/>
      <c r="K23" s="1881">
        <v>17</v>
      </c>
      <c r="L23" s="1882"/>
      <c r="M23" s="1471"/>
      <c r="N23" s="1471"/>
      <c r="O23" s="279"/>
      <c r="P23" s="207"/>
      <c r="Q23" s="1471"/>
      <c r="S23" s="224" t="str">
        <f>'[1]Iteration II Simulation'!$L$122</f>
        <v>Q20</v>
      </c>
      <c r="T23" s="541" t="str">
        <f>'[1]Iteration II Simulation'!$M$122</f>
        <v>Do you use a wood-burning stove at home?</v>
      </c>
      <c r="U23" s="2035"/>
      <c r="V23" s="2035"/>
      <c r="W23" s="1601" t="s">
        <v>89</v>
      </c>
      <c r="X23" s="1602" t="s">
        <v>89</v>
      </c>
      <c r="Y23" s="1603" t="s">
        <v>89</v>
      </c>
      <c r="Z23" s="1604" t="s">
        <v>89</v>
      </c>
      <c r="AA23" s="1601" t="s">
        <v>89</v>
      </c>
      <c r="AB23" s="1603" t="s">
        <v>89</v>
      </c>
      <c r="AC23" s="1602" t="s">
        <v>89</v>
      </c>
      <c r="AD23" s="1605" t="s">
        <v>89</v>
      </c>
      <c r="AE23" s="1601" t="s">
        <v>89</v>
      </c>
      <c r="AF23" s="1602" t="s">
        <v>89</v>
      </c>
      <c r="AG23" s="1606" t="s">
        <v>89</v>
      </c>
      <c r="AH23" s="1601" t="s">
        <v>89</v>
      </c>
      <c r="AI23" s="1604" t="s">
        <v>89</v>
      </c>
    </row>
    <row r="24" spans="2:35" ht="17" thickBot="1">
      <c r="B24" s="2274"/>
      <c r="C24" s="2275"/>
      <c r="D24" s="1471"/>
      <c r="E24" s="1471"/>
      <c r="F24" s="1471"/>
      <c r="G24" s="279"/>
      <c r="H24" s="207"/>
      <c r="I24" s="1471"/>
      <c r="J24" s="1471"/>
      <c r="K24" s="80"/>
      <c r="L24" s="1471"/>
      <c r="M24" s="1471"/>
      <c r="N24" s="1471"/>
      <c r="O24" s="1480"/>
      <c r="P24" s="1471"/>
      <c r="Q24" s="1471"/>
      <c r="S24" s="224" t="str">
        <f>'[1]Iteration II Simulation'!$L$126</f>
        <v>Q21</v>
      </c>
      <c r="T24" s="541" t="str">
        <f>'[1]Iteration II Simulation'!$M$126</f>
        <v>What is the type of your wood-burning stove?</v>
      </c>
      <c r="U24" s="2035" t="s">
        <v>3780</v>
      </c>
      <c r="V24" s="2035"/>
      <c r="W24" s="1601"/>
      <c r="X24" s="1602"/>
      <c r="Y24" s="1603"/>
      <c r="Z24" s="1604"/>
      <c r="AA24" s="1601"/>
      <c r="AB24" s="1603"/>
      <c r="AC24" s="1602"/>
      <c r="AD24" s="1605"/>
      <c r="AE24" s="1601"/>
      <c r="AF24" s="1602"/>
      <c r="AG24" s="1606"/>
      <c r="AH24" s="1601"/>
      <c r="AI24" s="1604"/>
    </row>
    <row r="25" spans="2:35" ht="17" thickBot="1">
      <c r="B25" s="2274"/>
      <c r="C25" s="2275"/>
      <c r="D25" s="1471"/>
      <c r="E25" s="1471"/>
      <c r="F25" s="1471"/>
      <c r="G25" s="1881">
        <v>14</v>
      </c>
      <c r="H25" s="1882"/>
      <c r="I25" s="1471"/>
      <c r="J25" s="1471"/>
      <c r="K25" s="1480"/>
      <c r="L25" s="207"/>
      <c r="M25" s="207"/>
      <c r="N25" s="1471"/>
      <c r="O25" s="1480"/>
      <c r="P25" s="1471"/>
      <c r="Q25" s="207"/>
      <c r="S25" s="224" t="str">
        <f>'[1]Iteration II Simulation'!$L$133</f>
        <v>Q22</v>
      </c>
      <c r="T25" s="541" t="str">
        <f>'[1]Iteration II Simulation'!$M$133</f>
        <v>What are your average hours of operation each week?</v>
      </c>
      <c r="U25" s="2035" t="s">
        <v>3781</v>
      </c>
      <c r="V25" s="2035"/>
      <c r="W25" s="1601"/>
      <c r="X25" s="1602"/>
      <c r="Y25" s="1603"/>
      <c r="Z25" s="1604"/>
      <c r="AA25" s="1601"/>
      <c r="AB25" s="1603"/>
      <c r="AC25" s="1602"/>
      <c r="AD25" s="1605"/>
      <c r="AE25" s="1601"/>
      <c r="AF25" s="1602"/>
      <c r="AG25" s="1606"/>
      <c r="AH25" s="1601"/>
      <c r="AI25" s="1604"/>
    </row>
    <row r="26" spans="2:35" ht="17" thickBot="1">
      <c r="B26" s="2274"/>
      <c r="C26" s="2275"/>
      <c r="D26" s="1471"/>
      <c r="E26" s="1471"/>
      <c r="F26" s="1471"/>
      <c r="G26" s="279"/>
      <c r="H26" s="207"/>
      <c r="I26" s="1471"/>
      <c r="J26" s="1471"/>
      <c r="K26" s="1480"/>
      <c r="L26" s="1471"/>
      <c r="M26" s="1471"/>
      <c r="N26" s="1471"/>
      <c r="O26" s="1480"/>
      <c r="P26" s="1471"/>
      <c r="Q26" s="207"/>
      <c r="S26" s="319"/>
      <c r="T26" s="1058"/>
      <c r="U26" s="2035"/>
      <c r="V26" s="2035"/>
      <c r="W26" s="1601"/>
      <c r="X26" s="1602"/>
      <c r="Y26" s="1603"/>
      <c r="Z26" s="1604"/>
      <c r="AA26" s="1601"/>
      <c r="AB26" s="1603"/>
      <c r="AC26" s="1602"/>
      <c r="AD26" s="1605"/>
      <c r="AE26" s="1601"/>
      <c r="AF26" s="1602"/>
      <c r="AG26" s="1606"/>
      <c r="AH26" s="1601"/>
      <c r="AI26" s="1604"/>
    </row>
    <row r="27" spans="2:35" ht="17" thickBot="1">
      <c r="B27" s="2274"/>
      <c r="C27" s="2275"/>
      <c r="D27" s="1471"/>
      <c r="E27" s="1471"/>
      <c r="F27" s="1471"/>
      <c r="G27" s="1881">
        <v>15</v>
      </c>
      <c r="H27" s="1882"/>
      <c r="I27" s="1471"/>
      <c r="J27" s="207"/>
      <c r="K27" s="279"/>
      <c r="L27" s="1471"/>
      <c r="M27" s="1471"/>
      <c r="N27" s="207"/>
      <c r="O27" s="279"/>
      <c r="P27" s="1471"/>
      <c r="Q27" s="1471"/>
      <c r="S27" s="1607" t="str">
        <f>'[1]Iteration II Simulation'!$S$122</f>
        <v>Q23</v>
      </c>
      <c r="T27" s="1608" t="str">
        <f>'[1]Iteration II Simulation'!$T$122</f>
        <v>Do you use a gas boiler at home?</v>
      </c>
      <c r="U27" s="2256"/>
      <c r="V27" s="2256"/>
      <c r="W27" s="1609" t="s">
        <v>88</v>
      </c>
      <c r="X27" s="1610" t="s">
        <v>88</v>
      </c>
      <c r="Y27" s="1611" t="s">
        <v>89</v>
      </c>
      <c r="Z27" s="1612" t="s">
        <v>89</v>
      </c>
      <c r="AA27" s="1609" t="s">
        <v>88</v>
      </c>
      <c r="AB27" s="1611" t="s">
        <v>89</v>
      </c>
      <c r="AC27" s="1610" t="s">
        <v>88</v>
      </c>
      <c r="AD27" s="1613" t="s">
        <v>89</v>
      </c>
      <c r="AE27" s="1609" t="s">
        <v>88</v>
      </c>
      <c r="AF27" s="1610" t="s">
        <v>88</v>
      </c>
      <c r="AG27" s="1614" t="s">
        <v>88</v>
      </c>
      <c r="AH27" s="1609" t="s">
        <v>88</v>
      </c>
      <c r="AI27" s="1615" t="s">
        <v>88</v>
      </c>
    </row>
    <row r="28" spans="2:35" ht="17" thickBot="1">
      <c r="B28" s="2274"/>
      <c r="C28" s="2275"/>
      <c r="D28" s="1471"/>
      <c r="E28" s="1471"/>
      <c r="F28" s="1471"/>
      <c r="G28" s="279"/>
      <c r="H28" s="207"/>
      <c r="I28" s="1471"/>
      <c r="J28" s="207"/>
      <c r="K28" s="279"/>
      <c r="L28" s="1471"/>
      <c r="M28" s="1471"/>
      <c r="N28" s="207"/>
      <c r="O28" s="279"/>
      <c r="P28" s="1471"/>
      <c r="Q28" s="1471"/>
      <c r="S28" s="1593" t="str">
        <f>'[1]Iteration II Simulation'!$S$126</f>
        <v>Q24</v>
      </c>
      <c r="T28" s="1594" t="str">
        <f>'[1]Iteration II Simulation'!$T$126</f>
        <v>What is the type of your boiler fuel?</v>
      </c>
      <c r="U28" s="2280" t="s">
        <v>3452</v>
      </c>
      <c r="V28" s="2280"/>
      <c r="W28" s="1595" t="s">
        <v>147</v>
      </c>
      <c r="X28" s="1596" t="s">
        <v>147</v>
      </c>
      <c r="Y28" s="1597"/>
      <c r="Z28" s="1598"/>
      <c r="AA28" s="1595" t="s">
        <v>147</v>
      </c>
      <c r="AB28" s="1597"/>
      <c r="AC28" s="1596" t="s">
        <v>147</v>
      </c>
      <c r="AD28" s="1599"/>
      <c r="AE28" s="1595" t="s">
        <v>147</v>
      </c>
      <c r="AF28" s="1596" t="s">
        <v>147</v>
      </c>
      <c r="AG28" s="1600" t="s">
        <v>147</v>
      </c>
      <c r="AH28" s="1595" t="s">
        <v>147</v>
      </c>
      <c r="AI28" s="1598" t="s">
        <v>147</v>
      </c>
    </row>
    <row r="29" spans="2:35" ht="17" thickBot="1">
      <c r="B29" s="2274"/>
      <c r="C29" s="2275"/>
      <c r="D29" s="1471"/>
      <c r="E29" s="1471"/>
      <c r="F29" s="1471"/>
      <c r="G29" s="1881">
        <v>16</v>
      </c>
      <c r="H29" s="1882"/>
      <c r="I29" s="1471"/>
      <c r="J29" s="1471"/>
      <c r="K29" s="1480"/>
      <c r="L29" s="1471"/>
      <c r="M29" s="1471"/>
      <c r="N29" s="1471"/>
      <c r="O29" s="1480"/>
      <c r="P29" s="1471"/>
      <c r="Q29" s="1471"/>
      <c r="S29" s="802" t="str">
        <f>'[1]Iteration II Simulation'!$Y$122</f>
        <v>Q25</v>
      </c>
      <c r="T29" s="540" t="str">
        <f>'[1]Iteration II Simulation'!$Z$122</f>
        <v>Do you use an electric heat pump?</v>
      </c>
      <c r="U29" s="2263"/>
      <c r="V29" s="2263"/>
      <c r="W29" s="1616" t="s">
        <v>89</v>
      </c>
      <c r="X29" s="1617" t="s">
        <v>89</v>
      </c>
      <c r="Y29" s="1618" t="s">
        <v>88</v>
      </c>
      <c r="Z29" s="1619" t="s">
        <v>88</v>
      </c>
      <c r="AA29" s="1616" t="s">
        <v>89</v>
      </c>
      <c r="AB29" s="1620" t="s">
        <v>89</v>
      </c>
      <c r="AC29" s="1617" t="s">
        <v>89</v>
      </c>
      <c r="AD29" s="1621" t="s">
        <v>89</v>
      </c>
      <c r="AE29" s="1616" t="s">
        <v>89</v>
      </c>
      <c r="AF29" s="1617" t="s">
        <v>89</v>
      </c>
      <c r="AG29" s="1622" t="s">
        <v>89</v>
      </c>
      <c r="AH29" s="1616" t="s">
        <v>89</v>
      </c>
      <c r="AI29" s="1623" t="s">
        <v>89</v>
      </c>
    </row>
    <row r="30" spans="2:35" ht="17" thickBot="1">
      <c r="B30" s="2274"/>
      <c r="C30" s="2275"/>
      <c r="D30" s="1471"/>
      <c r="E30" s="207"/>
      <c r="F30" s="207"/>
      <c r="G30" s="1470"/>
      <c r="H30" s="1469"/>
      <c r="I30" s="207"/>
      <c r="J30" s="207"/>
      <c r="K30" s="1480"/>
      <c r="L30" s="1471"/>
      <c r="M30" s="1471"/>
      <c r="N30" s="1471"/>
      <c r="O30" s="1480"/>
      <c r="P30" s="1471"/>
      <c r="Q30" s="1471"/>
      <c r="S30" s="566" t="str">
        <f>'[1]Iteration II Simulation'!$D$164</f>
        <v>Q26</v>
      </c>
      <c r="T30" s="545" t="str">
        <f>'[1]Iteration II Simulation'!$E$164</f>
        <v>Excluding food and takeaway deliveries, do you make online purchases (E.g. Clothing, Beauty, Technology, etc.)?</v>
      </c>
      <c r="U30" s="2264"/>
      <c r="V30" s="2264"/>
      <c r="W30" s="1624" t="s">
        <v>88</v>
      </c>
      <c r="X30" s="1625" t="s">
        <v>88</v>
      </c>
      <c r="Y30" s="1625" t="s">
        <v>88</v>
      </c>
      <c r="Z30" s="1626" t="s">
        <v>88</v>
      </c>
      <c r="AA30" s="1624" t="s">
        <v>88</v>
      </c>
      <c r="AB30" s="1625" t="s">
        <v>88</v>
      </c>
      <c r="AC30" s="1627" t="s">
        <v>89</v>
      </c>
      <c r="AD30" s="1628" t="s">
        <v>89</v>
      </c>
      <c r="AE30" s="1624" t="s">
        <v>88</v>
      </c>
      <c r="AF30" s="1629" t="s">
        <v>88</v>
      </c>
      <c r="AG30" s="1630" t="s">
        <v>88</v>
      </c>
      <c r="AH30" s="1624" t="s">
        <v>88</v>
      </c>
      <c r="AI30" s="1626" t="s">
        <v>89</v>
      </c>
    </row>
    <row r="31" spans="2:35" ht="17" thickBot="1">
      <c r="B31" s="2274"/>
      <c r="C31" s="2275"/>
      <c r="D31" s="1471"/>
      <c r="E31" s="515"/>
      <c r="F31" s="1469"/>
      <c r="G31" s="1471"/>
      <c r="H31" s="1471"/>
      <c r="I31" s="80"/>
      <c r="J31" s="1471"/>
      <c r="K31" s="1480"/>
      <c r="L31" s="1471"/>
      <c r="M31" s="1471"/>
      <c r="N31" s="1471"/>
      <c r="O31" s="1480"/>
      <c r="P31" s="1471"/>
      <c r="Q31" s="1471"/>
      <c r="S31" s="1631" t="str">
        <f>'[1]Iteration II Simulation'!$D$168</f>
        <v>Q27</v>
      </c>
      <c r="T31" s="1632" t="str">
        <f>'[1]Iteration II Simulation'!$E$168</f>
        <v>How many online purchases on average do you receive each month?</v>
      </c>
      <c r="U31" s="2265" t="s">
        <v>3454</v>
      </c>
      <c r="V31" s="2265"/>
      <c r="W31" s="1633">
        <v>1</v>
      </c>
      <c r="X31" s="1634">
        <v>1</v>
      </c>
      <c r="Y31" s="1634">
        <v>1</v>
      </c>
      <c r="Z31" s="1635">
        <v>1</v>
      </c>
      <c r="AA31" s="1633">
        <v>2</v>
      </c>
      <c r="AB31" s="1634">
        <v>2</v>
      </c>
      <c r="AC31" s="1636"/>
      <c r="AD31" s="1637"/>
      <c r="AE31" s="1633">
        <v>1</v>
      </c>
      <c r="AF31" s="1636">
        <v>1</v>
      </c>
      <c r="AG31" s="1638">
        <v>1</v>
      </c>
      <c r="AH31" s="1633">
        <v>1</v>
      </c>
      <c r="AI31" s="1635"/>
    </row>
    <row r="32" spans="2:35" ht="17" thickBot="1">
      <c r="B32" s="2274"/>
      <c r="C32" s="2275"/>
      <c r="D32" s="1471"/>
      <c r="E32" s="1881">
        <v>17</v>
      </c>
      <c r="F32" s="1882"/>
      <c r="G32" s="1471"/>
      <c r="H32" s="1471"/>
      <c r="I32" s="279"/>
      <c r="J32" s="207"/>
      <c r="K32" s="1480"/>
      <c r="L32" s="1471"/>
      <c r="M32" s="1471"/>
      <c r="N32" s="1471"/>
      <c r="O32" s="1480"/>
      <c r="P32" s="1471"/>
      <c r="Q32" s="1471"/>
      <c r="S32" s="566" t="str">
        <f>'[1]Iteration II Simulation'!$L$164</f>
        <v>Q28</v>
      </c>
      <c r="T32" s="545" t="str">
        <f>'[1]Iteration II Simulation'!$M$164</f>
        <v>Do you shop for grocery online (E.g. Sainsbury, Ocado, Asda, etc.)?</v>
      </c>
      <c r="U32" s="2264"/>
      <c r="V32" s="2264"/>
      <c r="W32" s="1624" t="s">
        <v>89</v>
      </c>
      <c r="X32" s="1625" t="s">
        <v>89</v>
      </c>
      <c r="Y32" s="1625" t="s">
        <v>89</v>
      </c>
      <c r="Z32" s="1626" t="s">
        <v>89</v>
      </c>
      <c r="AA32" s="1624" t="s">
        <v>88</v>
      </c>
      <c r="AB32" s="1625" t="s">
        <v>88</v>
      </c>
      <c r="AC32" s="1629" t="s">
        <v>88</v>
      </c>
      <c r="AD32" s="1639" t="s">
        <v>88</v>
      </c>
      <c r="AE32" s="1624" t="s">
        <v>89</v>
      </c>
      <c r="AF32" s="1629" t="s">
        <v>89</v>
      </c>
      <c r="AG32" s="1630" t="s">
        <v>89</v>
      </c>
      <c r="AH32" s="1624" t="s">
        <v>89</v>
      </c>
      <c r="AI32" s="1626" t="s">
        <v>89</v>
      </c>
    </row>
    <row r="33" spans="2:39" ht="17" thickBot="1">
      <c r="B33" s="2276"/>
      <c r="C33" s="2277"/>
      <c r="D33" s="1471"/>
      <c r="E33" s="80"/>
      <c r="F33" s="556"/>
      <c r="G33" s="556"/>
      <c r="H33" s="281"/>
      <c r="I33" s="515"/>
      <c r="J33" s="556"/>
      <c r="K33" s="515"/>
      <c r="L33" s="556"/>
      <c r="M33" s="556"/>
      <c r="N33" s="556"/>
      <c r="O33" s="515"/>
      <c r="P33" s="1471"/>
      <c r="Q33" s="1471"/>
      <c r="S33" s="571" t="str">
        <f>'[1]Iteration II Simulation'!$L$168</f>
        <v>Q29</v>
      </c>
      <c r="T33" s="544" t="str">
        <f>'[1]Iteration II Simulation'!$M$168</f>
        <v>How many grocery shops delivery on average do you receive each month?</v>
      </c>
      <c r="U33" s="2266" t="s">
        <v>3453</v>
      </c>
      <c r="V33" s="2266"/>
      <c r="W33" s="1640"/>
      <c r="X33" s="1641"/>
      <c r="Y33" s="1641"/>
      <c r="Z33" s="1642"/>
      <c r="AA33" s="1640">
        <v>1</v>
      </c>
      <c r="AB33" s="1641">
        <v>1</v>
      </c>
      <c r="AC33" s="1643">
        <v>1</v>
      </c>
      <c r="AD33" s="1644">
        <v>1</v>
      </c>
      <c r="AE33" s="1640"/>
      <c r="AF33" s="1643">
        <v>1</v>
      </c>
      <c r="AG33" s="1645">
        <v>1</v>
      </c>
      <c r="AH33" s="1640"/>
      <c r="AI33" s="1642"/>
    </row>
    <row r="34" spans="2:39" ht="17" thickBot="1">
      <c r="B34" s="2267"/>
      <c r="C34" s="2268"/>
      <c r="D34" s="561"/>
      <c r="E34" s="561"/>
      <c r="F34" s="561"/>
      <c r="G34" s="568"/>
      <c r="H34" s="561"/>
      <c r="I34" s="561"/>
      <c r="J34" s="561"/>
      <c r="K34" s="568"/>
      <c r="L34" s="1477"/>
      <c r="M34" s="561"/>
      <c r="N34" s="561"/>
      <c r="O34" s="569"/>
      <c r="P34" s="370"/>
      <c r="Q34" s="561"/>
      <c r="T34" s="784"/>
    </row>
    <row r="35" spans="2:39" ht="17" thickBot="1">
      <c r="B35" s="2267"/>
      <c r="C35" s="2268"/>
      <c r="D35" s="561"/>
      <c r="E35" s="561"/>
      <c r="F35" s="561"/>
      <c r="G35" s="2198">
        <v>28</v>
      </c>
      <c r="H35" s="2199"/>
      <c r="I35" s="561"/>
      <c r="J35" s="370"/>
      <c r="K35" s="2198">
        <v>29</v>
      </c>
      <c r="L35" s="2199"/>
      <c r="M35" s="561"/>
      <c r="N35" s="561"/>
      <c r="O35" s="567"/>
      <c r="P35" s="561"/>
      <c r="Q35" s="561"/>
      <c r="T35" s="784"/>
      <c r="V35" s="177" t="s">
        <v>3782</v>
      </c>
      <c r="W35" s="1646">
        <v>0.32</v>
      </c>
      <c r="X35" s="1647">
        <v>0.31</v>
      </c>
      <c r="Y35" s="1647">
        <v>0.18</v>
      </c>
      <c r="Z35" s="1648">
        <v>0.18</v>
      </c>
      <c r="AA35" s="1649">
        <v>0.37</v>
      </c>
      <c r="AB35" s="1650">
        <v>0.28000000000000003</v>
      </c>
      <c r="AC35" s="1650">
        <v>0.15</v>
      </c>
      <c r="AD35" s="1651">
        <v>0.06</v>
      </c>
      <c r="AE35" s="1649">
        <v>1.64</v>
      </c>
      <c r="AF35" s="1650">
        <v>0.59</v>
      </c>
      <c r="AG35" s="1652">
        <v>0.83</v>
      </c>
      <c r="AH35" s="1649">
        <v>0.24</v>
      </c>
      <c r="AI35" s="1651">
        <v>0.13</v>
      </c>
      <c r="AJ35" s="1653"/>
      <c r="AK35" s="1653"/>
      <c r="AL35" s="1653"/>
      <c r="AM35" s="1653"/>
    </row>
    <row r="36" spans="2:39" ht="17" thickBot="1">
      <c r="B36" s="2267"/>
      <c r="C36" s="2268"/>
      <c r="D36" s="561"/>
      <c r="E36" s="370"/>
      <c r="F36" s="370"/>
      <c r="G36" s="1478"/>
      <c r="H36" s="1477"/>
      <c r="I36" s="370"/>
      <c r="J36" s="561"/>
      <c r="K36" s="570"/>
      <c r="L36" s="561"/>
      <c r="M36" s="561"/>
      <c r="N36" s="561"/>
      <c r="O36" s="564"/>
      <c r="P36" s="561"/>
      <c r="Q36" s="561"/>
      <c r="T36" s="784"/>
      <c r="V36" s="177" t="s">
        <v>3783</v>
      </c>
      <c r="W36" s="1654">
        <v>0</v>
      </c>
      <c r="X36" s="1655">
        <v>0</v>
      </c>
      <c r="Y36" s="1655">
        <v>0</v>
      </c>
      <c r="Z36" s="1656">
        <v>0</v>
      </c>
      <c r="AA36" s="1657">
        <v>0</v>
      </c>
      <c r="AB36" s="1658">
        <v>0</v>
      </c>
      <c r="AC36" s="1658">
        <v>0</v>
      </c>
      <c r="AD36" s="1659">
        <v>0</v>
      </c>
      <c r="AE36" s="1657">
        <v>0</v>
      </c>
      <c r="AF36" s="1658">
        <v>0</v>
      </c>
      <c r="AG36" s="1660">
        <v>0</v>
      </c>
      <c r="AH36" s="1657">
        <v>0</v>
      </c>
      <c r="AI36" s="1659">
        <v>0</v>
      </c>
    </row>
    <row r="37" spans="2:39" ht="17" thickBot="1">
      <c r="B37" s="2267"/>
      <c r="C37" s="2268"/>
      <c r="D37" s="561"/>
      <c r="E37" s="568"/>
      <c r="F37" s="1477"/>
      <c r="G37" s="561"/>
      <c r="H37" s="561"/>
      <c r="I37" s="569"/>
      <c r="J37" s="370"/>
      <c r="K37" s="567"/>
      <c r="L37" s="370"/>
      <c r="M37" s="561"/>
      <c r="N37" s="561"/>
      <c r="O37" s="564"/>
      <c r="P37" s="561"/>
      <c r="Q37" s="561"/>
      <c r="T37" s="784"/>
      <c r="V37" s="177" t="s">
        <v>3784</v>
      </c>
      <c r="W37" s="1654">
        <v>0.02</v>
      </c>
      <c r="X37" s="1655">
        <v>0</v>
      </c>
      <c r="Y37" s="1655">
        <v>0.02</v>
      </c>
      <c r="Z37" s="1656">
        <v>0</v>
      </c>
      <c r="AA37" s="1657">
        <v>0.03</v>
      </c>
      <c r="AB37" s="1658">
        <v>0.03</v>
      </c>
      <c r="AC37" s="1658">
        <v>0.03</v>
      </c>
      <c r="AD37" s="1659">
        <v>0.03</v>
      </c>
      <c r="AE37" s="1661">
        <v>0.68</v>
      </c>
      <c r="AF37" s="1662">
        <v>0.04</v>
      </c>
      <c r="AG37" s="1660">
        <v>0.19</v>
      </c>
      <c r="AH37" s="1657">
        <v>0.24</v>
      </c>
      <c r="AI37" s="1659">
        <v>0.24</v>
      </c>
    </row>
    <row r="38" spans="2:39" ht="17" thickBot="1">
      <c r="B38" s="2267"/>
      <c r="C38" s="2268"/>
      <c r="D38" s="561"/>
      <c r="E38" s="2198">
        <v>29</v>
      </c>
      <c r="F38" s="2199"/>
      <c r="G38" s="561"/>
      <c r="H38" s="561"/>
      <c r="I38" s="567"/>
      <c r="J38" s="561"/>
      <c r="K38" s="567"/>
      <c r="L38" s="561"/>
      <c r="M38" s="561"/>
      <c r="N38" s="561"/>
      <c r="O38" s="564"/>
      <c r="P38" s="561"/>
      <c r="Q38" s="561"/>
      <c r="V38" s="177" t="s">
        <v>3634</v>
      </c>
      <c r="W38" s="1663">
        <v>0.64</v>
      </c>
      <c r="X38" s="1664">
        <v>0.64</v>
      </c>
      <c r="Y38" s="1655">
        <v>0.21</v>
      </c>
      <c r="Z38" s="1656">
        <v>0.21</v>
      </c>
      <c r="AA38" s="1657">
        <v>0.37</v>
      </c>
      <c r="AB38" s="1658">
        <v>0.12</v>
      </c>
      <c r="AC38" s="1658">
        <v>0.37</v>
      </c>
      <c r="AD38" s="1659">
        <v>0.12</v>
      </c>
      <c r="AE38" s="1657">
        <v>0.25</v>
      </c>
      <c r="AF38" s="1662">
        <v>0.25</v>
      </c>
      <c r="AG38" s="1660">
        <v>0.25</v>
      </c>
      <c r="AH38" s="1657">
        <v>0.3</v>
      </c>
      <c r="AI38" s="1659">
        <v>0.3</v>
      </c>
    </row>
    <row r="39" spans="2:39" ht="17" thickBot="1">
      <c r="B39" s="2269"/>
      <c r="C39" s="2270"/>
      <c r="D39" s="561"/>
      <c r="E39" s="569"/>
      <c r="F39" s="571"/>
      <c r="G39" s="563"/>
      <c r="H39" s="563"/>
      <c r="I39" s="568"/>
      <c r="J39" s="572"/>
      <c r="K39" s="568"/>
      <c r="L39" s="563"/>
      <c r="M39" s="563"/>
      <c r="N39" s="563"/>
      <c r="O39" s="568"/>
      <c r="P39" s="561"/>
      <c r="Q39" s="561"/>
      <c r="V39" s="177" t="s">
        <v>3635</v>
      </c>
      <c r="W39" s="1654">
        <v>0.34</v>
      </c>
      <c r="X39" s="1655">
        <v>0.34</v>
      </c>
      <c r="Y39" s="1655">
        <v>0.34</v>
      </c>
      <c r="Z39" s="1656">
        <v>0.35</v>
      </c>
      <c r="AA39" s="1661">
        <v>0.6</v>
      </c>
      <c r="AB39" s="1665">
        <v>0.6</v>
      </c>
      <c r="AC39" s="1662">
        <v>0.01</v>
      </c>
      <c r="AD39" s="1666">
        <v>0.01</v>
      </c>
      <c r="AE39" s="1657">
        <v>7.0000000000000007E-2</v>
      </c>
      <c r="AF39" s="1658">
        <v>7.0000000000000007E-2</v>
      </c>
      <c r="AG39" s="1660">
        <v>7.0000000000000007E-2</v>
      </c>
      <c r="AH39" s="1661">
        <v>0.46</v>
      </c>
      <c r="AI39" s="1659">
        <v>0</v>
      </c>
    </row>
    <row r="40" spans="2:39" ht="17" customHeight="1" thickBot="1">
      <c r="B40" s="2257" t="s">
        <v>110</v>
      </c>
      <c r="C40" s="2258"/>
      <c r="D40" s="1667"/>
      <c r="E40" s="1667"/>
      <c r="F40" s="1667"/>
      <c r="G40" s="1667"/>
      <c r="H40" s="1667"/>
      <c r="I40" s="1667"/>
      <c r="J40" s="1668"/>
      <c r="K40" s="1669"/>
      <c r="L40" s="1667"/>
      <c r="M40" s="1667"/>
      <c r="N40" s="1667"/>
      <c r="O40" s="1667"/>
      <c r="P40" s="1667"/>
      <c r="Q40" s="1667"/>
      <c r="V40" s="177" t="s">
        <v>3468</v>
      </c>
      <c r="W40" s="1670"/>
      <c r="X40" s="1671">
        <v>0.02</v>
      </c>
      <c r="Y40" s="1672">
        <v>0.43</v>
      </c>
      <c r="Z40" s="1673">
        <v>0.44</v>
      </c>
      <c r="AA40" s="1674"/>
      <c r="AB40" s="1675">
        <v>0.25</v>
      </c>
      <c r="AC40" s="1676">
        <v>0.59</v>
      </c>
      <c r="AD40" s="1677">
        <v>0.84</v>
      </c>
      <c r="AE40" s="1674"/>
      <c r="AF40" s="1676">
        <v>0.64</v>
      </c>
      <c r="AG40" s="1678">
        <v>0.49</v>
      </c>
      <c r="AH40" s="1674"/>
      <c r="AI40" s="1677">
        <v>0.46</v>
      </c>
    </row>
    <row r="41" spans="2:39" ht="17" thickBot="1">
      <c r="B41" s="2259"/>
      <c r="C41" s="2260"/>
      <c r="D41" s="1667"/>
      <c r="E41" s="1667"/>
      <c r="F41" s="1667"/>
      <c r="G41" s="1667"/>
      <c r="H41" s="1667"/>
      <c r="I41" s="1667"/>
      <c r="J41" s="2261" t="s">
        <v>182</v>
      </c>
      <c r="K41" s="2262"/>
      <c r="L41" s="1667"/>
      <c r="M41" s="1667"/>
      <c r="N41" s="1667"/>
      <c r="O41" s="1667"/>
      <c r="P41" s="1667"/>
      <c r="Q41" s="1667"/>
    </row>
    <row r="42" spans="2:39" ht="17" thickBot="1"/>
    <row r="43" spans="2:39">
      <c r="V43" s="1679" t="s">
        <v>3463</v>
      </c>
      <c r="W43" s="1680">
        <v>0</v>
      </c>
      <c r="X43" s="1681">
        <v>0</v>
      </c>
      <c r="Y43" s="1681">
        <v>0</v>
      </c>
      <c r="Z43" s="1682">
        <v>0</v>
      </c>
      <c r="AA43" s="1680">
        <v>0</v>
      </c>
      <c r="AB43" s="1681">
        <v>0</v>
      </c>
      <c r="AC43" s="1681">
        <v>0</v>
      </c>
      <c r="AD43" s="1682">
        <v>0</v>
      </c>
      <c r="AE43" s="1680">
        <v>0</v>
      </c>
      <c r="AF43" s="1681">
        <v>0</v>
      </c>
      <c r="AG43" s="1683">
        <v>0</v>
      </c>
      <c r="AH43" s="1680">
        <v>0</v>
      </c>
      <c r="AI43" s="1682">
        <v>0</v>
      </c>
    </row>
    <row r="44" spans="2:39">
      <c r="V44" s="1684" t="s">
        <v>3464</v>
      </c>
      <c r="W44" s="1685">
        <v>0</v>
      </c>
      <c r="X44" s="1686">
        <v>0</v>
      </c>
      <c r="Y44" s="1686">
        <v>0</v>
      </c>
      <c r="Z44" s="1687">
        <v>0</v>
      </c>
      <c r="AA44" s="1685">
        <v>0</v>
      </c>
      <c r="AB44" s="1686">
        <v>0</v>
      </c>
      <c r="AC44" s="1686">
        <v>0</v>
      </c>
      <c r="AD44" s="1687">
        <v>0</v>
      </c>
      <c r="AE44" s="1685">
        <v>0</v>
      </c>
      <c r="AF44" s="1686">
        <v>0</v>
      </c>
      <c r="AG44" s="1688">
        <v>0</v>
      </c>
      <c r="AH44" s="1685">
        <v>0</v>
      </c>
      <c r="AI44" s="1687">
        <v>0</v>
      </c>
    </row>
    <row r="45" spans="2:39">
      <c r="V45" s="1679" t="s">
        <v>3463</v>
      </c>
      <c r="W45" s="1689">
        <v>0.34294951953257813</v>
      </c>
      <c r="X45" s="1690">
        <v>0</v>
      </c>
      <c r="Y45" s="1690">
        <v>0.34294951953257813</v>
      </c>
      <c r="Z45" s="1691">
        <v>0</v>
      </c>
      <c r="AA45" s="1689">
        <v>1.1541828362103042</v>
      </c>
      <c r="AB45" s="1690">
        <v>1.1541828362103042</v>
      </c>
      <c r="AC45" s="1690">
        <v>1.1541828362103042</v>
      </c>
      <c r="AD45" s="1691">
        <v>1.1541828362103042</v>
      </c>
      <c r="AE45" s="1689">
        <v>86.847793048160781</v>
      </c>
      <c r="AF45" s="1690">
        <v>4.8556728631775528</v>
      </c>
      <c r="AG45" s="1692">
        <v>25.161440753417416</v>
      </c>
      <c r="AH45" s="1689">
        <v>7.1176828468223166</v>
      </c>
      <c r="AI45" s="1691">
        <v>7.1176828468223166</v>
      </c>
    </row>
    <row r="46" spans="2:39">
      <c r="V46" s="1693" t="s">
        <v>3464</v>
      </c>
      <c r="W46" s="1689">
        <v>0.31449112227415521</v>
      </c>
      <c r="X46" s="1690">
        <v>0</v>
      </c>
      <c r="Y46" s="1690">
        <v>0.31449112227415521</v>
      </c>
      <c r="Z46" s="1691">
        <v>0</v>
      </c>
      <c r="AA46" s="1689">
        <v>0.36249372659042212</v>
      </c>
      <c r="AB46" s="1690">
        <v>0.36249372659042212</v>
      </c>
      <c r="AC46" s="1690">
        <v>0.36249372659042212</v>
      </c>
      <c r="AD46" s="1691">
        <v>0.36249372659042212</v>
      </c>
      <c r="AE46" s="1689">
        <v>65.530927813184235</v>
      </c>
      <c r="AF46" s="1690">
        <v>1.7819704651290427</v>
      </c>
      <c r="AG46" s="1692">
        <v>17.20406430968098</v>
      </c>
      <c r="AH46" s="1689">
        <v>0.55702718837980947</v>
      </c>
      <c r="AI46" s="1691">
        <v>0.55702718837980947</v>
      </c>
    </row>
    <row r="47" spans="2:39">
      <c r="V47" s="1684" t="s">
        <v>3463</v>
      </c>
      <c r="W47" s="1694">
        <v>26.121085739083078</v>
      </c>
      <c r="X47" s="1695">
        <v>26.121085739083078</v>
      </c>
      <c r="Y47" s="1695">
        <v>8.1925457390830818</v>
      </c>
      <c r="Z47" s="1696">
        <v>8.1925457390830818</v>
      </c>
      <c r="AA47" s="1694">
        <v>17.414057159388719</v>
      </c>
      <c r="AB47" s="1695">
        <v>5.4616971593887209</v>
      </c>
      <c r="AC47" s="1695">
        <v>17.414057159388719</v>
      </c>
      <c r="AD47" s="1696">
        <v>5.4616971593887209</v>
      </c>
      <c r="AE47" s="1694">
        <v>52.242171478166156</v>
      </c>
      <c r="AF47" s="1695">
        <v>52.242171478166156</v>
      </c>
      <c r="AG47" s="1697">
        <v>52.242171478166156</v>
      </c>
      <c r="AH47" s="1694">
        <v>9.09032263294662</v>
      </c>
      <c r="AI47" s="1696">
        <v>9.09032263294662</v>
      </c>
    </row>
    <row r="48" spans="2:39">
      <c r="V48" s="1684" t="s">
        <v>3464</v>
      </c>
      <c r="W48" s="1694">
        <v>1.5475356551947419</v>
      </c>
      <c r="X48" s="1695">
        <v>1.5475356551947419</v>
      </c>
      <c r="Y48" s="1695">
        <v>1.0227272951947419</v>
      </c>
      <c r="Z48" s="1696">
        <v>1.0227272951947419</v>
      </c>
      <c r="AA48" s="1694">
        <v>1.0316904367964947</v>
      </c>
      <c r="AB48" s="1695">
        <v>0.68181819679649469</v>
      </c>
      <c r="AC48" s="1695">
        <v>1.0316904367964947</v>
      </c>
      <c r="AD48" s="1696">
        <v>0.68181819679649469</v>
      </c>
      <c r="AE48" s="1694">
        <v>3.0950713103894838</v>
      </c>
      <c r="AF48" s="1695">
        <v>3.0950713103894838</v>
      </c>
      <c r="AG48" s="1697">
        <v>3.0950713103894838</v>
      </c>
      <c r="AH48" s="1694">
        <v>0.53009963768194779</v>
      </c>
      <c r="AI48" s="1696">
        <v>0.53009963768194779</v>
      </c>
    </row>
    <row r="49" spans="22:35">
      <c r="V49" s="1679" t="s">
        <v>3463</v>
      </c>
      <c r="W49" s="1698">
        <v>7.0399419999999999</v>
      </c>
      <c r="X49" s="1699">
        <v>7.0399419999999999</v>
      </c>
      <c r="Y49" s="1699">
        <v>7.0399419999999999</v>
      </c>
      <c r="Z49" s="1700">
        <v>7.0399419999999999</v>
      </c>
      <c r="AA49" s="1698">
        <v>14.582694374885959</v>
      </c>
      <c r="AB49" s="1699">
        <v>14.582694374885959</v>
      </c>
      <c r="AC49" s="1699">
        <v>0.50281037488595859</v>
      </c>
      <c r="AD49" s="1700">
        <v>0.50281037488595859</v>
      </c>
      <c r="AE49" s="1698">
        <v>7.0399419999999999</v>
      </c>
      <c r="AF49" s="1699">
        <v>7.0399419999999999</v>
      </c>
      <c r="AG49" s="1701">
        <v>7.0399419999999999</v>
      </c>
      <c r="AH49" s="1698">
        <v>7.0399419999999999</v>
      </c>
      <c r="AI49" s="1700">
        <v>0</v>
      </c>
    </row>
    <row r="50" spans="22:35">
      <c r="V50" s="1693" t="s">
        <v>3464</v>
      </c>
      <c r="W50" s="1698">
        <v>7.8323101199999989</v>
      </c>
      <c r="X50" s="1699">
        <v>7.8323101199999989</v>
      </c>
      <c r="Y50" s="1699">
        <v>7.8323101199999989</v>
      </c>
      <c r="Z50" s="1700">
        <v>7.8323101199999989</v>
      </c>
      <c r="AA50" s="1698">
        <v>15.664620239999998</v>
      </c>
      <c r="AB50" s="1699">
        <v>15.664620239999998</v>
      </c>
      <c r="AC50" s="1699">
        <v>0</v>
      </c>
      <c r="AD50" s="1700">
        <v>0</v>
      </c>
      <c r="AE50" s="1698">
        <v>7.8323101199999989</v>
      </c>
      <c r="AF50" s="1699">
        <v>7.8323101199999989</v>
      </c>
      <c r="AG50" s="1701">
        <v>7.8323101199999989</v>
      </c>
      <c r="AH50" s="1698">
        <v>7.8323101199999989</v>
      </c>
      <c r="AI50" s="1700">
        <v>0</v>
      </c>
    </row>
    <row r="51" spans="22:35">
      <c r="V51" s="1684" t="s">
        <v>3463</v>
      </c>
      <c r="W51" s="1702">
        <v>33.503977258615656</v>
      </c>
      <c r="X51" s="1703">
        <v>33.161027739083082</v>
      </c>
      <c r="Y51" s="1703">
        <v>15.57543725861566</v>
      </c>
      <c r="Z51" s="1704">
        <v>15.232487739083082</v>
      </c>
      <c r="AA51" s="1702">
        <v>33.150934370484983</v>
      </c>
      <c r="AB51" s="1703">
        <v>21.198574370484984</v>
      </c>
      <c r="AC51" s="1703">
        <v>19.071050370484979</v>
      </c>
      <c r="AD51" s="1704">
        <v>7.118690370484984</v>
      </c>
      <c r="AE51" s="1702">
        <v>146.12990652632692</v>
      </c>
      <c r="AF51" s="1703">
        <v>64.137786341343713</v>
      </c>
      <c r="AG51" s="1705">
        <v>84.443554231583562</v>
      </c>
      <c r="AH51" s="1702">
        <v>23.247947479768936</v>
      </c>
      <c r="AI51" s="1704">
        <v>16.208005479768936</v>
      </c>
    </row>
    <row r="52" spans="22:35">
      <c r="V52" s="1684"/>
      <c r="W52" s="1706" t="s">
        <v>3785</v>
      </c>
      <c r="X52" s="1707" t="s">
        <v>3785</v>
      </c>
      <c r="Y52" s="1707" t="s">
        <v>3785</v>
      </c>
      <c r="Z52" s="1708" t="s">
        <v>3785</v>
      </c>
      <c r="AA52" s="1706" t="s">
        <v>3785</v>
      </c>
      <c r="AB52" s="1707" t="s">
        <v>3785</v>
      </c>
      <c r="AC52" s="1707" t="s">
        <v>3785</v>
      </c>
      <c r="AD52" s="1708" t="s">
        <v>3785</v>
      </c>
      <c r="AE52" s="1709" t="s">
        <v>3786</v>
      </c>
      <c r="AF52" s="1483" t="s">
        <v>3786</v>
      </c>
      <c r="AG52" s="1710" t="s">
        <v>3786</v>
      </c>
      <c r="AH52" s="1706" t="s">
        <v>3785</v>
      </c>
      <c r="AI52" s="1708" t="s">
        <v>3785</v>
      </c>
    </row>
    <row r="53" spans="22:35">
      <c r="V53" s="1679" t="s">
        <v>3464</v>
      </c>
      <c r="W53" s="1702">
        <v>9.6943368974688955</v>
      </c>
      <c r="X53" s="1703">
        <v>9.3798457751947417</v>
      </c>
      <c r="Y53" s="1703">
        <v>9.1695285374688957</v>
      </c>
      <c r="Z53" s="1704">
        <v>8.8550374151947402</v>
      </c>
      <c r="AA53" s="1702">
        <v>17.058804403386915</v>
      </c>
      <c r="AB53" s="1703">
        <v>16.708932163386915</v>
      </c>
      <c r="AC53" s="1703">
        <v>1.394184163386917</v>
      </c>
      <c r="AD53" s="1704">
        <v>1.0443119233869167</v>
      </c>
      <c r="AE53" s="1702">
        <v>76.458309243573723</v>
      </c>
      <c r="AF53" s="1703">
        <v>12.709351895518525</v>
      </c>
      <c r="AG53" s="1705">
        <v>28.131445740070465</v>
      </c>
      <c r="AH53" s="1702">
        <v>8.9194369460617562</v>
      </c>
      <c r="AI53" s="1704">
        <v>1.0871268260617573</v>
      </c>
    </row>
    <row r="54" spans="22:35" ht="17" thickBot="1">
      <c r="V54" s="1693"/>
      <c r="W54" s="1711" t="s">
        <v>3785</v>
      </c>
      <c r="X54" s="1712" t="s">
        <v>3785</v>
      </c>
      <c r="Y54" s="1712" t="s">
        <v>3785</v>
      </c>
      <c r="Z54" s="1713" t="s">
        <v>3785</v>
      </c>
      <c r="AA54" s="1711" t="s">
        <v>3785</v>
      </c>
      <c r="AB54" s="1712" t="s">
        <v>3785</v>
      </c>
      <c r="AC54" s="1712" t="s">
        <v>3785</v>
      </c>
      <c r="AD54" s="1713" t="s">
        <v>3785</v>
      </c>
      <c r="AE54" s="1714" t="s">
        <v>3786</v>
      </c>
      <c r="AF54" s="1712" t="s">
        <v>3785</v>
      </c>
      <c r="AG54" s="1715" t="s">
        <v>3785</v>
      </c>
      <c r="AH54" s="1711" t="s">
        <v>3785</v>
      </c>
      <c r="AI54" s="1713" t="s">
        <v>3785</v>
      </c>
    </row>
    <row r="55" spans="22:35" ht="17" thickBot="1"/>
    <row r="56" spans="22:35">
      <c r="V56" s="1679" t="s">
        <v>3461</v>
      </c>
      <c r="W56" s="1716">
        <v>0</v>
      </c>
      <c r="X56" s="1717">
        <v>0</v>
      </c>
      <c r="Y56" s="1717">
        <v>0</v>
      </c>
      <c r="Z56" s="1718">
        <v>0</v>
      </c>
      <c r="AA56" s="1716">
        <v>0</v>
      </c>
      <c r="AB56" s="1717">
        <v>0</v>
      </c>
      <c r="AC56" s="1717">
        <v>0</v>
      </c>
      <c r="AD56" s="1718">
        <v>0</v>
      </c>
      <c r="AE56" s="1716">
        <v>0</v>
      </c>
      <c r="AF56" s="1717">
        <v>0</v>
      </c>
      <c r="AG56" s="1719">
        <v>0</v>
      </c>
      <c r="AH56" s="1716">
        <v>0</v>
      </c>
      <c r="AI56" s="1682">
        <v>0</v>
      </c>
    </row>
    <row r="57" spans="22:35">
      <c r="V57" s="1684" t="s">
        <v>3462</v>
      </c>
      <c r="W57" s="1720">
        <v>0</v>
      </c>
      <c r="X57" s="1473">
        <v>0</v>
      </c>
      <c r="Y57" s="1473">
        <v>0</v>
      </c>
      <c r="Z57" s="1721">
        <v>0</v>
      </c>
      <c r="AA57" s="1720">
        <v>0</v>
      </c>
      <c r="AB57" s="1473">
        <v>0</v>
      </c>
      <c r="AC57" s="1473">
        <v>0</v>
      </c>
      <c r="AD57" s="1721">
        <v>0</v>
      </c>
      <c r="AE57" s="1720">
        <v>0</v>
      </c>
      <c r="AF57" s="1473">
        <v>0</v>
      </c>
      <c r="AG57" s="1722">
        <v>0</v>
      </c>
      <c r="AH57" s="1720">
        <v>0</v>
      </c>
      <c r="AI57" s="1687">
        <v>0</v>
      </c>
    </row>
    <row r="58" spans="22:35">
      <c r="V58" s="1679" t="s">
        <v>3461</v>
      </c>
      <c r="W58" s="1723">
        <v>26.529441785336072</v>
      </c>
      <c r="X58" s="1471">
        <v>0</v>
      </c>
      <c r="Y58" s="1471">
        <v>26.529441785336072</v>
      </c>
      <c r="Z58" s="1724">
        <v>0</v>
      </c>
      <c r="AA58" s="1723">
        <v>19.778484655307849</v>
      </c>
      <c r="AB58" s="1471">
        <v>19.778484655307849</v>
      </c>
      <c r="AC58" s="1471">
        <v>19.778484655307849</v>
      </c>
      <c r="AD58" s="1724">
        <v>19.778484655307849</v>
      </c>
      <c r="AE58" s="1723">
        <v>5952.4195069557791</v>
      </c>
      <c r="AF58" s="1471">
        <v>332.80064876428054</v>
      </c>
      <c r="AG58" s="1725">
        <v>1724.5279990097079</v>
      </c>
      <c r="AH58" s="1723">
        <v>539.21839748653917</v>
      </c>
      <c r="AI58" s="1691">
        <v>539.21839748653917</v>
      </c>
    </row>
    <row r="59" spans="22:35">
      <c r="V59" s="1693" t="s">
        <v>3462</v>
      </c>
      <c r="W59" s="1723">
        <v>1.2800518034753723</v>
      </c>
      <c r="X59" s="1471">
        <v>0</v>
      </c>
      <c r="Y59" s="1471">
        <v>1.2800518034753723</v>
      </c>
      <c r="Z59" s="1724">
        <v>0</v>
      </c>
      <c r="AA59" s="1723">
        <v>0.32335554287008855</v>
      </c>
      <c r="AB59" s="1471">
        <v>0.32335554287008855</v>
      </c>
      <c r="AC59" s="1471">
        <v>0.32335554287008855</v>
      </c>
      <c r="AD59" s="1724">
        <v>0.32335554287008855</v>
      </c>
      <c r="AE59" s="1723">
        <v>235.79106616299134</v>
      </c>
      <c r="AF59" s="1471">
        <v>6.4118230866739481</v>
      </c>
      <c r="AG59" s="1725">
        <v>61.903055569132377</v>
      </c>
      <c r="AH59" s="1723">
        <v>2.2261408450122473</v>
      </c>
      <c r="AI59" s="1691">
        <v>2.2261408450122473</v>
      </c>
    </row>
    <row r="60" spans="22:35">
      <c r="V60" s="1684" t="s">
        <v>3461</v>
      </c>
      <c r="W60" s="1726">
        <v>1872.4792644504</v>
      </c>
      <c r="X60" s="1472">
        <v>1872.4792644504</v>
      </c>
      <c r="Y60" s="1472">
        <v>587.27926445040009</v>
      </c>
      <c r="Z60" s="1727">
        <v>587.27926445040009</v>
      </c>
      <c r="AA60" s="1726">
        <v>1248.3195096335999</v>
      </c>
      <c r="AB60" s="1472">
        <v>391.51950963360008</v>
      </c>
      <c r="AC60" s="1472">
        <v>1248.3195096335999</v>
      </c>
      <c r="AD60" s="1727">
        <v>391.51950963360008</v>
      </c>
      <c r="AE60" s="1726">
        <v>3744.9585289008</v>
      </c>
      <c r="AF60" s="1472">
        <v>3744.9585289008</v>
      </c>
      <c r="AG60" s="1728">
        <v>3744.9585289008</v>
      </c>
      <c r="AH60" s="1726">
        <v>651.63603103560001</v>
      </c>
      <c r="AI60" s="1696">
        <v>651.63603103560001</v>
      </c>
    </row>
    <row r="61" spans="22:35">
      <c r="V61" s="1684" t="s">
        <v>3462</v>
      </c>
      <c r="W61" s="1726">
        <v>18.046431672299999</v>
      </c>
      <c r="X61" s="1472">
        <v>18.046431672299999</v>
      </c>
      <c r="Y61" s="1472">
        <v>11.9264316723</v>
      </c>
      <c r="Z61" s="1727">
        <v>11.9264316723</v>
      </c>
      <c r="AA61" s="1726">
        <v>12.030954448199999</v>
      </c>
      <c r="AB61" s="1472">
        <v>7.9509544482000001</v>
      </c>
      <c r="AC61" s="1472">
        <v>12.030954448199999</v>
      </c>
      <c r="AD61" s="1727">
        <v>7.9509544482000001</v>
      </c>
      <c r="AE61" s="1726">
        <v>36.092863344599998</v>
      </c>
      <c r="AF61" s="1472">
        <v>36.092863344599998</v>
      </c>
      <c r="AG61" s="1728">
        <v>36.092863344599998</v>
      </c>
      <c r="AH61" s="1726">
        <v>6.1817037034499993</v>
      </c>
      <c r="AI61" s="1696">
        <v>6.1817037034499993</v>
      </c>
    </row>
    <row r="62" spans="22:35">
      <c r="V62" s="1679" t="s">
        <v>3461</v>
      </c>
      <c r="W62" s="1729">
        <v>658</v>
      </c>
      <c r="X62" s="561">
        <v>658</v>
      </c>
      <c r="Y62" s="561">
        <v>658</v>
      </c>
      <c r="Z62" s="1730">
        <v>658</v>
      </c>
      <c r="AA62" s="1729">
        <v>1324.6163361403508</v>
      </c>
      <c r="AB62" s="561">
        <v>1324.6163361403508</v>
      </c>
      <c r="AC62" s="561">
        <v>8.6163361403508762</v>
      </c>
      <c r="AD62" s="1730">
        <v>8.6163361403508762</v>
      </c>
      <c r="AE62" s="1729">
        <v>658</v>
      </c>
      <c r="AF62" s="561">
        <v>658</v>
      </c>
      <c r="AG62" s="1731">
        <v>658</v>
      </c>
      <c r="AH62" s="1729">
        <v>658</v>
      </c>
      <c r="AI62" s="1700">
        <v>0</v>
      </c>
    </row>
    <row r="63" spans="22:35">
      <c r="V63" s="1693" t="s">
        <v>3462</v>
      </c>
      <c r="W63" s="1729">
        <v>38.519999999999996</v>
      </c>
      <c r="X63" s="561">
        <v>38.519999999999996</v>
      </c>
      <c r="Y63" s="561">
        <v>38.519999999999996</v>
      </c>
      <c r="Z63" s="1730">
        <v>38.519999999999996</v>
      </c>
      <c r="AA63" s="1729">
        <v>77.039999999999992</v>
      </c>
      <c r="AB63" s="561">
        <v>77.039999999999992</v>
      </c>
      <c r="AC63" s="561">
        <v>0</v>
      </c>
      <c r="AD63" s="1730">
        <v>0</v>
      </c>
      <c r="AE63" s="1729">
        <v>38.519999999999996</v>
      </c>
      <c r="AF63" s="561">
        <v>38.519999999999996</v>
      </c>
      <c r="AG63" s="1731">
        <v>38.519999999999996</v>
      </c>
      <c r="AH63" s="1729">
        <v>38.519999999999996</v>
      </c>
      <c r="AI63" s="1700">
        <v>0</v>
      </c>
    </row>
    <row r="64" spans="22:35">
      <c r="V64" s="1684" t="s">
        <v>3463</v>
      </c>
      <c r="W64" s="1732">
        <v>2557.0087062357361</v>
      </c>
      <c r="X64" s="177">
        <v>2530.4792644504</v>
      </c>
      <c r="Y64" s="177">
        <v>1271.8087062357363</v>
      </c>
      <c r="Z64" s="1733">
        <v>1245.2792644504002</v>
      </c>
      <c r="AA64" s="1732">
        <v>2592.7143304292586</v>
      </c>
      <c r="AB64" s="177">
        <v>1735.9143304292588</v>
      </c>
      <c r="AC64" s="177">
        <v>1276.7143304292586</v>
      </c>
      <c r="AD64" s="1733">
        <v>419.91433042925883</v>
      </c>
      <c r="AE64" s="1732">
        <v>10355.378035856578</v>
      </c>
      <c r="AF64" s="177">
        <v>4735.7591776650806</v>
      </c>
      <c r="AG64" s="1734">
        <v>6127.4865279105079</v>
      </c>
      <c r="AH64" s="1732">
        <v>1848.8544285221392</v>
      </c>
      <c r="AI64" s="1704">
        <v>1190.8544285221392</v>
      </c>
    </row>
    <row r="65" spans="22:35">
      <c r="V65" s="1684"/>
      <c r="W65" s="1706" t="s">
        <v>3785</v>
      </c>
      <c r="X65" s="1707" t="s">
        <v>3785</v>
      </c>
      <c r="Y65" s="1707" t="s">
        <v>3785</v>
      </c>
      <c r="Z65" s="1708" t="s">
        <v>3785</v>
      </c>
      <c r="AA65" s="1706" t="s">
        <v>3785</v>
      </c>
      <c r="AB65" s="1707" t="s">
        <v>3785</v>
      </c>
      <c r="AC65" s="1707" t="s">
        <v>3785</v>
      </c>
      <c r="AD65" s="1708" t="s">
        <v>3785</v>
      </c>
      <c r="AE65" s="1709" t="s">
        <v>3786</v>
      </c>
      <c r="AF65" s="1707" t="s">
        <v>3785</v>
      </c>
      <c r="AG65" s="1710" t="s">
        <v>3786</v>
      </c>
      <c r="AH65" s="1706" t="s">
        <v>3785</v>
      </c>
      <c r="AI65" s="1708" t="s">
        <v>3785</v>
      </c>
    </row>
    <row r="66" spans="22:35">
      <c r="V66" s="1679" t="s">
        <v>3464</v>
      </c>
      <c r="W66" s="1732">
        <v>57.846483475775372</v>
      </c>
      <c r="X66" s="177">
        <v>56.566431672299998</v>
      </c>
      <c r="Y66" s="177">
        <v>51.726483475775368</v>
      </c>
      <c r="Z66" s="1733">
        <v>50.446431672299994</v>
      </c>
      <c r="AA66" s="1732">
        <v>89.394309991070074</v>
      </c>
      <c r="AB66" s="177">
        <v>85.314309991070076</v>
      </c>
      <c r="AC66" s="177">
        <v>12.354309991070087</v>
      </c>
      <c r="AD66" s="1733">
        <v>8.2743099910700888</v>
      </c>
      <c r="AE66" s="1732">
        <v>310.40392950759133</v>
      </c>
      <c r="AF66" s="177">
        <v>81.024686431273949</v>
      </c>
      <c r="AG66" s="1734">
        <v>136.51591891373238</v>
      </c>
      <c r="AH66" s="1732">
        <v>46.927844548462247</v>
      </c>
      <c r="AI66" s="1704">
        <v>8.407844548462247</v>
      </c>
    </row>
    <row r="67" spans="22:35" ht="17" thickBot="1">
      <c r="V67" s="1693"/>
      <c r="W67" s="1711" t="s">
        <v>3785</v>
      </c>
      <c r="X67" s="1712" t="s">
        <v>3785</v>
      </c>
      <c r="Y67" s="1712" t="s">
        <v>3785</v>
      </c>
      <c r="Z67" s="1713" t="s">
        <v>3785</v>
      </c>
      <c r="AA67" s="1711" t="s">
        <v>3785</v>
      </c>
      <c r="AB67" s="1712" t="s">
        <v>3785</v>
      </c>
      <c r="AC67" s="1712" t="s">
        <v>3785</v>
      </c>
      <c r="AD67" s="1713" t="s">
        <v>3785</v>
      </c>
      <c r="AE67" s="1711" t="s">
        <v>3785</v>
      </c>
      <c r="AF67" s="1712" t="s">
        <v>3785</v>
      </c>
      <c r="AG67" s="1715" t="s">
        <v>3785</v>
      </c>
      <c r="AH67" s="1711" t="s">
        <v>3785</v>
      </c>
      <c r="AI67" s="1713" t="s">
        <v>3785</v>
      </c>
    </row>
  </sheetData>
  <sheetProtection algorithmName="SHA-512" hashValue="BuMNto33KaRQs1JMMEo3HJnKd42HKxUtlapUehBsb/mNPakKVEx8WHSGBIfL48jzSxSQSkTJvJtVAM0nh/PNyQ==" saltValue="WZNmQlSsEZVjIflOI7+OdQ==" spinCount="100000" sheet="1" objects="1" scenarios="1"/>
  <mergeCells count="64">
    <mergeCell ref="B1:Q1"/>
    <mergeCell ref="B2:C4"/>
    <mergeCell ref="J3:K3"/>
    <mergeCell ref="U3:V3"/>
    <mergeCell ref="W3:Z3"/>
    <mergeCell ref="AE3:AG3"/>
    <mergeCell ref="AH3:AI3"/>
    <mergeCell ref="U4:V4"/>
    <mergeCell ref="B5:C15"/>
    <mergeCell ref="J5:K5"/>
    <mergeCell ref="U5:V5"/>
    <mergeCell ref="U6:V6"/>
    <mergeCell ref="U7:V7"/>
    <mergeCell ref="E8:F8"/>
    <mergeCell ref="H8:I8"/>
    <mergeCell ref="AA3:AD3"/>
    <mergeCell ref="E14:F14"/>
    <mergeCell ref="U14:V14"/>
    <mergeCell ref="L8:M8"/>
    <mergeCell ref="U8:V8"/>
    <mergeCell ref="U9:V9"/>
    <mergeCell ref="E10:F10"/>
    <mergeCell ref="L10:M10"/>
    <mergeCell ref="U10:V10"/>
    <mergeCell ref="U11:V11"/>
    <mergeCell ref="E12:F12"/>
    <mergeCell ref="L12:M12"/>
    <mergeCell ref="U12:V12"/>
    <mergeCell ref="U13:V13"/>
    <mergeCell ref="U15:V15"/>
    <mergeCell ref="B16:C33"/>
    <mergeCell ref="U16:V16"/>
    <mergeCell ref="J17:K17"/>
    <mergeCell ref="U17:V17"/>
    <mergeCell ref="U18:V18"/>
    <mergeCell ref="U19:V19"/>
    <mergeCell ref="G20:H20"/>
    <mergeCell ref="M20:N20"/>
    <mergeCell ref="U20:V20"/>
    <mergeCell ref="U28:V28"/>
    <mergeCell ref="U21:V21"/>
    <mergeCell ref="U22:V22"/>
    <mergeCell ref="G23:H23"/>
    <mergeCell ref="K23:L23"/>
    <mergeCell ref="U23:V23"/>
    <mergeCell ref="U24:V24"/>
    <mergeCell ref="G25:H25"/>
    <mergeCell ref="U25:V25"/>
    <mergeCell ref="U26:V26"/>
    <mergeCell ref="G27:H27"/>
    <mergeCell ref="U27:V27"/>
    <mergeCell ref="B40:C41"/>
    <mergeCell ref="J41:K41"/>
    <mergeCell ref="G29:H29"/>
    <mergeCell ref="U29:V29"/>
    <mergeCell ref="U30:V30"/>
    <mergeCell ref="U31:V31"/>
    <mergeCell ref="E32:F32"/>
    <mergeCell ref="U32:V32"/>
    <mergeCell ref="U33:V33"/>
    <mergeCell ref="B34:C39"/>
    <mergeCell ref="G35:H35"/>
    <mergeCell ref="K35:L35"/>
    <mergeCell ref="E38:F38"/>
  </mergeCells>
  <conditionalFormatting sqref="W6:W9 Z6:Z9 AH6:AH9">
    <cfRule type="expression" dxfId="116" priority="117">
      <formula>$M$194&lt;&gt;"Car"</formula>
    </cfRule>
  </conditionalFormatting>
  <conditionalFormatting sqref="W10 Z10 AH10">
    <cfRule type="expression" dxfId="115" priority="116">
      <formula>$M$194&lt;&gt;"Bus"</formula>
    </cfRule>
  </conditionalFormatting>
  <conditionalFormatting sqref="W11:W13 Z11:Z13 AH11:AH13">
    <cfRule type="expression" dxfId="114" priority="115">
      <formula>$M$194&lt;&gt;"Motorbike"</formula>
    </cfRule>
  </conditionalFormatting>
  <conditionalFormatting sqref="W15:W18 Z15:Z18 AH15:AH18">
    <cfRule type="expression" dxfId="113" priority="114">
      <formula>$M$203="No"</formula>
    </cfRule>
  </conditionalFormatting>
  <conditionalFormatting sqref="W20 Z20 AH20">
    <cfRule type="expression" dxfId="112" priority="113">
      <formula>$M$208="No"</formula>
    </cfRule>
  </conditionalFormatting>
  <conditionalFormatting sqref="W24:W26 Z24:Z26 AH24:AH26">
    <cfRule type="expression" dxfId="111" priority="112">
      <formula>$M$212="No"</formula>
    </cfRule>
  </conditionalFormatting>
  <conditionalFormatting sqref="W28 Z28 AH28">
    <cfRule type="expression" dxfId="110" priority="111">
      <formula>$M$216="No"</formula>
    </cfRule>
  </conditionalFormatting>
  <conditionalFormatting sqref="W31 Z31 AH31">
    <cfRule type="expression" dxfId="109" priority="110">
      <formula>$M$219="No"</formula>
    </cfRule>
  </conditionalFormatting>
  <conditionalFormatting sqref="W33 Z33 AH33">
    <cfRule type="expression" dxfId="108" priority="109">
      <formula>$M$221="No"</formula>
    </cfRule>
  </conditionalFormatting>
  <conditionalFormatting sqref="AH33">
    <cfRule type="expression" dxfId="107" priority="82">
      <formula>$M$221="No"</formula>
    </cfRule>
  </conditionalFormatting>
  <conditionalFormatting sqref="AA6:AA9">
    <cfRule type="expression" dxfId="106" priority="108">
      <formula>$M$194&lt;&gt;"Car"</formula>
    </cfRule>
  </conditionalFormatting>
  <conditionalFormatting sqref="AA10">
    <cfRule type="expression" dxfId="105" priority="107">
      <formula>$M$194&lt;&gt;"Bus"</formula>
    </cfRule>
  </conditionalFormatting>
  <conditionalFormatting sqref="AA11:AA13">
    <cfRule type="expression" dxfId="104" priority="106">
      <formula>$M$194&lt;&gt;"Motorbike"</formula>
    </cfRule>
  </conditionalFormatting>
  <conditionalFormatting sqref="AA15:AA18">
    <cfRule type="expression" dxfId="103" priority="105">
      <formula>$M$203="No"</formula>
    </cfRule>
  </conditionalFormatting>
  <conditionalFormatting sqref="AA20">
    <cfRule type="expression" dxfId="102" priority="104">
      <formula>$M$208="No"</formula>
    </cfRule>
  </conditionalFormatting>
  <conditionalFormatting sqref="AA24:AA26">
    <cfRule type="expression" dxfId="101" priority="103">
      <formula>$M$212="No"</formula>
    </cfRule>
  </conditionalFormatting>
  <conditionalFormatting sqref="AA28">
    <cfRule type="expression" dxfId="100" priority="102">
      <formula>$M$216="No"</formula>
    </cfRule>
  </conditionalFormatting>
  <conditionalFormatting sqref="AA31">
    <cfRule type="expression" dxfId="99" priority="101">
      <formula>$M$219="No"</formula>
    </cfRule>
  </conditionalFormatting>
  <conditionalFormatting sqref="AA33">
    <cfRule type="expression" dxfId="98" priority="100">
      <formula>$M$221="No"</formula>
    </cfRule>
  </conditionalFormatting>
  <conditionalFormatting sqref="AE6:AE9">
    <cfRule type="expression" dxfId="97" priority="99">
      <formula>$M$194&lt;&gt;"Car"</formula>
    </cfRule>
  </conditionalFormatting>
  <conditionalFormatting sqref="AE10">
    <cfRule type="expression" dxfId="96" priority="98">
      <formula>$M$194&lt;&gt;"Bus"</formula>
    </cfRule>
  </conditionalFormatting>
  <conditionalFormatting sqref="AE11:AE13">
    <cfRule type="expression" dxfId="95" priority="97">
      <formula>$M$194&lt;&gt;"Motorbike"</formula>
    </cfRule>
  </conditionalFormatting>
  <conditionalFormatting sqref="AE15:AE18">
    <cfRule type="expression" dxfId="94" priority="96">
      <formula>$M$203="No"</formula>
    </cfRule>
  </conditionalFormatting>
  <conditionalFormatting sqref="AE20">
    <cfRule type="expression" dxfId="93" priority="95">
      <formula>$M$208="No"</formula>
    </cfRule>
  </conditionalFormatting>
  <conditionalFormatting sqref="AE24:AE26">
    <cfRule type="expression" dxfId="92" priority="94">
      <formula>$M$212="No"</formula>
    </cfRule>
  </conditionalFormatting>
  <conditionalFormatting sqref="AE28">
    <cfRule type="expression" dxfId="91" priority="93">
      <formula>$M$216="No"</formula>
    </cfRule>
  </conditionalFormatting>
  <conditionalFormatting sqref="AE31">
    <cfRule type="expression" dxfId="90" priority="92">
      <formula>$M$219="No"</formula>
    </cfRule>
  </conditionalFormatting>
  <conditionalFormatting sqref="AE33">
    <cfRule type="expression" dxfId="89" priority="91">
      <formula>$M$221="No"</formula>
    </cfRule>
  </conditionalFormatting>
  <conditionalFormatting sqref="AH6:AH9">
    <cfRule type="expression" dxfId="88" priority="90">
      <formula>$M$194&lt;&gt;"Car"</formula>
    </cfRule>
  </conditionalFormatting>
  <conditionalFormatting sqref="AH10">
    <cfRule type="expression" dxfId="87" priority="89">
      <formula>$M$194&lt;&gt;"Bus"</formula>
    </cfRule>
  </conditionalFormatting>
  <conditionalFormatting sqref="AH11:AH13">
    <cfRule type="expression" dxfId="86" priority="88">
      <formula>$M$194&lt;&gt;"Motorbike"</formula>
    </cfRule>
  </conditionalFormatting>
  <conditionalFormatting sqref="AH15:AH18">
    <cfRule type="expression" dxfId="85" priority="87">
      <formula>$M$203="No"</formula>
    </cfRule>
  </conditionalFormatting>
  <conditionalFormatting sqref="AH20">
    <cfRule type="expression" dxfId="84" priority="86">
      <formula>$M$208="No"</formula>
    </cfRule>
  </conditionalFormatting>
  <conditionalFormatting sqref="AH24:AH26">
    <cfRule type="expression" dxfId="83" priority="85">
      <formula>$M$212="No"</formula>
    </cfRule>
  </conditionalFormatting>
  <conditionalFormatting sqref="AH28">
    <cfRule type="expression" dxfId="82" priority="84">
      <formula>$M$216="No"</formula>
    </cfRule>
  </conditionalFormatting>
  <conditionalFormatting sqref="AH31">
    <cfRule type="expression" dxfId="81" priority="83">
      <formula>$M$219="No"</formula>
    </cfRule>
  </conditionalFormatting>
  <conditionalFormatting sqref="X28">
    <cfRule type="expression" dxfId="80" priority="73">
      <formula>$M$216="No"</formula>
    </cfRule>
  </conditionalFormatting>
  <conditionalFormatting sqref="Y33">
    <cfRule type="expression" dxfId="79" priority="64">
      <formula>$M$221="No"</formula>
    </cfRule>
  </conditionalFormatting>
  <conditionalFormatting sqref="AB33">
    <cfRule type="expression" dxfId="78" priority="37">
      <formula>$M$221="No"</formula>
    </cfRule>
  </conditionalFormatting>
  <conditionalFormatting sqref="X6:X9">
    <cfRule type="expression" dxfId="77" priority="81">
      <formula>$M$194&lt;&gt;"Car"</formula>
    </cfRule>
  </conditionalFormatting>
  <conditionalFormatting sqref="X10">
    <cfRule type="expression" dxfId="76" priority="80">
      <formula>$M$194&lt;&gt;"Bus"</formula>
    </cfRule>
  </conditionalFormatting>
  <conditionalFormatting sqref="X11:X13">
    <cfRule type="expression" dxfId="75" priority="79">
      <formula>$M$194&lt;&gt;"Motorbike"</formula>
    </cfRule>
  </conditionalFormatting>
  <conditionalFormatting sqref="X15:X18">
    <cfRule type="expression" dxfId="74" priority="78">
      <formula>$M$203="No"</formula>
    </cfRule>
  </conditionalFormatting>
  <conditionalFormatting sqref="X20">
    <cfRule type="expression" dxfId="73" priority="77">
      <formula>$M$208="No"</formula>
    </cfRule>
  </conditionalFormatting>
  <conditionalFormatting sqref="X24:X26">
    <cfRule type="expression" dxfId="72" priority="76">
      <formula>$M$212="No"</formula>
    </cfRule>
  </conditionalFormatting>
  <conditionalFormatting sqref="Y28">
    <cfRule type="expression" dxfId="71" priority="66">
      <formula>$M$216="No"</formula>
    </cfRule>
  </conditionalFormatting>
  <conditionalFormatting sqref="X31">
    <cfRule type="expression" dxfId="70" priority="75">
      <formula>$M$219="No"</formula>
    </cfRule>
  </conditionalFormatting>
  <conditionalFormatting sqref="X33">
    <cfRule type="expression" dxfId="69" priority="74">
      <formula>$M$221="No"</formula>
    </cfRule>
  </conditionalFormatting>
  <conditionalFormatting sqref="Y6:Y9">
    <cfRule type="expression" dxfId="68" priority="72">
      <formula>$M$194&lt;&gt;"Car"</formula>
    </cfRule>
  </conditionalFormatting>
  <conditionalFormatting sqref="Y10">
    <cfRule type="expression" dxfId="67" priority="71">
      <formula>$M$194&lt;&gt;"Bus"</formula>
    </cfRule>
  </conditionalFormatting>
  <conditionalFormatting sqref="Y11:Y13">
    <cfRule type="expression" dxfId="66" priority="70">
      <formula>$M$194&lt;&gt;"Motorbike"</formula>
    </cfRule>
  </conditionalFormatting>
  <conditionalFormatting sqref="Y15:Y18">
    <cfRule type="expression" dxfId="65" priority="69">
      <formula>$M$203="No"</formula>
    </cfRule>
  </conditionalFormatting>
  <conditionalFormatting sqref="Y20">
    <cfRule type="expression" dxfId="64" priority="68">
      <formula>$M$208="No"</formula>
    </cfRule>
  </conditionalFormatting>
  <conditionalFormatting sqref="Y24:Y26">
    <cfRule type="expression" dxfId="63" priority="67">
      <formula>$M$212="No"</formula>
    </cfRule>
  </conditionalFormatting>
  <conditionalFormatting sqref="AB28">
    <cfRule type="expression" dxfId="62" priority="39">
      <formula>$M$216="No"</formula>
    </cfRule>
  </conditionalFormatting>
  <conditionalFormatting sqref="Y31">
    <cfRule type="expression" dxfId="61" priority="65">
      <formula>$M$219="No"</formula>
    </cfRule>
  </conditionalFormatting>
  <conditionalFormatting sqref="AD6:AD9">
    <cfRule type="expression" dxfId="60" priority="63">
      <formula>$M$194&lt;&gt;"Car"</formula>
    </cfRule>
  </conditionalFormatting>
  <conditionalFormatting sqref="AD10">
    <cfRule type="expression" dxfId="59" priority="62">
      <formula>$M$194&lt;&gt;"Bus"</formula>
    </cfRule>
  </conditionalFormatting>
  <conditionalFormatting sqref="AD11:AD13">
    <cfRule type="expression" dxfId="58" priority="61">
      <formula>$M$194&lt;&gt;"Motorbike"</formula>
    </cfRule>
  </conditionalFormatting>
  <conditionalFormatting sqref="AD15:AD18">
    <cfRule type="expression" dxfId="57" priority="60">
      <formula>$M$203="No"</formula>
    </cfRule>
  </conditionalFormatting>
  <conditionalFormatting sqref="AD20">
    <cfRule type="expression" dxfId="56" priority="59">
      <formula>$M$208="No"</formula>
    </cfRule>
  </conditionalFormatting>
  <conditionalFormatting sqref="AD24:AD26">
    <cfRule type="expression" dxfId="55" priority="58">
      <formula>$M$212="No"</formula>
    </cfRule>
  </conditionalFormatting>
  <conditionalFormatting sqref="AD28">
    <cfRule type="expression" dxfId="54" priority="57">
      <formula>$M$216="No"</formula>
    </cfRule>
  </conditionalFormatting>
  <conditionalFormatting sqref="AD31">
    <cfRule type="expression" dxfId="53" priority="56">
      <formula>$M$219="No"</formula>
    </cfRule>
  </conditionalFormatting>
  <conditionalFormatting sqref="AD33">
    <cfRule type="expression" dxfId="52" priority="55">
      <formula>$M$221="No"</formula>
    </cfRule>
  </conditionalFormatting>
  <conditionalFormatting sqref="AC6:AC9">
    <cfRule type="expression" dxfId="51" priority="54">
      <formula>$M$194&lt;&gt;"Car"</formula>
    </cfRule>
  </conditionalFormatting>
  <conditionalFormatting sqref="AC10">
    <cfRule type="expression" dxfId="50" priority="53">
      <formula>$M$194&lt;&gt;"Bus"</formula>
    </cfRule>
  </conditionalFormatting>
  <conditionalFormatting sqref="AC11:AC13">
    <cfRule type="expression" dxfId="49" priority="52">
      <formula>$M$194&lt;&gt;"Motorbike"</formula>
    </cfRule>
  </conditionalFormatting>
  <conditionalFormatting sqref="AC15:AC18">
    <cfRule type="expression" dxfId="48" priority="51">
      <formula>$M$203="No"</formula>
    </cfRule>
  </conditionalFormatting>
  <conditionalFormatting sqref="AC20">
    <cfRule type="expression" dxfId="47" priority="50">
      <formula>$M$208="No"</formula>
    </cfRule>
  </conditionalFormatting>
  <conditionalFormatting sqref="AC24:AC26">
    <cfRule type="expression" dxfId="46" priority="49">
      <formula>$M$212="No"</formula>
    </cfRule>
  </conditionalFormatting>
  <conditionalFormatting sqref="AC28">
    <cfRule type="expression" dxfId="45" priority="48">
      <formula>$M$216="No"</formula>
    </cfRule>
  </conditionalFormatting>
  <conditionalFormatting sqref="AC31">
    <cfRule type="expression" dxfId="44" priority="47">
      <formula>$M$219="No"</formula>
    </cfRule>
  </conditionalFormatting>
  <conditionalFormatting sqref="AC33">
    <cfRule type="expression" dxfId="43" priority="46">
      <formula>$M$221="No"</formula>
    </cfRule>
  </conditionalFormatting>
  <conditionalFormatting sqref="AB6:AB9">
    <cfRule type="expression" dxfId="42" priority="45">
      <formula>$M$194&lt;&gt;"Car"</formula>
    </cfRule>
  </conditionalFormatting>
  <conditionalFormatting sqref="AB10">
    <cfRule type="expression" dxfId="41" priority="44">
      <formula>$M$194&lt;&gt;"Bus"</formula>
    </cfRule>
  </conditionalFormatting>
  <conditionalFormatting sqref="AB11:AB13">
    <cfRule type="expression" dxfId="40" priority="43">
      <formula>$M$194&lt;&gt;"Motorbike"</formula>
    </cfRule>
  </conditionalFormatting>
  <conditionalFormatting sqref="AB15:AB18">
    <cfRule type="expression" dxfId="39" priority="42">
      <formula>$M$203="No"</formula>
    </cfRule>
  </conditionalFormatting>
  <conditionalFormatting sqref="AB20">
    <cfRule type="expression" dxfId="38" priority="41">
      <formula>$M$208="No"</formula>
    </cfRule>
  </conditionalFormatting>
  <conditionalFormatting sqref="AB24:AB26">
    <cfRule type="expression" dxfId="37" priority="40">
      <formula>$M$212="No"</formula>
    </cfRule>
  </conditionalFormatting>
  <conditionalFormatting sqref="AB31">
    <cfRule type="expression" dxfId="36" priority="38">
      <formula>$M$219="No"</formula>
    </cfRule>
  </conditionalFormatting>
  <conditionalFormatting sqref="AF6:AF9">
    <cfRule type="expression" dxfId="35" priority="36">
      <formula>$M$194&lt;&gt;"Car"</formula>
    </cfRule>
  </conditionalFormatting>
  <conditionalFormatting sqref="AF10">
    <cfRule type="expression" dxfId="34" priority="35">
      <formula>$M$194&lt;&gt;"Bus"</formula>
    </cfRule>
  </conditionalFormatting>
  <conditionalFormatting sqref="AF11:AF13">
    <cfRule type="expression" dxfId="33" priority="34">
      <formula>$M$194&lt;&gt;"Motorbike"</formula>
    </cfRule>
  </conditionalFormatting>
  <conditionalFormatting sqref="AF15:AF18">
    <cfRule type="expression" dxfId="32" priority="33">
      <formula>$M$203="No"</formula>
    </cfRule>
  </conditionalFormatting>
  <conditionalFormatting sqref="AF20">
    <cfRule type="expression" dxfId="31" priority="32">
      <formula>$M$208="No"</formula>
    </cfRule>
  </conditionalFormatting>
  <conditionalFormatting sqref="AF24:AF26">
    <cfRule type="expression" dxfId="30" priority="31">
      <formula>$M$212="No"</formula>
    </cfRule>
  </conditionalFormatting>
  <conditionalFormatting sqref="AF28">
    <cfRule type="expression" dxfId="29" priority="30">
      <formula>$M$216="No"</formula>
    </cfRule>
  </conditionalFormatting>
  <conditionalFormatting sqref="AF31">
    <cfRule type="expression" dxfId="28" priority="29">
      <formula>$M$219="No"</formula>
    </cfRule>
  </conditionalFormatting>
  <conditionalFormatting sqref="AF33">
    <cfRule type="expression" dxfId="27" priority="28">
      <formula>$M$221="No"</formula>
    </cfRule>
  </conditionalFormatting>
  <conditionalFormatting sqref="AG6:AG9">
    <cfRule type="expression" dxfId="26" priority="27">
      <formula>$M$194&lt;&gt;"Car"</formula>
    </cfRule>
  </conditionalFormatting>
  <conditionalFormatting sqref="AG10">
    <cfRule type="expression" dxfId="25" priority="26">
      <formula>$M$194&lt;&gt;"Bus"</formula>
    </cfRule>
  </conditionalFormatting>
  <conditionalFormatting sqref="AG11:AG13">
    <cfRule type="expression" dxfId="24" priority="25">
      <formula>$M$194&lt;&gt;"Motorbike"</formula>
    </cfRule>
  </conditionalFormatting>
  <conditionalFormatting sqref="AG15:AG18">
    <cfRule type="expression" dxfId="23" priority="24">
      <formula>$M$203="No"</formula>
    </cfRule>
  </conditionalFormatting>
  <conditionalFormatting sqref="AG20">
    <cfRule type="expression" dxfId="22" priority="23">
      <formula>$M$208="No"</formula>
    </cfRule>
  </conditionalFormatting>
  <conditionalFormatting sqref="AG24:AG26">
    <cfRule type="expression" dxfId="21" priority="22">
      <formula>$M$212="No"</formula>
    </cfRule>
  </conditionalFormatting>
  <conditionalFormatting sqref="AG28">
    <cfRule type="expression" dxfId="20" priority="21">
      <formula>$M$216="No"</formula>
    </cfRule>
  </conditionalFormatting>
  <conditionalFormatting sqref="AG31">
    <cfRule type="expression" dxfId="19" priority="20">
      <formula>$M$219="No"</formula>
    </cfRule>
  </conditionalFormatting>
  <conditionalFormatting sqref="AG33">
    <cfRule type="expression" dxfId="18" priority="19">
      <formula>$M$221="No"</formula>
    </cfRule>
  </conditionalFormatting>
  <conditionalFormatting sqref="AI6:AI9">
    <cfRule type="expression" dxfId="17" priority="18">
      <formula>$M$194&lt;&gt;"Car"</formula>
    </cfRule>
  </conditionalFormatting>
  <conditionalFormatting sqref="AI10">
    <cfRule type="expression" dxfId="16" priority="17">
      <formula>$M$194&lt;&gt;"Bus"</formula>
    </cfRule>
  </conditionalFormatting>
  <conditionalFormatting sqref="AI11:AI13">
    <cfRule type="expression" dxfId="15" priority="16">
      <formula>$M$194&lt;&gt;"Motorbike"</formula>
    </cfRule>
  </conditionalFormatting>
  <conditionalFormatting sqref="AI15:AI18">
    <cfRule type="expression" dxfId="14" priority="15">
      <formula>$M$203="No"</formula>
    </cfRule>
  </conditionalFormatting>
  <conditionalFormatting sqref="AI20">
    <cfRule type="expression" dxfId="13" priority="14">
      <formula>$M$208="No"</formula>
    </cfRule>
  </conditionalFormatting>
  <conditionalFormatting sqref="AI24:AI26">
    <cfRule type="expression" dxfId="12" priority="13">
      <formula>$M$212="No"</formula>
    </cfRule>
  </conditionalFormatting>
  <conditionalFormatting sqref="AI28">
    <cfRule type="expression" dxfId="11" priority="12">
      <formula>$M$216="No"</formula>
    </cfRule>
  </conditionalFormatting>
  <conditionalFormatting sqref="AI31">
    <cfRule type="expression" dxfId="10" priority="11">
      <formula>$M$219="No"</formula>
    </cfRule>
  </conditionalFormatting>
  <conditionalFormatting sqref="AI33">
    <cfRule type="expression" dxfId="9" priority="10">
      <formula>$M$221="No"</formula>
    </cfRule>
  </conditionalFormatting>
  <conditionalFormatting sqref="AI33">
    <cfRule type="expression" dxfId="8" priority="1">
      <formula>$M$221="No"</formula>
    </cfRule>
  </conditionalFormatting>
  <conditionalFormatting sqref="AI6:AI9">
    <cfRule type="expression" dxfId="7" priority="9">
      <formula>$M$194&lt;&gt;"Car"</formula>
    </cfRule>
  </conditionalFormatting>
  <conditionalFormatting sqref="AI10">
    <cfRule type="expression" dxfId="6" priority="8">
      <formula>$M$194&lt;&gt;"Bus"</formula>
    </cfRule>
  </conditionalFormatting>
  <conditionalFormatting sqref="AI11:AI13">
    <cfRule type="expression" dxfId="5" priority="7">
      <formula>$M$194&lt;&gt;"Motorbike"</formula>
    </cfRule>
  </conditionalFormatting>
  <conditionalFormatting sqref="AI15:AI18">
    <cfRule type="expression" dxfId="4" priority="6">
      <formula>$M$203="No"</formula>
    </cfRule>
  </conditionalFormatting>
  <conditionalFormatting sqref="AI20">
    <cfRule type="expression" dxfId="3" priority="5">
      <formula>$M$208="No"</formula>
    </cfRule>
  </conditionalFormatting>
  <conditionalFormatting sqref="AI24:AI26">
    <cfRule type="expression" dxfId="2" priority="4">
      <formula>$M$212="No"</formula>
    </cfRule>
  </conditionalFormatting>
  <conditionalFormatting sqref="AI28">
    <cfRule type="expression" dxfId="1" priority="3">
      <formula>$M$216="No"</formula>
    </cfRule>
  </conditionalFormatting>
  <conditionalFormatting sqref="AI31">
    <cfRule type="expression" dxfId="0" priority="2">
      <formula>$M$219="No"</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Introduction &amp; Instructions</vt:lpstr>
      <vt:lpstr>Privacy Policy</vt:lpstr>
      <vt:lpstr>Iteration II Simulation</vt:lpstr>
      <vt:lpstr>Feedback Form</vt:lpstr>
      <vt:lpstr>Overview of Changes</vt:lpstr>
      <vt:lpstr>Formula</vt:lpstr>
      <vt:lpstr>Adjustments</vt:lpstr>
      <vt:lpstr>Data Flow</vt:lpstr>
      <vt:lpstr>List of Ques</vt:lpstr>
      <vt:lpstr>Data Tables</vt:lpstr>
      <vt:lpstr>Outward</vt:lpstr>
      <vt:lpstr>T1</vt:lpstr>
      <vt:lpstr>T2</vt:lpstr>
      <vt:lpstr>T3</vt:lpstr>
      <vt:lpstr>T4</vt:lpstr>
      <vt:lpstr>T5 - T7 | T9 - T16</vt:lpstr>
      <vt:lpstr>T8</vt:lpstr>
      <vt:lpstr>Example Cases_UFE</vt:lpstr>
      <vt:lpstr>'T2'!output</vt:lpstr>
      <vt:lpstr>'T3'!output</vt:lpstr>
      <vt:lpstr>'T4'!output</vt:lpstr>
      <vt:lpstr>'T2'!output_1</vt:lpstr>
      <vt:lpstr>'T3'!output_1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wiejingyuan@gmail.com</dc:creator>
  <cp:lastModifiedBy>wiejingyuan@gmail.com</cp:lastModifiedBy>
  <dcterms:created xsi:type="dcterms:W3CDTF">2021-02-24T14:08:49Z</dcterms:created>
  <dcterms:modified xsi:type="dcterms:W3CDTF">2021-06-03T20:34:13Z</dcterms:modified>
</cp:coreProperties>
</file>